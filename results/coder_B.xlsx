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2026\논문투고\문화융복합학회지\7월2일투고(9월발간)\수정후게재\업로드폴더\"/>
    </mc:Choice>
  </mc:AlternateContent>
  <xr:revisionPtr revIDLastSave="0" documentId="8_{9979E145-2DE3-42D8-B7A7-515F61E1964D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시작하기 전에" sheetId="1" r:id="rId1"/>
    <sheet name="진행 현황" sheetId="2" r:id="rId2"/>
    <sheet name="화식열전" sheetId="3" r:id="rId3"/>
    <sheet name="도강록" sheetId="4" r:id="rId4"/>
    <sheet name="성경잡지" sheetId="5" r:id="rId5"/>
    <sheet name="일신수필" sheetId="6" r:id="rId6"/>
    <sheet name="관내정사" sheetId="7" r:id="rId7"/>
    <sheet name="옥갑야화" sheetId="8" r:id="rId8"/>
    <sheet name="행재잡록" sheetId="9" r:id="rId9"/>
    <sheet name="심세편" sheetId="10" r:id="rId10"/>
    <sheet name="코드 정의" sheetId="11" r:id="rId11"/>
    <sheet name="트리거 해설" sheetId="12" r:id="rId12"/>
    <sheet name="기본 의미 사전" sheetId="13" r:id="rId13"/>
  </sheets>
  <calcPr calcId="191029" iterateDelta="1E-4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0" i="2" l="1"/>
  <c r="F9" i="2"/>
  <c r="E9" i="2"/>
  <c r="C9" i="2"/>
  <c r="D9" i="2" s="1"/>
  <c r="F8" i="2"/>
  <c r="E8" i="2"/>
  <c r="C8" i="2"/>
  <c r="D8" i="2" s="1"/>
  <c r="F7" i="2"/>
  <c r="E7" i="2"/>
  <c r="C7" i="2"/>
  <c r="D7" i="2" s="1"/>
  <c r="F6" i="2"/>
  <c r="E6" i="2"/>
  <c r="C6" i="2"/>
  <c r="D6" i="2" s="1"/>
  <c r="F5" i="2"/>
  <c r="E5" i="2"/>
  <c r="C5" i="2"/>
  <c r="D5" i="2" s="1"/>
  <c r="F4" i="2"/>
  <c r="E4" i="2"/>
  <c r="C4" i="2"/>
  <c r="D4" i="2" s="1"/>
  <c r="F3" i="2"/>
  <c r="E3" i="2"/>
  <c r="C3" i="2"/>
  <c r="D3" i="2" s="1"/>
  <c r="F2" i="2"/>
  <c r="E2" i="2"/>
  <c r="C2" i="2"/>
  <c r="F10" i="2" l="1"/>
  <c r="C10" i="2"/>
  <c r="E10" i="2"/>
  <c r="D2" i="2"/>
  <c r="D10" i="2" s="1"/>
</calcChain>
</file>

<file path=xl/sharedStrings.xml><?xml version="1.0" encoding="utf-8"?>
<sst xmlns="http://schemas.openxmlformats.org/spreadsheetml/2006/main" count="16516" uniqueCount="7933">
  <si>
    <t>항목</t>
  </si>
  <si>
    <t>내용</t>
  </si>
  <si>
    <t>판정자</t>
  </si>
  <si>
    <t>판정자 2 — 이 파일은 판정자 본인 전용 사본입니다. 다른 판정자의 파일을 열지 마십시오.</t>
  </si>
  <si>
    <t>이 작업의 성격</t>
  </si>
  <si>
    <t>두 판정자가 같은 자료를 서로 보지 않고 각자 판정한 뒤, 두 결과의 일치도를 Cohen's Kappa로 산출합니다. 판정이 개인의 자의가 아니라 공유 가능한 기준에 따른 것임을 보이기 위한 절차입니다. 연구자 본인은 판정에 참여하지 않고 불일치 항목의 조정만 맡습니다.</t>
  </si>
  <si>
    <t>작업 범위</t>
  </si>
  <si>
    <t>「화식열전」 394절과 「도강록」 324절, 합계 718절이 필수입니다. 이 두 편은 기존 판정 자료가 남아 있지 않아 이번 검증의 핵심입니다. 나머지 6편은 여력이 되면 진행하시고 못 하셔도 무방합니다. 「진행 현황」 시트에 우선순위를 표시해 두었습니다.</t>
  </si>
  <si>
    <t>보조 자료</t>
  </si>
  <si>
    <t>원문 옆에 주요 글자의 기본 의미(초록)와 직역·의역(보라·주황)을 붙여 두었습니다. 이 번역은 인공지능이 작성한 초벌이며 연구자의 검수를 거치지 않았습니다. 참고로만 쓰시고, 번역과 원문에 대한 판단이 엇갈리면 반드시 원문을 따르고 비고란에 그 사실을 적어 주십시오. 오역을 발견하시면 비고란에 알려 주시면 고맙겠습니다.</t>
  </si>
  <si>
    <t>가장 중요한 규칙</t>
  </si>
  <si>
    <t>파란 칸 「★ 판정 대상 절 ★」만 판정합니다. 좌우 회색 칸은 뜻을 이해하기 위한 문맥일 뿐이며, 거기에 은유가 보여도 이 행에 적으면 안 됩니다. 그 절은 별도의 행으로 따로 나옵니다.</t>
  </si>
  <si>
    <t>입력 순서</t>
  </si>
  <si>
    <t>① 은유 여부(Y/N) → ② Y이면 원천 영역·목표 영역 → ③ 원천 어휘·목표 개념 → ④ 판정 근거 한 줄 → ⑤ 확신도</t>
  </si>
  <si>
    <t>N도 반드시 입력</t>
  </si>
  <si>
    <t>은유가 아닌 절도 N으로 표시해야 합니다. 빈칸으로 두면 미판정과 구별되지 않아 일치도를 계산할 수 없습니다. 이 점이 이번 재코딩의 핵심입니다.</t>
  </si>
  <si>
    <t>절당 1건</t>
  </si>
  <si>
    <t>한 절에 은유가 둘 이상이면 대표 하나만 판정하고 나머지는 비고란에 적으십시오. 두 판정자의 단위가 어긋나면 대조가 불가능해집니다.</t>
  </si>
  <si>
    <t>판정 방법</t>
  </si>
  <si>
    <t>① 그 어휘의 기본 의미(더 구체적이고 신체적 경험에 가까우며 역사적으로 앞선 의미)를 떠올립니다. ② 여기서 쓰인 뜻이 그것과 다른지 봅니다. ③ 다르고, 앞의 것을 뒤의 것과의 비교로 이해할 수 있으면 Y입니다. ④ Y이면 원천이 어느 영역에서 왔는지, 무엇을 말하려 하는지를 각각 고릅니다.</t>
  </si>
  <si>
    <t>원천을 보십시오</t>
  </si>
  <si>
    <t>가장 흔한 실수는 목표를 보고 원천 영역을 고르는 것입니다. 厚生은 목표가 삶의 윤택함이지만 원천은 두께이므로 SD-3 공간·방위입니다. 貧瘁는 목표가 민생이지만 원천은 병듦이므로 SD-2 신체·감각입니다.</t>
  </si>
  <si>
    <t>과장·역설</t>
  </si>
  <si>
    <t>두 영역 사이의 사상이 아니므로 원천 영역이 아닙니다. 그것만으로 된 표현은 원천 영역에 「(수사 기제)」를 고르십시오. 怖殺·魂飛九霄雲外 등이 그렇습니다.</t>
  </si>
  <si>
    <t>직유는 포함</t>
  </si>
  <si>
    <t>如·若·似가 붙은 표현도 은유에 포함합니다. 如水銀海·貴出如糞土 등.</t>
  </si>
  <si>
    <t>환유는 제외</t>
  </si>
  <si>
    <t>인접성에 근거한 표현은 뺍니다. 手未嘗執銀(손)·口未嘗言錢(입) 등.</t>
  </si>
  <si>
    <t>막힐 때</t>
  </si>
  <si>
    <t>건너뛰지 마시고 확신도를 「낮음」으로 두고 진행하십시오. 낮음 항목은 조정 단계에서 따로 검토합니다.</t>
  </si>
  <si>
    <t>예상 소요</t>
  </si>
  <si>
    <t>718절 기준 5~6시간입니다. 한 번에 오래 하지 마시고 한 시간에 60~120절 정도로 나누십시오. 지치면 N을 남발하게 되고 그것이 일치도를 떨어뜨립니다.</t>
  </si>
  <si>
    <t>같은 어휘는 같게</t>
  </si>
  <si>
    <t>息이 세 군데 나오면 세 번 모두 같은 영역으로 가야 합니다. 필터나 찾기로 이미 판정한 같은 어휘를 확인하는 습관을 들이십시오. 판정자 내부의 일관성이 판정자 간 일치도의 전제입니다.</t>
  </si>
  <si>
    <t>판정 근거를 꼭</t>
  </si>
  <si>
    <t>귀찮아 보이지만 이것이 가장 효율적입니다. 같은 어휘를 다시 만났을 때 찾아 쓸 수 있고, 조정 단계에서 왜 그렇게 보았는지 설명할 수 있습니다.</t>
  </si>
  <si>
    <t>텍스트</t>
  </si>
  <si>
    <t>판정 대상 절</t>
  </si>
  <si>
    <t>판정 완료</t>
  </si>
  <si>
    <t>미판정</t>
  </si>
  <si>
    <t>은유(Y)</t>
  </si>
  <si>
    <t>비은유(N)</t>
  </si>
  <si>
    <t>우선순위</t>
  </si>
  <si>
    <t>번역 제공</t>
  </si>
  <si>
    <t>화식열전</t>
  </si>
  <si>
    <t>필수</t>
  </si>
  <si>
    <t>있음</t>
  </si>
  <si>
    <t>도강록</t>
  </si>
  <si>
    <t>성경잡지</t>
  </si>
  <si>
    <t>여력 시</t>
  </si>
  <si>
    <t>없음</t>
  </si>
  <si>
    <t>일신수필</t>
  </si>
  <si>
    <t>관내정사</t>
  </si>
  <si>
    <t>옥갑야화</t>
  </si>
  <si>
    <t>행재잡록</t>
  </si>
  <si>
    <t>심세편</t>
  </si>
  <si>
    <t>합계</t>
  </si>
  <si>
    <t>※ 번역이 없는 3편(성경잡지·일신수필·관내정사)은 원문과 어휘 주석만으로 판정하시면 됩니다. 필수 범위인 화식열전·도강록에는 번역이 모두 있습니다.</t>
  </si>
  <si>
    <t>연번</t>
  </si>
  <si>
    <t>문단</t>
  </si>
  <si>
    <t>절번호</t>
  </si>
  <si>
    <t>앞 문맥(참고)</t>
  </si>
  <si>
    <t>★ 판정 대상 절 ★</t>
  </si>
  <si>
    <t>뒤 문맥(참고)</t>
  </si>
  <si>
    <t>트리거</t>
  </si>
  <si>
    <t>주요 글자의 기본 의미</t>
  </si>
  <si>
    <t>직역</t>
  </si>
  <si>
    <t>의역</t>
  </si>
  <si>
    <t>은유 여부</t>
  </si>
  <si>
    <t>원천 영역</t>
  </si>
  <si>
    <t>목표 영역</t>
  </si>
  <si>
    <t>원천 어휘</t>
  </si>
  <si>
    <t>목표 개념</t>
  </si>
  <si>
    <t>판정 근거</t>
  </si>
  <si>
    <t>확신도</t>
  </si>
  <si>
    <t>비고</t>
  </si>
  <si>
    <t>終不能化</t>
  </si>
  <si>
    <t>故善者因之</t>
  </si>
  <si>
    <t>其次利道之</t>
  </si>
  <si>
    <t>故=까닭 · 善=착하다 · 者=~하는 것·사람 · 因=말미암다 · 之=가다 (조사로도 쓰임)</t>
  </si>
  <si>
    <t>그러므로 잘하는 자는 그것을 따른다</t>
  </si>
  <si>
    <t>가장 나은 정치는 백성이 하는 대로 두는 것이다</t>
  </si>
  <si>
    <t>N</t>
  </si>
  <si>
    <t>보통</t>
  </si>
  <si>
    <t>其次教誨之</t>
  </si>
  <si>
    <t>利</t>
  </si>
  <si>
    <t>其=그 · 利=날이 날카롭다 → 이롭다 · 道=길 · 之=가다 (조사로도 쓰임)</t>
  </si>
  <si>
    <t>그다음은 이롭게 하여 이끈다</t>
  </si>
  <si>
    <t>그다음은 이익으로 유도하는 것이다</t>
  </si>
  <si>
    <t>Y</t>
  </si>
  <si>
    <t>SD-3 공간·방위</t>
  </si>
  <si>
    <t>TD-1 축적·유통</t>
  </si>
  <si>
    <t>道</t>
  </si>
  <si>
    <t>인도</t>
  </si>
  <si>
    <t>길이 백성을 이끄는 방도로 옮겨감</t>
  </si>
  <si>
    <t>其次整齊之</t>
  </si>
  <si>
    <t>其=그 · 之=가다 (조사로도 쓰임)</t>
  </si>
  <si>
    <t>그다음은 가르쳐 깨우친다</t>
  </si>
  <si>
    <t>그다음은 가르쳐 인도하는 것이다</t>
  </si>
  <si>
    <t>虞而出之</t>
  </si>
  <si>
    <t>工而成之</t>
  </si>
  <si>
    <t>商而通之</t>
  </si>
  <si>
    <t>工=장인 · 而=말 잇는 조사 · 成=이루다 · 之=가다 (조사로도 쓰임)</t>
  </si>
  <si>
    <t>장인이 그것을 만들어 낸다</t>
  </si>
  <si>
    <t>장인이 물건으로 완성한다</t>
  </si>
  <si>
    <t>此寧有政教發徵期會哉</t>
  </si>
  <si>
    <t>商</t>
  </si>
  <si>
    <t>商=장사하다 · 而=말 잇는 조사 · 通=통하다 · 之=가다 (조사로도 쓰임)</t>
  </si>
  <si>
    <t>상인이 그것을 통하게 한다</t>
  </si>
  <si>
    <t>상인이 그것을 유통시킨다</t>
  </si>
  <si>
    <t>通</t>
  </si>
  <si>
    <t>유통</t>
  </si>
  <si>
    <t>길이 통함이 재화의 소통으로 옮겨감</t>
  </si>
  <si>
    <t>높음</t>
  </si>
  <si>
    <t>人各任其能</t>
  </si>
  <si>
    <t>此=이것 · 有=있다</t>
  </si>
  <si>
    <t>이것이 어찌 정령과 교화로 불러 모은 것이겠는가</t>
  </si>
  <si>
    <t>이것이 관청이 명령해서 된 일이겠는가</t>
  </si>
  <si>
    <t>農不出則乏其食</t>
  </si>
  <si>
    <t>工不出則乏其事</t>
  </si>
  <si>
    <t>商不出則三寶絕</t>
  </si>
  <si>
    <t>工=장인 · 不=아니다 · 出=나가다 · 則=곧 · 其=그 · 事=일</t>
  </si>
  <si>
    <t>장인이 나오지 않으면 그 일이 모자란다</t>
  </si>
  <si>
    <t>장인이 없으면 기물이 부족해진다</t>
  </si>
  <si>
    <t>虞不出則財匱少</t>
  </si>
  <si>
    <t>商=장사하다 · 不=아니다 · 出=나가다 · 則=곧 · 三=셋 · 絕=실을 끊다</t>
  </si>
  <si>
    <t>상인이 나오지 않으면 세 가지 보배가 끊어진다</t>
  </si>
  <si>
    <t>상인이 없으면 식량·기물·재화가 끊긴다</t>
  </si>
  <si>
    <t>SD-6 문화·제도</t>
  </si>
  <si>
    <t>絕</t>
  </si>
  <si>
    <t>단절</t>
  </si>
  <si>
    <t>줄이 끊김이 물자 공급의 두절로 옮겨감</t>
  </si>
  <si>
    <t>財匱</t>
  </si>
  <si>
    <t>財</t>
  </si>
  <si>
    <t>不=아니다 · 出=나가다 · 則=곧 · 財=재물 · 少=적다</t>
  </si>
  <si>
    <t>산택 맡은 이가 나오지 않으면 재물이 모자라 적어진다</t>
  </si>
  <si>
    <t>산림과 늪을 맡은 이가 없으면 물자가 줄어든다</t>
  </si>
  <si>
    <t>少而山澤不辟矣</t>
  </si>
  <si>
    <t>財=재물</t>
  </si>
  <si>
    <t>재물이 모자란다</t>
  </si>
  <si>
    <t>물자가 바닥난다</t>
  </si>
  <si>
    <t>此四者</t>
  </si>
  <si>
    <t>少=적다 · 而=말 잇는 조사 · 山=산 · 不=아니다 · 矣=마치는 조사</t>
  </si>
  <si>
    <t>적어지면 산과 못이 열리지 않는다</t>
  </si>
  <si>
    <t>물자가 줄면 산림과 늪이 개발되지 않는다</t>
  </si>
  <si>
    <t>辟</t>
  </si>
  <si>
    <t>개발</t>
  </si>
  <si>
    <t>문을 엶이 산택의 개발로 옮겨감</t>
  </si>
  <si>
    <t>낮음</t>
  </si>
  <si>
    <t>原大則饒</t>
  </si>
  <si>
    <t>原小則鮮</t>
  </si>
  <si>
    <t>上則富國</t>
  </si>
  <si>
    <t>原=물의 발원지 · 小=작다 · 則=곧</t>
  </si>
  <si>
    <t>근원이 작으면 드물다</t>
  </si>
  <si>
    <t>밑천이 적으면 소출도 적다</t>
  </si>
  <si>
    <t>SD-1 자연·물질</t>
  </si>
  <si>
    <t>原</t>
  </si>
  <si>
    <t>근원</t>
  </si>
  <si>
    <t>물의 발원지가 재화의 원천으로 옮겨감</t>
  </si>
  <si>
    <t>下則富家</t>
  </si>
  <si>
    <t>富</t>
  </si>
  <si>
    <t>上=위쪽 · 則=곧 · 富=재물이 넉넉하다 · 國=나라</t>
  </si>
  <si>
    <t>위로는 나라를 부유하게 한다</t>
  </si>
  <si>
    <t>크게는 나라를 부강하게 한다</t>
  </si>
  <si>
    <t>TD-5 문명·제도</t>
  </si>
  <si>
    <t>上</t>
  </si>
  <si>
    <t>국가</t>
  </si>
  <si>
    <t>공간의 위가 국가 층위로 옮겨감</t>
  </si>
  <si>
    <t>貧富</t>
  </si>
  <si>
    <t>下=아래쪽 · 則=곧 · 富=재물이 넉넉하다 · 家=집</t>
  </si>
  <si>
    <t>아래로는 집을 부유하게 한다</t>
  </si>
  <si>
    <t>작게는 집안을 넉넉하게 한다</t>
  </si>
  <si>
    <t>下</t>
  </si>
  <si>
    <t>민가</t>
  </si>
  <si>
    <t>공간의 아래가 민간 층위로 옮겨감</t>
  </si>
  <si>
    <t>之道</t>
  </si>
  <si>
    <t>富 貧</t>
  </si>
  <si>
    <t>貧=재물이 모자라다 · 富=재물이 넉넉하다</t>
  </si>
  <si>
    <t>가난함과 부유함</t>
  </si>
  <si>
    <t>빈부라는 것은</t>
  </si>
  <si>
    <t>莫之奪予</t>
  </si>
  <si>
    <t>之=가다 (조사로도 쓰임) · 道=길</t>
  </si>
  <si>
    <t>~의 이치</t>
  </si>
  <si>
    <t>그 이치는</t>
  </si>
  <si>
    <t>이치</t>
  </si>
  <si>
    <t>길이 빈부의 원리로 옮겨감</t>
  </si>
  <si>
    <t>歸</t>
  </si>
  <si>
    <t>位在陪臣</t>
  </si>
  <si>
    <t>富於列國之君</t>
  </si>
  <si>
    <t>在=있다 · 臣=신하</t>
  </si>
  <si>
    <t>지위는 배신에 있었다</t>
  </si>
  <si>
    <t>신분은 제후의 신하에 지나지 않았으나</t>
  </si>
  <si>
    <t>是以齊富彊至於威</t>
  </si>
  <si>
    <t>富=재물이 넉넉하다 · 於=~에 · 國=나라 · 之=가다 (조사로도 쓰임) · 君=임금·그대</t>
  </si>
  <si>
    <t>여러 나라의 임금보다 부유했다</t>
  </si>
  <si>
    <t>제후들보다 더 부유했다</t>
  </si>
  <si>
    <t>宣也</t>
  </si>
  <si>
    <t>是=옳다·이것 · 以=~로써 · 富=재물이 넉넉하다 · 至=이르다 · 於=~에</t>
  </si>
  <si>
    <t>이로써 제나라는 부강하여 위왕에 이르렀다</t>
  </si>
  <si>
    <t>그래서 제나라는 부강해져 위왕 때까지 이어졌다</t>
  </si>
  <si>
    <t>也=단정하는 조사</t>
  </si>
  <si>
    <t>선왕이다</t>
  </si>
  <si>
    <t>선왕 대에 이르렀다</t>
  </si>
  <si>
    <t>衣食足而知榮辱</t>
  </si>
  <si>
    <t>禮生於有而廢於無</t>
  </si>
  <si>
    <t>故君子富</t>
  </si>
  <si>
    <t>禮=예 · 生=낳다·살다 · 於=~에 · 有=있다 · 而=말 잇는 조사 · 廢=그만두다 · 無=없다</t>
  </si>
  <si>
    <t>예는 있음에서 생기고 없음에서 폐한다</t>
  </si>
  <si>
    <t>예의는 살림이 있어야 생기고 없으면 사라진다</t>
  </si>
  <si>
    <t>TD-4 도덕·책무</t>
  </si>
  <si>
    <t>生·廢</t>
  </si>
  <si>
    <t>예의 발생</t>
  </si>
  <si>
    <t>초목이 나고 시듦이 예의 성쇠로 옮겨감</t>
  </si>
  <si>
    <t>生·廢가 한 절 안에 함께 나타남</t>
  </si>
  <si>
    <t>好行其德</t>
  </si>
  <si>
    <t>故=까닭 · 君=임금·그대 · 子=아들 · 富=재물이 넉넉하다</t>
  </si>
  <si>
    <t>그러므로 군자가 부유하면</t>
  </si>
  <si>
    <t>그러므로 군자는 부유해지면</t>
  </si>
  <si>
    <t>小人</t>
  </si>
  <si>
    <t>好=좋다 · 行=걸어가다 · 其=그 · 德=덕</t>
  </si>
  <si>
    <t>그 덕을 행하기를 좋아한다</t>
  </si>
  <si>
    <t>기꺼이 덕을 베푼다</t>
  </si>
  <si>
    <t>SD-5 운동·시간</t>
  </si>
  <si>
    <t>行</t>
  </si>
  <si>
    <t>덕의 실행</t>
  </si>
  <si>
    <t>걸음이 덕의 실천으로 옮겨감</t>
  </si>
  <si>
    <t>小=작다 · 人=사람</t>
  </si>
  <si>
    <t>소인은</t>
  </si>
  <si>
    <t>以適其力</t>
  </si>
  <si>
    <t>富=재물이 넉넉하다</t>
  </si>
  <si>
    <t>부유하면</t>
  </si>
  <si>
    <t>부유해지면</t>
  </si>
  <si>
    <t>淵深而魚生之</t>
  </si>
  <si>
    <t>以=~로써 · 其=그 · 力=힘</t>
  </si>
  <si>
    <t>그 힘에 맞게 쓴다</t>
  </si>
  <si>
    <t>제 분수껏 쓴다</t>
  </si>
  <si>
    <t>山深而獸往之</t>
  </si>
  <si>
    <t>人富而仁義附焉</t>
  </si>
  <si>
    <t>山=산 · 深=깊다 · 而=말 잇는 조사 · 往=가다 · 之=가다 (조사로도 쓰임)</t>
  </si>
  <si>
    <t>산이 깊으면 짐승이 그리로 간다</t>
  </si>
  <si>
    <t>산이 깊어야 짐승이 모여들듯</t>
  </si>
  <si>
    <t>深</t>
  </si>
  <si>
    <t>부의 크기</t>
  </si>
  <si>
    <t>못과 산의 깊이가 부의 크기로 옮겨감(직유)</t>
  </si>
  <si>
    <t>富者得埶益彰</t>
  </si>
  <si>
    <t>人=사람 · 富=재물이 넉넉하다 · 而=말 잇는 조사 · 仁=어짊 · 義=옳음 · 焉=어찌</t>
  </si>
  <si>
    <t>사람이 부유하면 인의가 거기에 붙는다</t>
  </si>
  <si>
    <t>사람이 부유해야 인의도 따라붙는다</t>
  </si>
  <si>
    <t>失埶則客無所</t>
  </si>
  <si>
    <t>富=재물이 넉넉하다 · 者=~하는 것·사람 · 得=얻다 · 益=더하다</t>
  </si>
  <si>
    <t>부유한 자는 세력을 얻어 더욱 드러난다</t>
  </si>
  <si>
    <t>부유하면 세력을 얻어 이름이 더 나고</t>
  </si>
  <si>
    <t>埶</t>
  </si>
  <si>
    <t>형세</t>
  </si>
  <si>
    <t>공간적 형세가 부의 지위로 옮겨감</t>
  </si>
  <si>
    <t>之</t>
  </si>
  <si>
    <t>失=잃다 · 則=곧 · 客=손님 · 無=없다 · 所=바·곳</t>
  </si>
  <si>
    <t>세력을 잃으면 객이 갈 곳이 없다</t>
  </si>
  <si>
    <t>세력을 잃으면 따르던 이들이 흩어진다</t>
  </si>
  <si>
    <t>夷狄益甚</t>
  </si>
  <si>
    <t>諺曰</t>
  </si>
  <si>
    <t>千金之子</t>
  </si>
  <si>
    <t>曰=말하다</t>
  </si>
  <si>
    <t>속담에 이르기를</t>
  </si>
  <si>
    <t>속담에 이런 말이 있다</t>
  </si>
  <si>
    <t>不死於市</t>
  </si>
  <si>
    <t>千金</t>
  </si>
  <si>
    <t>千=일천 · 金=쇠붙이 · 之=가다 (조사로도 쓰임) · 子=아들</t>
  </si>
  <si>
    <t>천금을 가진 집 자식은</t>
  </si>
  <si>
    <t>큰 부자의 자식은</t>
  </si>
  <si>
    <t>此非空言也</t>
  </si>
  <si>
    <t>不=아니다 · 死=죽다 · 於=~에 · 市=저자</t>
  </si>
  <si>
    <t>저자에서 죽지 않는다</t>
  </si>
  <si>
    <t>저자에서 처형당하는 일이 없다</t>
  </si>
  <si>
    <t>故曰</t>
  </si>
  <si>
    <t>天下熙熙</t>
  </si>
  <si>
    <t>皆為利來</t>
  </si>
  <si>
    <t>天=하늘 · 下=아래쪽</t>
  </si>
  <si>
    <t>천하가 북적북적하다</t>
  </si>
  <si>
    <t>천하가 시끌벅적한데</t>
  </si>
  <si>
    <t>天下壤壤</t>
  </si>
  <si>
    <t>皆=모두 · 為=하다 · 利=날이 날카롭다 → 이롭다 · 來=오다</t>
  </si>
  <si>
    <t>모두 이익을 위해 온다</t>
  </si>
  <si>
    <t>모두 이익을 좇아 몰려드는 것이다</t>
  </si>
  <si>
    <t>來</t>
  </si>
  <si>
    <t>이익의 쏠림</t>
  </si>
  <si>
    <t>오고 감이 이익 추구로 옮겨감</t>
  </si>
  <si>
    <t>皆為利往</t>
  </si>
  <si>
    <t>천하가 어수선하다</t>
  </si>
  <si>
    <t>천하가 어지러운데</t>
  </si>
  <si>
    <t>夫千乘之王</t>
  </si>
  <si>
    <t>皆=모두 · 為=하다 · 利=날이 날카롭다 → 이롭다 · 往=가다</t>
  </si>
  <si>
    <t>모두 이익을 위해 간다</t>
  </si>
  <si>
    <t>모두 이익을 좇아 떠나는 것이다</t>
  </si>
  <si>
    <t>往</t>
  </si>
  <si>
    <t>萬家之侯</t>
  </si>
  <si>
    <t>夫=사내·무릇 · 千=일천 · 之=가다 (조사로도 쓰임) · 王=임금</t>
  </si>
  <si>
    <t>무릇 천승의 왕</t>
  </si>
  <si>
    <t>수레 천 대를 거느린 왕이나</t>
  </si>
  <si>
    <t>百室之君</t>
  </si>
  <si>
    <t>尚猶患貧</t>
  </si>
  <si>
    <t>百=일백 · 之=가다 (조사로도 쓰임) · 君=임금·그대</t>
  </si>
  <si>
    <t>백실의 임금도</t>
  </si>
  <si>
    <t>백 채의 봉읍을 가진 이도</t>
  </si>
  <si>
    <t>而況匹夫編</t>
  </si>
  <si>
    <t>貧</t>
  </si>
  <si>
    <t>貧=재물이 모자라다</t>
  </si>
  <si>
    <t>오히려 가난을 근심한다</t>
  </si>
  <si>
    <t>오히려 가난을 걱정하는데</t>
  </si>
  <si>
    <t>戶之民乎</t>
  </si>
  <si>
    <t>而=말 잇는 조사 · 夫=사내·무릇</t>
  </si>
  <si>
    <t>하물며 필부와 호적에 든</t>
  </si>
  <si>
    <t>하물며 평범한 백성이야</t>
  </si>
  <si>
    <t>時用則知物</t>
  </si>
  <si>
    <t>二者形則</t>
  </si>
  <si>
    <t>萬貨之情可得而觀已</t>
  </si>
  <si>
    <t>二=둘 · 者=~하는 것·사람 · 形=모양 · 則=곧</t>
  </si>
  <si>
    <t>두 가지가 드러나면</t>
  </si>
  <si>
    <t>이 둘이 드러나면</t>
  </si>
  <si>
    <t>故歲在金</t>
  </si>
  <si>
    <t>貨</t>
  </si>
  <si>
    <t>萬=일만 · 貨=사고파는 물건 · 之=가다 (조사로도 쓰임) · 可=옳다·가하다 · 得=얻다 · 而=말 잇는 조사 · 已=이미</t>
  </si>
  <si>
    <t>온갖 재화의 실정을 볼 수 있다</t>
  </si>
  <si>
    <t>모든 물가의 흐름을 읽을 수 있다</t>
  </si>
  <si>
    <t>穰</t>
  </si>
  <si>
    <t>故=까닭 · 歲=한 해 · 在=있다 · 金=쇠붙이</t>
  </si>
  <si>
    <t>그러므로 목성이 금의 자리에 있으면</t>
  </si>
  <si>
    <t>목성이 금의 방위에 들면</t>
  </si>
  <si>
    <t>歲在金</t>
  </si>
  <si>
    <t>풍흉 예측</t>
  </si>
  <si>
    <t>오행 관념이 작황 예측으로 옮겨감</t>
  </si>
  <si>
    <t>火</t>
  </si>
  <si>
    <t>旱</t>
  </si>
  <si>
    <t>旱則資舟</t>
  </si>
  <si>
    <t>旱=가뭄</t>
  </si>
  <si>
    <t>가물다</t>
  </si>
  <si>
    <t>가뭄이 든다</t>
  </si>
  <si>
    <t>水則資車</t>
  </si>
  <si>
    <t>資</t>
  </si>
  <si>
    <t>旱=가뭄 · 則=곧 · 資=밑천 · 舟=배</t>
  </si>
  <si>
    <t>가물면 배를 마련한다</t>
  </si>
  <si>
    <t>가뭄이 들면 미리 배를 사 둔다</t>
  </si>
  <si>
    <t>(수사 기제)</t>
  </si>
  <si>
    <t>역발상</t>
  </si>
  <si>
    <t>가뭄에 배를 마련하는 역설적 대비</t>
  </si>
  <si>
    <t>物之理</t>
  </si>
  <si>
    <t>水=물 · 則=곧 · 資=밑천 · 車=수레</t>
  </si>
  <si>
    <t>물이 나면 수레를 마련한다</t>
  </si>
  <si>
    <t>홍수가 나면 미리 수레를 사 둔다</t>
  </si>
  <si>
    <t>也</t>
  </si>
  <si>
    <t>物=물건 · 之=가다 (조사로도 쓰임) · 理=옥의 결</t>
  </si>
  <si>
    <t>사물의 이치</t>
  </si>
  <si>
    <t>이것이 사물의 이치다</t>
  </si>
  <si>
    <t>理</t>
  </si>
  <si>
    <t>옥의 결이 사물의 원리로 옮겨감</t>
  </si>
  <si>
    <t>二十病農</t>
  </si>
  <si>
    <t>九十病末</t>
  </si>
  <si>
    <t>末病則財不出</t>
  </si>
  <si>
    <t>九=아홉 · 十=열 · 病=병들다 · 末=끝</t>
  </si>
  <si>
    <t>구십이면 상업이 병든다</t>
  </si>
  <si>
    <t>값이 구십이면 상업이 위축된다</t>
  </si>
  <si>
    <t>末</t>
  </si>
  <si>
    <t>상업</t>
  </si>
  <si>
    <t>나뭇가지가 말업인 상업으로 옮겨감</t>
  </si>
  <si>
    <t>農病則草不</t>
  </si>
  <si>
    <t>末=끝 · 病=병들다 · 則=곧 · 財=재물 · 不=아니다 · 出=나가다</t>
  </si>
  <si>
    <t>상업이 병들면 재물이 나오지 않는다</t>
  </si>
  <si>
    <t>상업이 위축되면 재화가 돌지 않는다</t>
  </si>
  <si>
    <t>SD-2 신체·감각</t>
  </si>
  <si>
    <t>病</t>
  </si>
  <si>
    <t>부진</t>
  </si>
  <si>
    <t>신체의 질병이 산업의 침체로 옮겨감</t>
  </si>
  <si>
    <t>辟矣</t>
  </si>
  <si>
    <t>農=농사 · 病=병들다 · 則=곧 · 不=아니다</t>
  </si>
  <si>
    <t>농사가 병들면 풀이</t>
  </si>
  <si>
    <t>농사가 무너지면 땅이</t>
  </si>
  <si>
    <t>上不過八十</t>
  </si>
  <si>
    <t>下不減三十</t>
  </si>
  <si>
    <t>則農末俱利</t>
  </si>
  <si>
    <t>下=아래쪽 · 不=아니다 · 三=셋 · 十=열</t>
  </si>
  <si>
    <t>아래로 삼십에서 줄지 않으면</t>
  </si>
  <si>
    <t>값이 삼십 아래로 내려가지 않으면</t>
  </si>
  <si>
    <t>平糶齊物</t>
  </si>
  <si>
    <t>則=곧 · 農=농사 · 末=끝 · 俱=함께 · 利=날이 날카롭다 → 이롭다</t>
  </si>
  <si>
    <t>농사와 상업이 함께 이롭다</t>
  </si>
  <si>
    <t>농민과 상인이 함께 이익을 본다</t>
  </si>
  <si>
    <t>關市不乏</t>
  </si>
  <si>
    <t>平=평평하다 · 物=물건</t>
  </si>
  <si>
    <t>곡가를 고르게 하고 물자를 가지런히 한다</t>
  </si>
  <si>
    <t>곡물값을 안정시키고 물자를 고르게 한다</t>
  </si>
  <si>
    <t>積著之理</t>
  </si>
  <si>
    <t>務完物</t>
  </si>
  <si>
    <t>無息幣</t>
  </si>
  <si>
    <t>物=물건</t>
  </si>
  <si>
    <t>물건을 온전히 갖추기에 힘쓴다</t>
  </si>
  <si>
    <t>물건을 흠 없이 갖추는 데 힘쓴다</t>
  </si>
  <si>
    <t>以物相貿易</t>
  </si>
  <si>
    <t>息</t>
  </si>
  <si>
    <t>無=없다 · 息=숨쉬다 · 幣=예물로 쓰는 비단</t>
  </si>
  <si>
    <t>화폐를 묵히지 않는다</t>
  </si>
  <si>
    <t>돈을 놀리지 않는다</t>
  </si>
  <si>
    <t>정체</t>
  </si>
  <si>
    <t>숨이 멎음이 화폐의 정체로 옮겨감</t>
  </si>
  <si>
    <t>腐敗而食之貨勿留</t>
  </si>
  <si>
    <t>貿易</t>
  </si>
  <si>
    <t>以=~로써 · 物=물건 · 相=서로 · 易=쉽다</t>
  </si>
  <si>
    <t>물건으로 서로 바꾼다</t>
  </si>
  <si>
    <t>물건끼리 맞바꾼다</t>
  </si>
  <si>
    <t>無敢居貴</t>
  </si>
  <si>
    <t>敗=싸움에 지다 · 而=말 잇는 조사 · 食=먹다 · 之=가다 (조사로도 쓰임) · 貨=사고파는 물건 · 留=머무르다</t>
  </si>
  <si>
    <t>썩어 상하는 먹을거리는 쌓아 두지 않는다</t>
  </si>
  <si>
    <t>상하기 쉬운 식품은 재어 두지 않는다</t>
  </si>
  <si>
    <t>論其有餘不足</t>
  </si>
  <si>
    <t>無=없다 · 居=머물러 살다 · 貴=귀하다</t>
  </si>
  <si>
    <t>감히 비싸질 때까지 쌓아 두지 않는다</t>
  </si>
  <si>
    <t>값이 오르기를 기다려 사재기하지 않는다</t>
  </si>
  <si>
    <t>居</t>
  </si>
  <si>
    <t>사재기</t>
  </si>
  <si>
    <t>거처함이 물화를 쟁여 둠으로 옮겨감</t>
  </si>
  <si>
    <t>貴出如糞土</t>
  </si>
  <si>
    <t>賤取如珠玉</t>
  </si>
  <si>
    <t>財幣欲其行如流水</t>
  </si>
  <si>
    <t>賤=천하다 · 取=가지다 · 如=같다 · 珠=구슬 · 玉=옥</t>
  </si>
  <si>
    <t>쌀 때 구슬과 옥처럼 거둔다</t>
  </si>
  <si>
    <t>값이 쌀 때는 보배처럼 사들인다</t>
  </si>
  <si>
    <t>珠玉·糞土</t>
  </si>
  <si>
    <t>귀천</t>
  </si>
  <si>
    <t>옥과 똥이 값의 귀천으로 옮겨감(직유)</t>
  </si>
  <si>
    <t>修之十年</t>
  </si>
  <si>
    <t>財幣</t>
  </si>
  <si>
    <t>財=재물 · 幣=예물로 쓰는 비단 · 欲=하고자 하다 · 其=그 · 行=걸어가다 · 如=같다 · 流=물이 흐르다 · 水=물</t>
  </si>
  <si>
    <t>재화는 그 돎이 흐르는 물과 같기를 바란다</t>
  </si>
  <si>
    <t>돈은 물처럼 흘러 다녀야 한다</t>
  </si>
  <si>
    <t>如流水</t>
  </si>
  <si>
    <t>흐르는 물이 재화의 유통으로 옮겨감(직유)</t>
  </si>
  <si>
    <t>國富</t>
  </si>
  <si>
    <t>修=닦다 · 之=가다 (조사로도 쓰임) · 十=열 · 年=해</t>
  </si>
  <si>
    <t>십 년을 닦으니</t>
  </si>
  <si>
    <t>십 년을 그렇게 하니</t>
  </si>
  <si>
    <t>厚賂戰士</t>
  </si>
  <si>
    <t>國=나라 · 富=재물이 넉넉하다</t>
  </si>
  <si>
    <t>나라가 부유해졌다</t>
  </si>
  <si>
    <t>나라가 부유해졌고</t>
  </si>
  <si>
    <t>士赴矢石</t>
  </si>
  <si>
    <t>厚=두껍다 · 士=선비</t>
  </si>
  <si>
    <t>군사에게 후하게 상을 주었다</t>
  </si>
  <si>
    <t>병사들에게 후한 상을 내렸다</t>
  </si>
  <si>
    <t>TD-2 권력·지배</t>
  </si>
  <si>
    <t>厚</t>
  </si>
  <si>
    <t>후한 대우</t>
  </si>
  <si>
    <t>두께가 대우의 정도로 옮겨감</t>
  </si>
  <si>
    <t>諸</t>
  </si>
  <si>
    <t>侯四通</t>
  </si>
  <si>
    <t>貨物所交易也</t>
  </si>
  <si>
    <t>侯=제후 · 四=넷 · 通=통하다</t>
  </si>
  <si>
    <t>제후의 사방이 통하고</t>
  </si>
  <si>
    <t>사방으로 길이 통하여</t>
  </si>
  <si>
    <t>乃治產積居</t>
  </si>
  <si>
    <t>貨=사고파는 물건 · 物=물건 · 所=바·곳 · 易=쉽다 · 也=단정하는 조사</t>
  </si>
  <si>
    <t>재화가 오가며 교역되는 곳이다</t>
  </si>
  <si>
    <t>물자가 오가며 거래되는 곳이다</t>
  </si>
  <si>
    <t>與時逐而不責於人</t>
  </si>
  <si>
    <t>產</t>
  </si>
  <si>
    <t>乃=이에 · 治=다스리다 · 積=쌓아 올리다 · 居=머물러 살다</t>
  </si>
  <si>
    <t>이에 재산을 다스리고 쌓아 두었다</t>
  </si>
  <si>
    <t>그리하여 재산을 굴리고 물건을 쟁여 두었다</t>
  </si>
  <si>
    <t>積</t>
  </si>
  <si>
    <t>축적</t>
  </si>
  <si>
    <t>쌓아 올림이 재화의 축적으로 옮겨감</t>
  </si>
  <si>
    <t>故善治生者</t>
  </si>
  <si>
    <t>與=주다 · 時=때 · 逐=짐승을 뒤쫓다 · 而=말 잇는 조사 · 不=아니다 · 於=~에 · 人=사람</t>
  </si>
  <si>
    <t>때와 더불어 쫓되 사람에게 책하지 않았다</t>
  </si>
  <si>
    <t>시세를 좇을 뿐 남을 탓하지 않았다</t>
  </si>
  <si>
    <t>SD-4 사냥·전쟁</t>
  </si>
  <si>
    <t>逐</t>
  </si>
  <si>
    <t>시세 추격</t>
  </si>
  <si>
    <t>사냥의 추격이 시세 좇기로 옮겨감</t>
  </si>
  <si>
    <t>能擇人而任時</t>
  </si>
  <si>
    <t>十九年</t>
  </si>
  <si>
    <t>之中三致千金</t>
  </si>
  <si>
    <t>十=열 · 九=아홉 · 年=해</t>
  </si>
  <si>
    <t>십구 년</t>
  </si>
  <si>
    <t>십구 년 동안</t>
  </si>
  <si>
    <t>再分散與貧交疏昆弟</t>
  </si>
  <si>
    <t>之=가다 (조사로도 쓰임) · 中=가운데 · 三=셋 · 致=이르게 하다 · 千=일천 · 金=쇠붙이</t>
  </si>
  <si>
    <t>가운데 세 번 천금에 이르렀다</t>
  </si>
  <si>
    <t>세 차례나 천금을 모았다</t>
  </si>
  <si>
    <t>此所謂富好行其德者也</t>
  </si>
  <si>
    <t>分=나누다 · 與=주다 · 貧=재물이 모자라다</t>
  </si>
  <si>
    <t>다시 가난한 벗과 먼 형제에게 나누어 주었다</t>
  </si>
  <si>
    <t>그때마다 가난한 벗과 먼 친척에게 나누어 주었다</t>
  </si>
  <si>
    <t>後年衰老而聽子孫</t>
  </si>
  <si>
    <t>此=이것 · 所=바·곳 · 謂=이르다 · 富=재물이 넉넉하다 · 好=좋다 · 行=걸어가다 · 其=그 · 德=덕 · 者=~하는 것·사람 · 也=단정하는 조사</t>
  </si>
  <si>
    <t>이것이 이른바 부유하여 덕을 행하기 좋아하는 자다</t>
  </si>
  <si>
    <t>이것이 부유하면서 덕을 베푸는 사람이다</t>
  </si>
  <si>
    <t>子孫修業而</t>
  </si>
  <si>
    <t>後=뒤 · 年=해 · 衰=초목이 시들다 · 老=늙다 · 而=말 잇는 조사 · 子=아들</t>
  </si>
  <si>
    <t>늙어서는 자손에게 맡겼다</t>
  </si>
  <si>
    <t>나이 들어서는 자손에게 맡겼고</t>
  </si>
  <si>
    <t>子=아들 · 修=닦다 · 業=생업 · 而=말 잇는 조사</t>
  </si>
  <si>
    <t>자손이 가업을 닦아</t>
  </si>
  <si>
    <t>자손이 그 일을 이어</t>
  </si>
  <si>
    <t>息之</t>
  </si>
  <si>
    <t>遂至巨萬</t>
  </si>
  <si>
    <t>息=숨쉬다 · 之=가다 (조사로도 쓰임)</t>
  </si>
  <si>
    <t>그것을 불렸다</t>
  </si>
  <si>
    <t>재산을 불려 나갔다</t>
  </si>
  <si>
    <t>증식</t>
  </si>
  <si>
    <t>숨이 이자의 불어남으로 옮겨감</t>
  </si>
  <si>
    <t>故言富者皆稱陶朱公</t>
  </si>
  <si>
    <t>遂=마침내 · 至=이르다 · 萬=일만</t>
  </si>
  <si>
    <t>마침내 거만에 이르렀다</t>
  </si>
  <si>
    <t>마침내 거만의 재산을 이루었다</t>
  </si>
  <si>
    <t>故=까닭 · 言=말하다 · 富=재물이 넉넉하다 · 者=~하는 것·사람 · 皆=모두 · 稱=일컫다 · 公=공변되다·귀인</t>
  </si>
  <si>
    <t>그러므로 부자를 말하는 자는 모두 도주공을 일컫는다</t>
  </si>
  <si>
    <t>그래서 부자를 말할 때면 모두 도주공을 든다</t>
  </si>
  <si>
    <t>子贛既學於仲尼</t>
  </si>
  <si>
    <t>退而仕於衛</t>
  </si>
  <si>
    <t>子=아들 · 學=배우다 · 於=~에</t>
  </si>
  <si>
    <t>자공은 이미 중니에게 배우고</t>
  </si>
  <si>
    <t>자공은 공자에게 배운 뒤</t>
  </si>
  <si>
    <t>廢著鬻財於曹</t>
  </si>
  <si>
    <t>退=물러나다 · 而=말 잇는 조사 · 於=~에 · 衛=지켜 막다</t>
  </si>
  <si>
    <t>물러나 위나라에서 벼슬했다</t>
  </si>
  <si>
    <t>물러나 위나라에서 벼슬살이를 했고</t>
  </si>
  <si>
    <t>魯之閒</t>
  </si>
  <si>
    <t>廢=그만두다 · 財=재물 · 於=~에</t>
  </si>
  <si>
    <t>조나라에서 재물을 사고팔았다</t>
  </si>
  <si>
    <t>조나라에서 물건을 사고팔았다</t>
  </si>
  <si>
    <t>七十子之徒</t>
  </si>
  <si>
    <t>之=가다 (조사로도 쓰임) · 閒=틈·한가하다</t>
  </si>
  <si>
    <t>노나라 사이에서</t>
  </si>
  <si>
    <t>노나라 일대에서</t>
  </si>
  <si>
    <t>糠</t>
  </si>
  <si>
    <t>匿於窮巷</t>
  </si>
  <si>
    <t>子貢結駟連騎</t>
  </si>
  <si>
    <t>於=~에</t>
  </si>
  <si>
    <t>궁벽한 골목에 숨었으나</t>
  </si>
  <si>
    <t>좁은 골목에 묻혀 지냈으나</t>
  </si>
  <si>
    <t>束帛之幣以聘享諸侯</t>
  </si>
  <si>
    <t>貢</t>
  </si>
  <si>
    <t>子=아들 · 貢=바치는 물건 · 連=잇다</t>
  </si>
  <si>
    <t>자공은 사마를 매고 기마를 잇대어</t>
  </si>
  <si>
    <t>자공은 사두마차와 기마 행렬을 거느리고</t>
  </si>
  <si>
    <t>所至</t>
  </si>
  <si>
    <t>之=가다 (조사로도 쓰임) · 幣=예물로 쓰는 비단 · 以=~로써 · 諸=여러 · 侯=제후</t>
  </si>
  <si>
    <t>비단 묶음을 예물로 제후를 방문했다</t>
  </si>
  <si>
    <t>비단 예물을 들고 제후들을 찾아다녔다</t>
  </si>
  <si>
    <t>夫使孔子</t>
  </si>
  <si>
    <t>名布揚於天下者</t>
  </si>
  <si>
    <t>子貢先後之也</t>
  </si>
  <si>
    <t>名=이름 · 布=베 · 於=~에 · 天=하늘 · 下=아래쪽 · 者=~하는 것·사람</t>
  </si>
  <si>
    <t>명성이 천하에 퍼진 것은</t>
  </si>
  <si>
    <t>공자의 이름이 천하에 퍼진 것은</t>
  </si>
  <si>
    <t>此所謂得埶而益彰者乎</t>
  </si>
  <si>
    <t>子=아들 · 貢=바치는 물건 · 先=먼저 · 後=뒤 · 之=가다 (조사로도 쓰임) · 也=단정하는 조사</t>
  </si>
  <si>
    <t>자공이 앞뒤에서 도왔기 때문이다</t>
  </si>
  <si>
    <t>자공이 앞뒤로 도운 덕이다</t>
  </si>
  <si>
    <t>此=이것 · 所=바·곳 · 謂=이르다 · 得=얻다 · 而=말 잇는 조사 · 益=더하다 · 者=~하는 것·사람 · 乎=의문의 조사</t>
  </si>
  <si>
    <t>이것이 이른바 세력을 얻어 더욱 드러난 것이다</t>
  </si>
  <si>
    <t>이것이 세력을 얻어 이름이 더 난 경우다</t>
  </si>
  <si>
    <t>공간적 형세가 명성의 지위로 옮겨감</t>
  </si>
  <si>
    <t>有水</t>
  </si>
  <si>
    <t>至卯</t>
  </si>
  <si>
    <t>積著率歲倍</t>
  </si>
  <si>
    <t>至=이르다</t>
  </si>
  <si>
    <t>묘의 자리에 이르면</t>
  </si>
  <si>
    <t>목성이 묘의 방위에 들면</t>
  </si>
  <si>
    <t>欲長錢</t>
  </si>
  <si>
    <t>倍</t>
  </si>
  <si>
    <t>積=쌓아 올리다 · 歲=한 해 · 倍=갑절</t>
  </si>
  <si>
    <t>쌓아 둔 것이 해마다 갑절이 된다</t>
  </si>
  <si>
    <t>재어 둔 물건이 해마다 곱절로 불어난다</t>
  </si>
  <si>
    <t>積著</t>
  </si>
  <si>
    <t>取下穀</t>
  </si>
  <si>
    <t>錢</t>
  </si>
  <si>
    <t>欲=하고자 하다 · 長=길다·자라다 · 錢=엽전</t>
  </si>
  <si>
    <t>돈을 불리고자 하면</t>
  </si>
  <si>
    <t>돈을 불리려면</t>
  </si>
  <si>
    <t>長</t>
  </si>
  <si>
    <t>초목의 생장이 돈의 불어남으로 옮겨감</t>
  </si>
  <si>
    <t>長石斗</t>
  </si>
  <si>
    <t>取=가지다 · 下=아래쪽 · 穀=곡식</t>
  </si>
  <si>
    <t>낮은 등급의 곡식을 취한다</t>
  </si>
  <si>
    <t>값싼 곡식을 사들인다</t>
  </si>
  <si>
    <t>吾治生</t>
  </si>
  <si>
    <t>吾=나 · 治=다스리다 · 生=낳다·살다</t>
  </si>
  <si>
    <t>나는 생업을 다스리기를</t>
  </si>
  <si>
    <t>내가 생업을 꾸리는 것은</t>
  </si>
  <si>
    <t>猶伊尹</t>
  </si>
  <si>
    <t>재산을</t>
  </si>
  <si>
    <t>재산 불리는 일을</t>
  </si>
  <si>
    <t>呂尚之謀</t>
  </si>
  <si>
    <t>이윤과 같이</t>
  </si>
  <si>
    <t>이윤이나</t>
  </si>
  <si>
    <t>猶伊尹呂尚之謀</t>
  </si>
  <si>
    <t>경영</t>
  </si>
  <si>
    <t>군사 책략이 생업 경영으로 옮겨감(직유)</t>
  </si>
  <si>
    <t>孫吳用兵</t>
  </si>
  <si>
    <t>商鞅行法是也</t>
  </si>
  <si>
    <t>用=쓰다 · 兵=무기</t>
  </si>
  <si>
    <t>손자·오기가 군사를 부리듯</t>
  </si>
  <si>
    <t>손자와 오기가 군사를 부리듯 한다</t>
  </si>
  <si>
    <t>是故其智不足與權變</t>
  </si>
  <si>
    <t>商=장사하다 · 行=걸어가다 · 法=법 · 是=옳다·이것 · 也=단정하는 조사</t>
  </si>
  <si>
    <t>상앙이 법을 시행한 것이 그것이다</t>
  </si>
  <si>
    <t>상앙이 법을 편 것과 같다</t>
  </si>
  <si>
    <t>勇不足以決斷</t>
  </si>
  <si>
    <t>是=옳다·이것 · 故=까닭 · 其=그 · 智=슬기 · 不=아니다 · 足=발 · 與=주다 · 權=저울추</t>
  </si>
  <si>
    <t>그러므로 그 지혜가 임기응변에 모자라고</t>
  </si>
  <si>
    <t>그러므로 임기응변할 지혜가 모자라고</t>
  </si>
  <si>
    <t>猗頓用盬鹽起</t>
  </si>
  <si>
    <t>而邯鄲郭縱以鐵冶成業</t>
  </si>
  <si>
    <t>與王者埒富</t>
  </si>
  <si>
    <t>而=말 잇는 조사 · 縱=줄을 놓다 · 以=~로써 · 鐵=무쇠 · 成=이루다 · 業=생업</t>
  </si>
  <si>
    <t>한단의 곽종은 철 제련으로 사업을 이루어</t>
  </si>
  <si>
    <t>한단의 곽종은 제철업으로 일어나</t>
  </si>
  <si>
    <t>與=주다 · 王=임금 · 者=~하는 것·사람 · 埒=낮은 담 · 富=재물이 넉넉하다</t>
  </si>
  <si>
    <t>왕과 부를 나란히 했다</t>
  </si>
  <si>
    <t>임금에 견줄 만큼 부유해졌다</t>
  </si>
  <si>
    <t>埒</t>
  </si>
  <si>
    <t>대등</t>
  </si>
  <si>
    <t>담의 높이가 부의 대등함으로 옮겨감</t>
  </si>
  <si>
    <t>烏氏倮牧</t>
  </si>
  <si>
    <t>及眾</t>
  </si>
  <si>
    <t>氏=성씨</t>
  </si>
  <si>
    <t>오씨 나가 목축을 하여</t>
  </si>
  <si>
    <t>오씨현의 나라는 사람이 목축을 하여</t>
  </si>
  <si>
    <t>斥賣</t>
  </si>
  <si>
    <t>及=미치다</t>
  </si>
  <si>
    <t>무리가 많아지자</t>
  </si>
  <si>
    <t>가축이 불어나자</t>
  </si>
  <si>
    <t>求奇繒物</t>
  </si>
  <si>
    <t>賣</t>
  </si>
  <si>
    <t>賣=팔다</t>
  </si>
  <si>
    <t>내다 팔아</t>
  </si>
  <si>
    <t>내다 팔고</t>
  </si>
  <si>
    <t>閒獻遺戎王</t>
  </si>
  <si>
    <t>求=구하다 · 奇=기이하다 · 物=물건</t>
  </si>
  <si>
    <t>진기한 비단을 구했다</t>
  </si>
  <si>
    <t>진기한 비단을 사들였다</t>
  </si>
  <si>
    <t>戎王什倍其償</t>
  </si>
  <si>
    <t>閒=틈·한가하다 · 王=임금</t>
  </si>
  <si>
    <t>몰래 융왕에게 바쳤다</t>
  </si>
  <si>
    <t>이를 융왕에게 바쳤더니</t>
  </si>
  <si>
    <t>與之畜</t>
  </si>
  <si>
    <t>倍 償 什</t>
  </si>
  <si>
    <t>王=임금 · 什=열 · 倍=갑절 · 其=그 · 償=갚다</t>
  </si>
  <si>
    <t>융왕이 열 배로 갚았다</t>
  </si>
  <si>
    <t>융왕이 열 배로 되갚았다</t>
  </si>
  <si>
    <t>畜至用谷量馬牛</t>
  </si>
  <si>
    <t>與=주다 · 之=가다 (조사로도 쓰임)</t>
  </si>
  <si>
    <t>가축으로 주었다</t>
  </si>
  <si>
    <t>가축으로 답례했다</t>
  </si>
  <si>
    <t>而巴蜀寡婦清</t>
  </si>
  <si>
    <t>其先得丹穴</t>
  </si>
  <si>
    <t>而擅其利數世</t>
  </si>
  <si>
    <t>其=그 · 先=먼저 · 得=얻다</t>
  </si>
  <si>
    <t>그 선조가 단사 광혈을 얻어</t>
  </si>
  <si>
    <t>그 조상이 단사 광산을 얻어</t>
  </si>
  <si>
    <t>家亦不</t>
  </si>
  <si>
    <t>而=말 잇는 조사 · 其=그 · 利=날이 날카롭다 → 이롭다 · 數=세다·수 · 世=세상</t>
  </si>
  <si>
    <t>그 이익을 여러 대 독차지했다</t>
  </si>
  <si>
    <t>그 이익을 여러 대에 걸쳐 독차지했다</t>
  </si>
  <si>
    <t>訾</t>
  </si>
  <si>
    <t>家=집 · 亦=또한 · 不=아니다</t>
  </si>
  <si>
    <t>집안 또한 헤아릴 수</t>
  </si>
  <si>
    <t>집안 재산이 이루 헤아릴 수</t>
  </si>
  <si>
    <t>寡婦也</t>
  </si>
  <si>
    <t>能守其業</t>
  </si>
  <si>
    <t>用財自衛</t>
  </si>
  <si>
    <t>能=능하다 · 守=지키다 · 其=그 · 業=생업</t>
  </si>
  <si>
    <t>그 가업을 지킬 수 있었고</t>
  </si>
  <si>
    <t>그 가업을 지켜 냈고</t>
  </si>
  <si>
    <t>不見侵犯</t>
  </si>
  <si>
    <t>用=쓰다 · 財=재물 · 自=스스로 · 衛=지켜 막다</t>
  </si>
  <si>
    <t>재물을 써서 스스로를 지켜</t>
  </si>
  <si>
    <t>재물로 제 몸을 지켜</t>
  </si>
  <si>
    <t>自衛</t>
  </si>
  <si>
    <t>자기 방어</t>
  </si>
  <si>
    <t>군사적 방위가 재산 보전으로 옮겨감</t>
  </si>
  <si>
    <t>秦皇帝以為貞婦而客之</t>
  </si>
  <si>
    <t>不=아니다 · 見=보다</t>
  </si>
  <si>
    <t>침범당하지 않았다</t>
  </si>
  <si>
    <t>禮抗萬乘</t>
  </si>
  <si>
    <t>名顯天下</t>
  </si>
  <si>
    <t>豈非以富邪</t>
  </si>
  <si>
    <t>名=이름 · 天=하늘 · 下=아래쪽</t>
  </si>
  <si>
    <t>이름이 천하에 드러났으니</t>
  </si>
  <si>
    <t>이름이 천하에 알려졌으니</t>
  </si>
  <si>
    <t>非=아니다 · 以=~로써 · 富=재물이 넉넉하다</t>
  </si>
  <si>
    <t>어찌 부유함 때문이 아니겠는가</t>
  </si>
  <si>
    <t>부유했기 때문이 아니겠는가</t>
  </si>
  <si>
    <t>漢興</t>
  </si>
  <si>
    <t>海內為一</t>
  </si>
  <si>
    <t>漢=한나라·사내 · 興=일어나다</t>
  </si>
  <si>
    <t>한나라가 일어나</t>
  </si>
  <si>
    <t>한나라가 서고</t>
  </si>
  <si>
    <t>開關梁</t>
  </si>
  <si>
    <t>弛山澤之禁</t>
  </si>
  <si>
    <t>是以富商大賈周流天下</t>
  </si>
  <si>
    <t>山=산 · 之=가다 (조사로도 쓰임)</t>
  </si>
  <si>
    <t>산택의 금령을 풀었다</t>
  </si>
  <si>
    <t>산림과 늪의 금령을 풀었다</t>
  </si>
  <si>
    <t>交易之物莫不通</t>
  </si>
  <si>
    <t>富 商 賈</t>
  </si>
  <si>
    <t>是=옳다·이것 · 以=~로써 · 富=재물이 넉넉하다 · 商=장사하다 · 大=크다 · 賈=장사하다 · 周=두루 · 流=물이 흐르다 · 天=하늘 · 下=아래쪽</t>
  </si>
  <si>
    <t>이로써 큰 상인이 천하를 두루 흘러 다녔다</t>
  </si>
  <si>
    <t>그리하여 큰 상인들이 천하를 두루 오갔고</t>
  </si>
  <si>
    <t>周流</t>
  </si>
  <si>
    <t>물의 두루 흐름이 상인의 왕래로 옮겨감</t>
  </si>
  <si>
    <t>得其所欲</t>
  </si>
  <si>
    <t>易=쉽다 · 之=가다 (조사로도 쓰임) · 物=물건 · 莫=없다 · 不=아니다 · 通=통하다</t>
  </si>
  <si>
    <t>교역되는 물건이 통하지 않는 것이 없었다</t>
  </si>
  <si>
    <t>거래되지 않는 물건이 없게 되었다</t>
  </si>
  <si>
    <t>華</t>
  </si>
  <si>
    <t>膏壤沃野千里</t>
  </si>
  <si>
    <t>自虞夏之貢以為上田</t>
  </si>
  <si>
    <t>膏=기름 · 千=일천</t>
  </si>
  <si>
    <t>기름진 들이 천 리에 뻗어</t>
  </si>
  <si>
    <t>기름진 들판이 천 리에 이어져</t>
  </si>
  <si>
    <t>而公劉適邠</t>
  </si>
  <si>
    <t>自=스스로 · 之=가다 (조사로도 쓰임) · 貢=바치는 물건 · 以=~로써 · 為=하다 · 上=위쪽 · 田=밭</t>
  </si>
  <si>
    <t>우·하의 공법에서 상등전으로 삼았다</t>
  </si>
  <si>
    <t>우와 하 시절부터 상등 농지로 쳤다</t>
  </si>
  <si>
    <t>上田</t>
  </si>
  <si>
    <t>토지 등급</t>
  </si>
  <si>
    <t>공간의 위가 토지 등급으로 옮겨감</t>
  </si>
  <si>
    <t>大王</t>
  </si>
  <si>
    <t>而=말 잇는 조사 · 公=공변되다·귀인</t>
  </si>
  <si>
    <t>공류가 빈으로 갔다</t>
  </si>
  <si>
    <t>공류가 빈 땅으로 옮겨 갔고</t>
  </si>
  <si>
    <t>故其民猶有先王之遺風</t>
  </si>
  <si>
    <t>好稼穡</t>
  </si>
  <si>
    <t>殖五穀</t>
  </si>
  <si>
    <t>好=좋다</t>
  </si>
  <si>
    <t>농사를 좋아하여</t>
  </si>
  <si>
    <t>농사를 즐겨</t>
  </si>
  <si>
    <t>地重</t>
  </si>
  <si>
    <t>殖</t>
  </si>
  <si>
    <t>殖=초목이 자라 불다 · 五=다섯 · 穀=곡식</t>
  </si>
  <si>
    <t>오곡을 심었다</t>
  </si>
  <si>
    <t>오곡을 길렀다</t>
  </si>
  <si>
    <t>重為邪</t>
  </si>
  <si>
    <t>地=땅 · 重=무겁다</t>
  </si>
  <si>
    <t>땅이 무겁다</t>
  </si>
  <si>
    <t>땅에 뿌리내린 기질이 진중하여</t>
  </si>
  <si>
    <t>重</t>
  </si>
  <si>
    <t>진중함</t>
  </si>
  <si>
    <t>무게가 기질의 진중함으로 옮겨감</t>
  </si>
  <si>
    <t>德</t>
  </si>
  <si>
    <t>繆居雍</t>
  </si>
  <si>
    <t>隙隴蜀之貨物而多賈</t>
  </si>
  <si>
    <t>居=머물러 살다</t>
  </si>
  <si>
    <t>목공이 옹에 거하고</t>
  </si>
  <si>
    <t>진 목공이 옹에 도읍하고</t>
  </si>
  <si>
    <t>獻</t>
  </si>
  <si>
    <t>貨 賈</t>
  </si>
  <si>
    <t>隙=틈 · 之=가다 (조사로도 쓰임) · 貨=사고파는 물건 · 物=물건 · 而=말 잇는 조사 · 多=많다 · 賈=장사하다</t>
  </si>
  <si>
    <t>농·촉의 재화 틈을 타 장사꾼이 많았다</t>
  </si>
  <si>
    <t>농서와 촉의 물자를 끼고 장사꾼이 몰렸다</t>
  </si>
  <si>
    <t>隙</t>
  </si>
  <si>
    <t>틈새</t>
  </si>
  <si>
    <t>공간의 틈이 교역의 기회로 옮겨감</t>
  </si>
  <si>
    <t>孝</t>
  </si>
  <si>
    <t>헌공</t>
  </si>
  <si>
    <t>헌공 때</t>
  </si>
  <si>
    <t>櫟邑北卻戎翟</t>
  </si>
  <si>
    <t>東通三晉</t>
  </si>
  <si>
    <t>亦多大賈</t>
  </si>
  <si>
    <t>東=동쪽 · 通=통하다 · 三=셋</t>
  </si>
  <si>
    <t>동으로 삼진과 통하고</t>
  </si>
  <si>
    <t>동쪽으로 삼진과 통하여</t>
  </si>
  <si>
    <t>武</t>
  </si>
  <si>
    <t>賈</t>
  </si>
  <si>
    <t>亦=또한 · 多=많다 · 大=크다 · 賈=장사하다</t>
  </si>
  <si>
    <t>또한 큰 상인이 많았다</t>
  </si>
  <si>
    <t>큰 상인이 많았다</t>
  </si>
  <si>
    <t>武=굳세다</t>
  </si>
  <si>
    <t>무공</t>
  </si>
  <si>
    <t>무공 때</t>
  </si>
  <si>
    <t>北地</t>
  </si>
  <si>
    <t>上郡與關中同俗</t>
  </si>
  <si>
    <t>然西有羌中之利</t>
  </si>
  <si>
    <t>上=위쪽 · 與=주다 · 關=빗장·관문 · 中=가운데 · 同=같다 · 俗=풍속</t>
  </si>
  <si>
    <t>상군은 관중과 풍속이 같다</t>
  </si>
  <si>
    <t>상군은 관중과 풍속이 같은데</t>
  </si>
  <si>
    <t>北有戎翟之畜</t>
  </si>
  <si>
    <t>然=그러하다 · 西=서쪽 · 有=있다 · 中=가운데 · 之=가다 (조사로도 쓰임) · 利=날이 날카롭다 → 이롭다</t>
  </si>
  <si>
    <t>그러나 서쪽에 강중의 이익이 있고</t>
  </si>
  <si>
    <t>서쪽으로는 강중의 이익이 있고</t>
  </si>
  <si>
    <t>畜牧為天</t>
  </si>
  <si>
    <t>北=북쪽 · 有=있다 · 之=가다 (조사로도 쓰임)</t>
  </si>
  <si>
    <t>북쪽에 융적의 가축이 있다</t>
  </si>
  <si>
    <t>북쪽으로는 융적의 가축이 있다</t>
  </si>
  <si>
    <t>故關中之地</t>
  </si>
  <si>
    <t>於天下三分之一</t>
  </si>
  <si>
    <t>而人眾不過什三</t>
  </si>
  <si>
    <t>於=~에 · 天=하늘 · 下=아래쪽 · 三=셋 · 分=나누다 · 之=가다 (조사로도 쓰임) · 一=하나</t>
  </si>
  <si>
    <t>천하의 삼분의 일이다</t>
  </si>
  <si>
    <t>천하의 삼분의 일에 해당한다</t>
  </si>
  <si>
    <t>然量其</t>
  </si>
  <si>
    <t>什</t>
  </si>
  <si>
    <t>而=말 잇는 조사 · 人=사람 · 不=아니다 · 過=지나다 · 什=열 · 三=셋</t>
  </si>
  <si>
    <t>그러나 인구는 십분의 삼에 지나지 않는다</t>
  </si>
  <si>
    <t>인구는 십분의 삼밖에 되지 않으나</t>
  </si>
  <si>
    <t>然=그러하다 · 其=그</t>
  </si>
  <si>
    <t>그 부를 헤아리면</t>
  </si>
  <si>
    <t>그 재부를 따져 보면</t>
  </si>
  <si>
    <t>什居其六</t>
  </si>
  <si>
    <t>부유함이</t>
  </si>
  <si>
    <t>부의 규모는</t>
  </si>
  <si>
    <t>什=열 · 居=머물러 살다 · 其=그 · 六=여섯</t>
  </si>
  <si>
    <t>열 가운데 여섯을 차지한다</t>
  </si>
  <si>
    <t>열에 여섯을 차지한다</t>
  </si>
  <si>
    <t>昔唐人都河東</t>
  </si>
  <si>
    <t>殷人都河內</t>
  </si>
  <si>
    <t>人=사람 · 都=도읍 · 東=동쪽</t>
  </si>
  <si>
    <t>옛날 당나라 사람은 하동에 도읍했다</t>
  </si>
  <si>
    <t>옛날 요임금은 하동에 도읍했고</t>
  </si>
  <si>
    <t>民人眾</t>
  </si>
  <si>
    <t>都國諸侯所聚會</t>
  </si>
  <si>
    <t>故其俗纖儉習事</t>
  </si>
  <si>
    <t>都=도읍 · 國=나라 · 諸=여러 · 侯=제후 · 所=바·곳</t>
  </si>
  <si>
    <t>도읍한 나라는 제후가 모이는 곳이다</t>
  </si>
  <si>
    <t>도읍은 제후들이 모여드는 곳이라</t>
  </si>
  <si>
    <t>楊</t>
  </si>
  <si>
    <t>儉</t>
  </si>
  <si>
    <t>故=까닭 · 其=그 · 俗=풍속 · 纖=가는 실 · 儉=검소하다 · 事=일</t>
  </si>
  <si>
    <t>그러므로 그 풍속이 잗달고 검소하며 일에 익숙하다</t>
  </si>
  <si>
    <t>그래서 풍속이 잘고 검소하며 실무에 밝다</t>
  </si>
  <si>
    <t>纖</t>
  </si>
  <si>
    <t>섬세함</t>
  </si>
  <si>
    <t>가는 실이 기질의 잗단 성격으로 옮겨감</t>
  </si>
  <si>
    <t>平陽陳西賈秦</t>
  </si>
  <si>
    <t>양</t>
  </si>
  <si>
    <t>양 땅</t>
  </si>
  <si>
    <t>翟</t>
  </si>
  <si>
    <t>平=평평하다 · 陽=볕 · 西=서쪽 · 賈=장사하다</t>
  </si>
  <si>
    <t>평양은 서쪽으로 진나라와 장사한다</t>
  </si>
  <si>
    <t>평양 사람은 서쪽으로 진나라와 거래하고</t>
  </si>
  <si>
    <t>北</t>
  </si>
  <si>
    <t>적</t>
  </si>
  <si>
    <t>적 땅</t>
  </si>
  <si>
    <t>賈種</t>
  </si>
  <si>
    <t>北=북쪽</t>
  </si>
  <si>
    <t>북쪽으로</t>
  </si>
  <si>
    <t>북쪽으로는</t>
  </si>
  <si>
    <t>代</t>
  </si>
  <si>
    <t>賈=장사하다</t>
  </si>
  <si>
    <t>종과 장사한다</t>
  </si>
  <si>
    <t>종 땅과 거래한다</t>
  </si>
  <si>
    <t>種</t>
  </si>
  <si>
    <t>대</t>
  </si>
  <si>
    <t>대 땅</t>
  </si>
  <si>
    <t>好氣</t>
  </si>
  <si>
    <t>任俠為姦</t>
  </si>
  <si>
    <t>不事農商</t>
  </si>
  <si>
    <t>任=맡기다 · 為=하다</t>
  </si>
  <si>
    <t>협기를 부려 간악한 짓을 하고</t>
  </si>
  <si>
    <t>호협을 자처하며 못된 짓을 하고</t>
  </si>
  <si>
    <t>然迫</t>
  </si>
  <si>
    <t>不=아니다 · 事=일 · 農=농사 · 商=장사하다</t>
  </si>
  <si>
    <t>농사와 장사를 일삼지 않는다</t>
  </si>
  <si>
    <t>농사도 장사도 하지 않는다</t>
  </si>
  <si>
    <t>近北夷</t>
  </si>
  <si>
    <t>然=그러하다</t>
  </si>
  <si>
    <t>그러나 가까이</t>
  </si>
  <si>
    <t>師旅亟往</t>
  </si>
  <si>
    <t>中國委輸時有奇羨</t>
  </si>
  <si>
    <t>旅=나그네 · 往=가다</t>
  </si>
  <si>
    <t>군대가 자주 가므로</t>
  </si>
  <si>
    <t>군대가 자주 오가므로</t>
  </si>
  <si>
    <t>其民羯羠不均</t>
  </si>
  <si>
    <t>羨</t>
  </si>
  <si>
    <t>中=가운데 · 國=나라 · 輸=실어 보내다 · 時=때 · 有=있다 · 奇=기이하다 · 羨=남아 넘치다</t>
  </si>
  <si>
    <t>중국의 물자 수송에 때로 남는 것이 있다</t>
  </si>
  <si>
    <t>중원에서 실어 오는 물자에 이문이 남는다</t>
  </si>
  <si>
    <t>잉여</t>
  </si>
  <si>
    <t>물이 넘침이 재화의 남음으로 옮겨감</t>
  </si>
  <si>
    <t>自全晉之時固已患其僄悍</t>
  </si>
  <si>
    <t>其=그 · 民=백성 · 不=아니다</t>
  </si>
  <si>
    <t>그 백성은 거칠어 고르지 않다</t>
  </si>
  <si>
    <t>그곳 백성은 사나워 균일하지 않다</t>
  </si>
  <si>
    <t>得所欲</t>
  </si>
  <si>
    <t>溫</t>
  </si>
  <si>
    <t>軹西賈上黨</t>
  </si>
  <si>
    <t>온</t>
  </si>
  <si>
    <t>온 땅</t>
  </si>
  <si>
    <t>北賈趙</t>
  </si>
  <si>
    <t>西=서쪽 · 賈=장사하다 · 上=위쪽</t>
  </si>
  <si>
    <t>지 서쪽으로 상당과 장사하고</t>
  </si>
  <si>
    <t>지 사람은 서쪽으로 상당과 거래하고</t>
  </si>
  <si>
    <t>中山</t>
  </si>
  <si>
    <t>北=북쪽 · 賈=장사하다</t>
  </si>
  <si>
    <t>북쪽으로 조와 장사한다</t>
  </si>
  <si>
    <t>북쪽으로 조나라와 거래한다</t>
  </si>
  <si>
    <t>中山地薄人眾</t>
  </si>
  <si>
    <t>中=가운데 · 山=산</t>
  </si>
  <si>
    <t>중산</t>
  </si>
  <si>
    <t>중산 땅</t>
  </si>
  <si>
    <t>猶有沙丘紂淫地餘民</t>
  </si>
  <si>
    <t>民俗懁急</t>
  </si>
  <si>
    <t>仰機利而食</t>
  </si>
  <si>
    <t>民=백성 · 俗=풍속</t>
  </si>
  <si>
    <t>민속이 조급하다</t>
  </si>
  <si>
    <t>풍속이 조급하여</t>
  </si>
  <si>
    <t>丈夫相聚游戲</t>
  </si>
  <si>
    <t>機=베틀 · 利=날이 날카롭다 → 이롭다 · 而=말 잇는 조사 · 食=먹다</t>
  </si>
  <si>
    <t>기회의 이익을 우러러 먹고산다</t>
  </si>
  <si>
    <t>기회를 노려 이익으로 먹고산다</t>
  </si>
  <si>
    <t>仰機利</t>
  </si>
  <si>
    <t>기회 편승</t>
  </si>
  <si>
    <t>우러러봄이 기회에 기댐으로 옮겨감</t>
  </si>
  <si>
    <t>悲歌慨</t>
  </si>
  <si>
    <t>夫=사내·무릇 · 相=서로</t>
  </si>
  <si>
    <t>사내들은 모여 놀이를 하고</t>
  </si>
  <si>
    <t>사내들은 모여 놀음을 하고</t>
  </si>
  <si>
    <t>女子則鼓鳴瑟</t>
  </si>
  <si>
    <t>跕屣</t>
  </si>
  <si>
    <t>游媚貴富</t>
  </si>
  <si>
    <t>신을 끌며</t>
  </si>
  <si>
    <t>신을 끌고 다니며</t>
  </si>
  <si>
    <t>入後宮</t>
  </si>
  <si>
    <t>貴=귀하다 · 富=재물이 넉넉하다</t>
  </si>
  <si>
    <t>귀하고 부유한 이에게 아양을 떤다</t>
  </si>
  <si>
    <t>권세가와 부자에게 아첨한다</t>
  </si>
  <si>
    <t>遍諸</t>
  </si>
  <si>
    <t>入=들다 · 後=뒤</t>
  </si>
  <si>
    <t>후궁에 들어가</t>
  </si>
  <si>
    <t>후궁으로 들어가</t>
  </si>
  <si>
    <t>朝鮮</t>
  </si>
  <si>
    <t>真番</t>
  </si>
  <si>
    <t>之利</t>
  </si>
  <si>
    <t>진번</t>
  </si>
  <si>
    <t>진번 땅</t>
  </si>
  <si>
    <t>之=가다 (조사로도 쓰임) · 利=날이 날카롭다 → 이롭다</t>
  </si>
  <si>
    <t>의 이익</t>
  </si>
  <si>
    <t>의 이익을 얻는다</t>
  </si>
  <si>
    <t>洛陽東賈齊</t>
  </si>
  <si>
    <t>魯</t>
  </si>
  <si>
    <t>陽=볕 · 東=동쪽 · 賈=장사하다</t>
  </si>
  <si>
    <t>낙양은 동으로 제나라와 장사하고</t>
  </si>
  <si>
    <t>낙양 사람은 동쪽으로 제나라와 거래하고</t>
  </si>
  <si>
    <t>南賈梁</t>
  </si>
  <si>
    <t>노나라</t>
  </si>
  <si>
    <t>노나라와도 거래하며</t>
  </si>
  <si>
    <t>楚</t>
  </si>
  <si>
    <t>南=남쪽 · 賈=장사하다</t>
  </si>
  <si>
    <t>남으로 양나라와 장사하고</t>
  </si>
  <si>
    <t>남쪽으로 양나라와 거래하고</t>
  </si>
  <si>
    <t>故泰山之陽則魯</t>
  </si>
  <si>
    <t>초나라</t>
  </si>
  <si>
    <t>초나라와도 거래한다</t>
  </si>
  <si>
    <t>饒</t>
  </si>
  <si>
    <t>地小人眾</t>
  </si>
  <si>
    <t>儉嗇</t>
  </si>
  <si>
    <t>地=땅 · 小=작다 · 人=사람</t>
  </si>
  <si>
    <t>땅은 좁고 사람은 많다</t>
  </si>
  <si>
    <t>땅은 좁은데 사람은 많아</t>
  </si>
  <si>
    <t>畏罪遠邪</t>
  </si>
  <si>
    <t>儉=검소하다</t>
  </si>
  <si>
    <t>검소하고 인색하다</t>
  </si>
  <si>
    <t>검소하고 인색하며</t>
  </si>
  <si>
    <t>及其衰</t>
  </si>
  <si>
    <t>遠=멀다</t>
  </si>
  <si>
    <t>죄를 두려워하고 사악함을 멀리한다</t>
  </si>
  <si>
    <t>죄를 겁내고 나쁜 짓을 피한다</t>
  </si>
  <si>
    <t>好賈趨利</t>
  </si>
  <si>
    <t>及=미치다 · 其=그 · 衰=초목이 시들다</t>
  </si>
  <si>
    <t>그 쇠함에 미쳐서는</t>
  </si>
  <si>
    <t>그러나 쇠퇴한 뒤로는</t>
  </si>
  <si>
    <t>甚於周人</t>
  </si>
  <si>
    <t>利 賈</t>
  </si>
  <si>
    <t>好=좋다 · 賈=장사하다 · 趨=종종걸음으로 달리다 · 利=날이 날카롭다 → 이롭다</t>
  </si>
  <si>
    <t>장사를 좋아하고 이익을 좇는 것이</t>
  </si>
  <si>
    <t>장사를 좋아하고 이익을 좇는 정도가</t>
  </si>
  <si>
    <t>於=~에 · 周=두루 · 人=사람</t>
  </si>
  <si>
    <t>주나라 사람보다 심하다</t>
  </si>
  <si>
    <t>주나라 사람보다 더하다</t>
  </si>
  <si>
    <t>東有雲夢之饒</t>
  </si>
  <si>
    <t>陳在楚夏之交</t>
  </si>
  <si>
    <t>通魚鹽之貨</t>
  </si>
  <si>
    <t>在=있다 · 之=가다 (조사로도 쓰임)</t>
  </si>
  <si>
    <t>진은 초와 하의 교차점에 있다</t>
  </si>
  <si>
    <t>진 땅은 초와 하가 만나는 길목이라</t>
  </si>
  <si>
    <t>其民多賈</t>
  </si>
  <si>
    <t>通=통하다 · 魚=물고기 · 鹽=소금 · 之=가다 (조사로도 쓰임) · 貨=사고파는 물건</t>
  </si>
  <si>
    <t>물고기와 소금의 재화를 통하게 한다</t>
  </si>
  <si>
    <t>어물과 소금이 유통된다</t>
  </si>
  <si>
    <t>徐</t>
  </si>
  <si>
    <t>其=그 · 民=백성 · 多=많다 · 賈=장사하다</t>
  </si>
  <si>
    <t>그 백성에 장사꾼이 많다</t>
  </si>
  <si>
    <t>그곳 백성에는 상인이 많다</t>
  </si>
  <si>
    <t>僮</t>
  </si>
  <si>
    <t>서</t>
  </si>
  <si>
    <t>서 땅</t>
  </si>
  <si>
    <t>章山之銅</t>
  </si>
  <si>
    <t>三江</t>
  </si>
  <si>
    <t>五湖之利</t>
  </si>
  <si>
    <t>三=셋 · 江=큰 강</t>
  </si>
  <si>
    <t>세 강</t>
  </si>
  <si>
    <t>세 강과</t>
  </si>
  <si>
    <t>亦江東一都會也</t>
  </si>
  <si>
    <t>五=다섯 · 之=가다 (조사로도 쓰임) · 利=날이 날카롭다 → 이롭다</t>
  </si>
  <si>
    <t>다섯 호수의 이익이 있다</t>
  </si>
  <si>
    <t>다섯 호수의 이익이 있어</t>
  </si>
  <si>
    <t>亦=또한 · 江=큰 강 · 東=동쪽 · 一=하나 · 都=도읍 · 也=단정하는 조사</t>
  </si>
  <si>
    <t>또한 강동의 한 도회다</t>
  </si>
  <si>
    <t>강동의 큰 도회지다</t>
  </si>
  <si>
    <t>宛亦一都會也</t>
  </si>
  <si>
    <t>俗雜好事</t>
  </si>
  <si>
    <t>業多賈</t>
  </si>
  <si>
    <t>俗=풍속 · 好=좋다 · 事=일</t>
  </si>
  <si>
    <t>풍속이 잡되고 일 벌이기를 좋아한다</t>
  </si>
  <si>
    <t>풍속이 잡스럽고 일 벌이기를 좋아하며</t>
  </si>
  <si>
    <t>其任俠</t>
  </si>
  <si>
    <t>業=생업 · 多=많다 · 賈=장사하다</t>
  </si>
  <si>
    <t>생업으로 장사가 많다</t>
  </si>
  <si>
    <t>交通潁川</t>
  </si>
  <si>
    <t>其=그 · 任=맡기다</t>
  </si>
  <si>
    <t>그 협객들은</t>
  </si>
  <si>
    <t>그곳 협객들은</t>
  </si>
  <si>
    <t>或火耕而水耨</t>
  </si>
  <si>
    <t>果隋蠃蛤</t>
  </si>
  <si>
    <t>不待賈而足</t>
  </si>
  <si>
    <t>과일과 소라·조개가</t>
  </si>
  <si>
    <t>과일과 조개류가 흔해</t>
  </si>
  <si>
    <t>地埶饒食</t>
  </si>
  <si>
    <t>不=아니다 · 待=기다리다 · 賈=장사하다 · 而=말 잇는 조사 · 足=발</t>
  </si>
  <si>
    <t>장사를 기다리지 않아도 넉넉하다</t>
  </si>
  <si>
    <t>따로 사고팔지 않아도 먹고산다</t>
  </si>
  <si>
    <t>無</t>
  </si>
  <si>
    <t>地=땅 · 食=먹다</t>
  </si>
  <si>
    <t>땅의 형세가 먹을 것이 넉넉하다</t>
  </si>
  <si>
    <t>땅이 넉넉하여 먹을 것이 흔하다</t>
  </si>
  <si>
    <t>饑饉之患</t>
  </si>
  <si>
    <t>以故呰窳偷生</t>
  </si>
  <si>
    <t>無積聚而多貧</t>
  </si>
  <si>
    <t>以=~로써 · 故=까닭 · 生=낳다·살다</t>
  </si>
  <si>
    <t>그러므로 게으르게 되는대로 살아</t>
  </si>
  <si>
    <t>그래서 게으르게 되는대로 살아</t>
  </si>
  <si>
    <t>是故江淮以南</t>
  </si>
  <si>
    <t>無=없다 · 積=쌓아 올리다 · 而=말 잇는 조사 · 多=많다 · 貧=재물이 모자라다</t>
  </si>
  <si>
    <t>쌓아 둔 것이 없고 가난한 이가 많다</t>
  </si>
  <si>
    <t>모아 둔 것이 없어 가난한 이가 많다</t>
  </si>
  <si>
    <t>無凍餓之人</t>
  </si>
  <si>
    <t>是=옳다·이것 · 故=까닭 · 江=큰 강 · 以=~로써 · 南=남쪽</t>
  </si>
  <si>
    <t>그러므로 강회 이남에는</t>
  </si>
  <si>
    <t>그래서 강회 이남에는</t>
  </si>
  <si>
    <t>亦無千金之家</t>
  </si>
  <si>
    <t>無=없다 · 之=가다 (조사로도 쓰임) · 人=사람</t>
  </si>
  <si>
    <t>얼고 굶주리는 사람이 없다</t>
  </si>
  <si>
    <t>추위와 굶주림에 시달리는 이가 없으나</t>
  </si>
  <si>
    <t>沂</t>
  </si>
  <si>
    <t>亦=또한 · 無=없다 · 千=일천 · 金=쇠붙이 · 之=가다 (조사로도 쓰임) · 家=집</t>
  </si>
  <si>
    <t>또한 천금의 집도 없다</t>
  </si>
  <si>
    <t>천금을 모은 집도 없다</t>
  </si>
  <si>
    <t>泗</t>
  </si>
  <si>
    <t>기수</t>
  </si>
  <si>
    <t>宛</t>
  </si>
  <si>
    <t>陳亦然</t>
  </si>
  <si>
    <t>加以商賈</t>
  </si>
  <si>
    <t>亦=또한 · 然=그러하다</t>
  </si>
  <si>
    <t>진 또한 그러하다</t>
  </si>
  <si>
    <t>진 땅도 그러한데</t>
  </si>
  <si>
    <t>齊</t>
  </si>
  <si>
    <t>商 賈</t>
  </si>
  <si>
    <t>以=~로써 · 商=장사하다 · 賈=장사하다</t>
  </si>
  <si>
    <t>상인이 더해져</t>
  </si>
  <si>
    <t>상인들까지 더해져</t>
  </si>
  <si>
    <t>趙設智巧</t>
  </si>
  <si>
    <t>제나라</t>
  </si>
  <si>
    <t>제나라와</t>
  </si>
  <si>
    <t>設=베풀다 · 智=슬기</t>
  </si>
  <si>
    <t>조나라는 지혜와 기교를 부려</t>
  </si>
  <si>
    <t>조나라는 잔꾀를 부려</t>
  </si>
  <si>
    <t>燕</t>
  </si>
  <si>
    <t>機=베틀 · 利=날이 날카롭다 → 이롭다</t>
  </si>
  <si>
    <t>기회의 이익을 우러른다</t>
  </si>
  <si>
    <t>기회를 노려 이익을 얻는다</t>
  </si>
  <si>
    <t>代田畜而事蠶</t>
  </si>
  <si>
    <t>燕=제비·연나라</t>
  </si>
  <si>
    <t>연나라</t>
  </si>
  <si>
    <t>論議朝廷</t>
  </si>
  <si>
    <t>守信死節隱居巖穴之士設為名高者安歸乎</t>
  </si>
  <si>
    <t>歸於富厚</t>
  </si>
  <si>
    <t>守=지키다 · 死=죽다 · 節=대나무의 마디 · 居=머물러 살다 · 之=가다 (조사로도 쓰임) · 士=선비 · 設=베풀다 · 為=하다 · 名=이름 · 高=높다</t>
  </si>
  <si>
    <t>신의를 지키고 절개에 죽으며 바위굴에 숨어 높은 이름을 세운 선비는 어디로 돌아가는가</t>
  </si>
  <si>
    <t>절개를 지켜 은거하며 높은 이름을 얻은 선비는 결국 어디로 가는가</t>
  </si>
  <si>
    <t>歸=돌아가다 · 於=~에 · 富=재물이 넉넉하다 · 厚=두껍다</t>
  </si>
  <si>
    <t>부유하고 두터움으로 돌아간다</t>
  </si>
  <si>
    <t>결국 부유함으로 돌아간다</t>
  </si>
  <si>
    <t>귀착</t>
  </si>
  <si>
    <t>돌아감이 부로의 귀결로 옮겨감</t>
  </si>
  <si>
    <t>是以廉吏久</t>
  </si>
  <si>
    <t>그러하다</t>
  </si>
  <si>
    <t>그런 것이다</t>
  </si>
  <si>
    <t>久更富</t>
  </si>
  <si>
    <t>是=옳다·이것 · 以=~로써 · 久=오래되다</t>
  </si>
  <si>
    <t>그러므로 청렴한 관리도 오래 하면</t>
  </si>
  <si>
    <t>廉賈歸富</t>
  </si>
  <si>
    <t>久=오래되다 · 富=재물이 넉넉하다</t>
  </si>
  <si>
    <t>오래되면 더욱 부유해진다</t>
  </si>
  <si>
    <t>세월이 가면 더 부유해지고</t>
  </si>
  <si>
    <t>富者</t>
  </si>
  <si>
    <t>富 賈</t>
  </si>
  <si>
    <t>賈=장사하다 · 歸=돌아가다 · 富=재물이 넉넉하다</t>
  </si>
  <si>
    <t>청렴한 상인도 부유함으로 돌아간다</t>
  </si>
  <si>
    <t>정직한 상인도 결국 부유해진다</t>
  </si>
  <si>
    <t>人之情性</t>
  </si>
  <si>
    <t>富=재물이 넉넉하다 · 者=~하는 것·사람</t>
  </si>
  <si>
    <t>부유함이란</t>
  </si>
  <si>
    <t>所不學而俱欲者也</t>
  </si>
  <si>
    <t>人=사람 · 之=가다 (조사로도 쓰임)</t>
  </si>
  <si>
    <t>사람의 성정이다</t>
  </si>
  <si>
    <t>사람의 타고난 욕구다</t>
  </si>
  <si>
    <t>走死地如騖者</t>
  </si>
  <si>
    <t>其實皆</t>
  </si>
  <si>
    <t>為財用耳</t>
  </si>
  <si>
    <t>其=그 · 實=차다 · 皆=모두</t>
  </si>
  <si>
    <t>그 실은 모두</t>
  </si>
  <si>
    <t>실상은 모두</t>
  </si>
  <si>
    <t>今夫趙女鄭姬</t>
  </si>
  <si>
    <t>為=하다 · 財=재물 · 用=쓰다 · 耳=귀</t>
  </si>
  <si>
    <t>재물을 위할 뿐이다</t>
  </si>
  <si>
    <t>재물 때문일 뿐이다</t>
  </si>
  <si>
    <t>設形容</t>
  </si>
  <si>
    <t>今=이제 · 夫=사내·무릇</t>
  </si>
  <si>
    <t>이제 저 조나라 여인과 정나라 여인은</t>
  </si>
  <si>
    <t>조나라와 정나라의 여인들은</t>
  </si>
  <si>
    <t>揳鳴琴</t>
  </si>
  <si>
    <t>揄長袂</t>
  </si>
  <si>
    <t>躡利屣</t>
  </si>
  <si>
    <t>長=길다·자라다</t>
  </si>
  <si>
    <t>긴 소매를 흔들고</t>
  </si>
  <si>
    <t>긴 소매를 나부끼고</t>
  </si>
  <si>
    <t>目挑心招</t>
  </si>
  <si>
    <t>利=날이 날카롭다 → 이롭다</t>
  </si>
  <si>
    <t>가벼운 신을 신고</t>
  </si>
  <si>
    <t>날렵한 신을 신고서</t>
  </si>
  <si>
    <t>出不遠千里</t>
  </si>
  <si>
    <t>目=눈 · 心=마음</t>
  </si>
  <si>
    <t>눈으로 돋우고 마음으로 부른다</t>
  </si>
  <si>
    <t>눈짓으로 꾀고 마음으로 부른다</t>
  </si>
  <si>
    <t>TD-6 기타</t>
  </si>
  <si>
    <t>유혹</t>
  </si>
  <si>
    <t>눈과 마음의 동작이 유혹의 기술로 옮겨감</t>
  </si>
  <si>
    <t>不擇老</t>
  </si>
  <si>
    <t>少者</t>
  </si>
  <si>
    <t>奔富厚也</t>
  </si>
  <si>
    <t>少=적다 · 者=~하는 것·사람</t>
  </si>
  <si>
    <t>젊은이든</t>
  </si>
  <si>
    <t>늙고 젊음을 가리지 않는 것은</t>
  </si>
  <si>
    <t>游閒公子</t>
  </si>
  <si>
    <t>奔=내달리다 · 富=재물이 넉넉하다 · 厚=두껍다 · 也=단정하는 조사</t>
  </si>
  <si>
    <t>부유함으로 달려가는 것이다</t>
  </si>
  <si>
    <t>부를 좇아 달려가기 때문이다</t>
  </si>
  <si>
    <t>奔</t>
  </si>
  <si>
    <t>추구</t>
  </si>
  <si>
    <t>달림이 부에 대한 추구로 옮겨감</t>
  </si>
  <si>
    <t>飾冠劍</t>
  </si>
  <si>
    <t>閒=틈·한가하다 · 公=공변되다·귀인 · 子=아들</t>
  </si>
  <si>
    <t>한가한 공자들은</t>
  </si>
  <si>
    <t>놀고먹는 귀공자들은</t>
  </si>
  <si>
    <t>連車騎</t>
  </si>
  <si>
    <t>亦為富貴容也</t>
  </si>
  <si>
    <t>連=잇다 · 車=수레</t>
  </si>
  <si>
    <t>수레와 말을 잇대어</t>
  </si>
  <si>
    <t>수레와 말을 늘어세우는데</t>
  </si>
  <si>
    <t>弋射漁獵</t>
  </si>
  <si>
    <t>亦=또한 · 為=하다 · 富=재물이 넉넉하다 · 貴=귀하다 · 也=단정하는 조사</t>
  </si>
  <si>
    <t>또한 부귀를 꾸미는 모습이다</t>
  </si>
  <si>
    <t>이 또한 부귀를 과시하는 짓이다</t>
  </si>
  <si>
    <t>犯晨夜</t>
  </si>
  <si>
    <t>獵=사냥하다</t>
  </si>
  <si>
    <t>주살을 쏘고 고기를 잡고 사냥하며</t>
  </si>
  <si>
    <t>활을 쏘고 고기를 잡고 사냥하며</t>
  </si>
  <si>
    <t>沒於賂遺</t>
  </si>
  <si>
    <t>農工商賈畜長</t>
  </si>
  <si>
    <t>그렇게 지낸다</t>
  </si>
  <si>
    <t>固求富益貨也</t>
  </si>
  <si>
    <t>農=농사 · 工=장인 · 商=장사하다 · 賈=장사하다 · 長=길다·자라다</t>
  </si>
  <si>
    <t>농민·장인·상인이 쌓고 불리는 것은</t>
  </si>
  <si>
    <t>농민과 장인과 상인이 재산을 늘리는 것은</t>
  </si>
  <si>
    <t>此有知盡能索耳</t>
  </si>
  <si>
    <t>貨 富</t>
  </si>
  <si>
    <t>求=구하다 · 富=재물이 넉넉하다 · 益=더하다 · 貨=사고파는 물건 · 也=단정하는 조사</t>
  </si>
  <si>
    <t>본디 부유해져 재화를 더하려는 것이다</t>
  </si>
  <si>
    <t>본래 부유해져 재산을 불리려는 것이다</t>
  </si>
  <si>
    <t>終不餘力而讓財矣</t>
  </si>
  <si>
    <t>此=이것 · 有=있다 · 知=알다 · 盡=다하다 · 能=능하다 · 耳=귀</t>
  </si>
  <si>
    <t>이는 지혜를 다하고 능력을 다 짜내는 것일 뿐</t>
  </si>
  <si>
    <t>아는 것과 할 수 있는 것을 다 쏟아붓는 것이며</t>
  </si>
  <si>
    <t>終=마치다 · 不=아니다 · 餘=남다 · 力=힘 · 而=말 잇는 조사 · 財=재물 · 矣=마치는 조사</t>
  </si>
  <si>
    <t>끝내 힘을 남겨 재물을 양보하지 않는다</t>
  </si>
  <si>
    <t>끝내 힘을 아껴 재물을 남에게 넘기지 않는다</t>
  </si>
  <si>
    <t>百里不販樵</t>
  </si>
  <si>
    <t>而樂與之比者</t>
  </si>
  <si>
    <t>命曰</t>
  </si>
  <si>
    <t>素封</t>
  </si>
  <si>
    <t>이름하여</t>
  </si>
  <si>
    <t>이를 일러</t>
  </si>
  <si>
    <t>封者食租</t>
  </si>
  <si>
    <t>封=흙을 쌓아 봉하다</t>
  </si>
  <si>
    <t>소봉이라 한다</t>
  </si>
  <si>
    <t>벼슬 없는 부자, 곧 소봉이라 한다</t>
  </si>
  <si>
    <t>무관의 부자</t>
  </si>
  <si>
    <t>봉작 제도가 부의 지위로 옮겨감</t>
  </si>
  <si>
    <t>稅</t>
  </si>
  <si>
    <t>封=흙을 쌓아 봉하다 · 者=~하는 것·사람 · 食=먹다</t>
  </si>
  <si>
    <t>봉해진 자는 조세를 먹는다</t>
  </si>
  <si>
    <t>봉읍을 받은 자는 조세로 먹고산다</t>
  </si>
  <si>
    <t>歲率戶二百</t>
  </si>
  <si>
    <t>稅=구실</t>
  </si>
  <si>
    <t>세</t>
  </si>
  <si>
    <t>조세</t>
  </si>
  <si>
    <t>千戶之君則二十萬</t>
  </si>
  <si>
    <t>歲=한 해 · 二=둘 · 百=일백</t>
  </si>
  <si>
    <t>해마다 호당 이백을 거두면</t>
  </si>
  <si>
    <t>해마다 호당 이백 전을 거두면</t>
  </si>
  <si>
    <t>朝覲聘享出其中</t>
  </si>
  <si>
    <t>庶民農工商賈</t>
  </si>
  <si>
    <t>朝=아침·조정 · 出=나가다 · 其=그 · 中=가운데</t>
  </si>
  <si>
    <t>조근과 빙향이 그 가운데서 나온다</t>
  </si>
  <si>
    <t>조회와 예물 비용이 거기서 나온다</t>
  </si>
  <si>
    <t>率亦歲萬息二千</t>
  </si>
  <si>
    <t>民=백성 · 農=농사 · 工=장인 · 商=장사하다 · 賈=장사하다</t>
  </si>
  <si>
    <t>서민인 농민·장인·상인은</t>
  </si>
  <si>
    <t>평민인 농민·장인·상인도</t>
  </si>
  <si>
    <t>百萬</t>
  </si>
  <si>
    <t>亦=또한 · 歲=한 해 · 萬=일만 · 息=숨쉬다 · 二=둘 · 千=일천</t>
  </si>
  <si>
    <t>대략 해마다 만에 이천의 이자를 얻는다</t>
  </si>
  <si>
    <t>대체로 만 전당 이천 전의 이자를 얻는다</t>
  </si>
  <si>
    <t>이자</t>
  </si>
  <si>
    <t>之家則二十萬</t>
  </si>
  <si>
    <t>百=일백 · 萬=일만</t>
  </si>
  <si>
    <t>백만</t>
  </si>
  <si>
    <t>백만 전을 가진</t>
  </si>
  <si>
    <t>而更傜租賦出其中</t>
  </si>
  <si>
    <t>之=가다 (조사로도 쓰임) · 家=집 · 則=곧 · 二=둘 · 十=열 · 萬=일만</t>
  </si>
  <si>
    <t>의 집은 이십만이다</t>
  </si>
  <si>
    <t>집이면 해마다 이십만을 번다</t>
  </si>
  <si>
    <t>衣食之欲</t>
  </si>
  <si>
    <t>賦</t>
  </si>
  <si>
    <t>而=말 잇는 조사 · 賦=거두는 세 · 出=나가다 · 其=그 · 中=가운데</t>
  </si>
  <si>
    <t>요역과 조세가 그 가운데서 나온다</t>
  </si>
  <si>
    <t>부역과 세금이 거기서 나오고</t>
  </si>
  <si>
    <t>恣所好美矣</t>
  </si>
  <si>
    <t>衣=옷 · 食=먹다 · 之=가다 (조사로도 쓰임) · 欲=하고자 하다</t>
  </si>
  <si>
    <t>입고 먹는 욕망을</t>
  </si>
  <si>
    <t>입고 먹고 싶은 것을</t>
  </si>
  <si>
    <t>千畦薑韭</t>
  </si>
  <si>
    <t>此其人皆與千戶侯等</t>
  </si>
  <si>
    <t>然是富給</t>
  </si>
  <si>
    <t>此=이것 · 其=그 · 人=사람 · 皆=모두 · 與=주다 · 千=일천 · 侯=제후 · 等=무리</t>
  </si>
  <si>
    <t>이 사람들은 모두 천호후와 같다</t>
  </si>
  <si>
    <t>이런 사람들은 천호후에 맞먹는다</t>
  </si>
  <si>
    <t>之資也</t>
  </si>
  <si>
    <t>然=그러하다 · 是=옳다·이것 · 富=재물이 넉넉하다 · 給=주다</t>
  </si>
  <si>
    <t>그러나 이는 부유하게 대주는</t>
  </si>
  <si>
    <t>그러나 이는 넉넉히 살게 해 주는</t>
  </si>
  <si>
    <t>不窺市井</t>
  </si>
  <si>
    <t>之=가다 (조사로도 쓰임) · 資=밑천 · 也=단정하는 조사</t>
  </si>
  <si>
    <t>밑천이다</t>
  </si>
  <si>
    <t>밑천일 뿐이다</t>
  </si>
  <si>
    <t>不行異邑</t>
  </si>
  <si>
    <t>不=아니다 · 市=저자</t>
  </si>
  <si>
    <t>저자를 기웃거리지 않고</t>
  </si>
  <si>
    <t>坐而待收</t>
  </si>
  <si>
    <t>身有處士之義而取給焉</t>
  </si>
  <si>
    <t>若至家貧親老</t>
  </si>
  <si>
    <t>身=몸 · 有=있다 · 處=곳 · 士=선비 · 之=가다 (조사로도 쓰임) · 義=옳음 · 而=말 잇는 조사 · 取=가지다 · 給=주다 · 焉=어찌</t>
  </si>
  <si>
    <t>처사의 의를 지니고도 넉넉히 얻는다</t>
  </si>
  <si>
    <t>은자의 지조를 지키면서도 넉넉히 산다</t>
  </si>
  <si>
    <t>妻子軟弱</t>
  </si>
  <si>
    <t>若=같다 · 至=이르다 · 家=집 · 貧=재물이 모자라다 · 老=늙다</t>
  </si>
  <si>
    <t>만약 집이 가난하고 어버이가 늙고</t>
  </si>
  <si>
    <t>집이 가난하고 부모가 늙고</t>
  </si>
  <si>
    <t>歲時無以祭祀進醵</t>
  </si>
  <si>
    <t>子=아들 · 弱=약하다</t>
  </si>
  <si>
    <t>처자가 여리며</t>
  </si>
  <si>
    <t>처자가 약한 데다</t>
  </si>
  <si>
    <t>如此不慚恥</t>
  </si>
  <si>
    <t>則無所比矣</t>
  </si>
  <si>
    <t>是以無財作力</t>
  </si>
  <si>
    <t>則=곧 · 無=없다 · 所=바·곳 · 矣=마치는 조사</t>
  </si>
  <si>
    <t>견줄 바가 없다</t>
  </si>
  <si>
    <t>견줄 데가 없는 처지라면</t>
  </si>
  <si>
    <t>少有鬬</t>
  </si>
  <si>
    <t>是=옳다·이것 · 以=~로써 · 無=없다 · 財=재물 · 力=힘</t>
  </si>
  <si>
    <t>그러므로 재물이 없으면 힘을 쓰고</t>
  </si>
  <si>
    <t>재물이 없으면 몸으로 힘을 쓰고</t>
  </si>
  <si>
    <t>智</t>
  </si>
  <si>
    <t>少=적다 · 有=있다</t>
  </si>
  <si>
    <t>조금 있으면 지혜를 다투고</t>
  </si>
  <si>
    <t>조금 있으면 머리를 쓰고</t>
  </si>
  <si>
    <t>今治生不待危身取給</t>
  </si>
  <si>
    <t>則賢人勉焉</t>
  </si>
  <si>
    <t>是故本富為上</t>
  </si>
  <si>
    <t>則=곧 · 人=사람 · 焉=어찌</t>
  </si>
  <si>
    <t>현명한 이는 힘쓴다</t>
  </si>
  <si>
    <t>넉넉해지면 시기를 노려 늘린다</t>
  </si>
  <si>
    <t>末富次之</t>
  </si>
  <si>
    <t>是=옳다·이것 · 故=까닭 · 本=나무의 뿌리 · 富=재물이 넉넉하다 · 為=하다 · 上=위쪽</t>
  </si>
  <si>
    <t>그러므로 본업의 부가 으뜸이고</t>
  </si>
  <si>
    <t>그러므로 농사로 얻은 부가 으뜸이고</t>
  </si>
  <si>
    <t>本富</t>
  </si>
  <si>
    <t>농업</t>
  </si>
  <si>
    <t>초목의 뿌리가 본업인 농업으로 옮겨감</t>
  </si>
  <si>
    <t>姦</t>
  </si>
  <si>
    <t>末=끝 · 富=재물이 넉넉하다 · 之=가다 (조사로도 쓰임)</t>
  </si>
  <si>
    <t>말업의 부가 그다음이며</t>
  </si>
  <si>
    <t>장사로 얻은 부가 그다음이며</t>
  </si>
  <si>
    <t>末富</t>
  </si>
  <si>
    <t>富最下</t>
  </si>
  <si>
    <t>간사한</t>
  </si>
  <si>
    <t>부정한 방법으로</t>
  </si>
  <si>
    <t>無巖處奇士之行</t>
  </si>
  <si>
    <t>富=재물이 넉넉하다 · 下=아래쪽</t>
  </si>
  <si>
    <t>부가 가장 아래다</t>
  </si>
  <si>
    <t>얻은 부가 가장 낮다</t>
  </si>
  <si>
    <t>最下</t>
  </si>
  <si>
    <t>서열</t>
  </si>
  <si>
    <t>공간의 아래가 서열의 낮음으로 옮겨감</t>
  </si>
  <si>
    <t>而長貧賤</t>
  </si>
  <si>
    <t>無=없다 · 處=곳 · 奇=기이하다 · 士=선비 · 之=가다 (조사로도 쓰임) · 行=걸어가다</t>
  </si>
  <si>
    <t>바위굴에 사는 기이한 선비의 행실도 없이</t>
  </si>
  <si>
    <t>은자의 지조도 없으면서</t>
  </si>
  <si>
    <t>好語仁義</t>
  </si>
  <si>
    <t>而=말 잇는 조사 · 長=길다·자라다 · 貧=재물이 모자라다 · 賤=천하다</t>
  </si>
  <si>
    <t>오래 가난하고 천하면서</t>
  </si>
  <si>
    <t>오래도록 가난하고 천하게 지내며</t>
  </si>
  <si>
    <t>亦足羞也</t>
  </si>
  <si>
    <t>好=좋다 · 語=말하다 · 仁=어짊 · 義=옳음</t>
  </si>
  <si>
    <t>인의를 즐겨 말하는 것은</t>
  </si>
  <si>
    <t>인의만 즐겨 떠드는 것은</t>
  </si>
  <si>
    <t>凡編戶之民</t>
  </si>
  <si>
    <t>富相什則卑下之</t>
  </si>
  <si>
    <t>之=가다 (조사로도 쓰임) · 民=백성</t>
  </si>
  <si>
    <t>무릇 호적에 든 백성은</t>
  </si>
  <si>
    <t>무릇 평범한 백성은</t>
  </si>
  <si>
    <t>伯則畏憚之</t>
  </si>
  <si>
    <t>富 什</t>
  </si>
  <si>
    <t>富=재물이 넉넉하다 · 相=서로 · 什=열 · 則=곧 · 卑=낮다 · 下=아래쪽 · 之=가다 (조사로도 쓰임)</t>
  </si>
  <si>
    <t>부가 열 배면 그에게 몸을 낮춘다</t>
  </si>
  <si>
    <t>상대가 열 배 부유하면 몸을 낮추고</t>
  </si>
  <si>
    <t>卑下</t>
  </si>
  <si>
    <t>신분 격차</t>
  </si>
  <si>
    <t>공간의 낮음이 태도의 굴종으로 옮겨감</t>
  </si>
  <si>
    <t>千則役</t>
  </si>
  <si>
    <t>則=곧 · 之=가다 (조사로도 쓰임)</t>
  </si>
  <si>
    <t>백 배면 그를 두려워한다</t>
  </si>
  <si>
    <t>백 배면 두려워한다</t>
  </si>
  <si>
    <t>萬則仆</t>
  </si>
  <si>
    <t>物之理也</t>
  </si>
  <si>
    <t>夫用貧求富</t>
  </si>
  <si>
    <t>物=물건 · 之=가다 (조사로도 쓰임) · 理=옥의 결 · 也=단정하는 조사</t>
  </si>
  <si>
    <t>사물의 이치다</t>
  </si>
  <si>
    <t>農不如</t>
  </si>
  <si>
    <t>夫=사내·무릇 · 用=쓰다 · 貧=재물이 모자라다 · 求=구하다 · 富=재물이 넉넉하다</t>
  </si>
  <si>
    <t>무릇 가난으로써 부를 구하려면</t>
  </si>
  <si>
    <t>가난에서 벗어나 부자가 되려면</t>
  </si>
  <si>
    <t>工</t>
  </si>
  <si>
    <t>農=농사 · 不=아니다 · 如=같다</t>
  </si>
  <si>
    <t>농사는 장인만 못하고</t>
  </si>
  <si>
    <t>농사는 수공업만 못하고</t>
  </si>
  <si>
    <t>工不如商</t>
  </si>
  <si>
    <t>工=장인</t>
  </si>
  <si>
    <t>장인</t>
  </si>
  <si>
    <t>수공업은</t>
  </si>
  <si>
    <t>刺繡文不如倚市門</t>
  </si>
  <si>
    <t>工=장인 · 不=아니다 · 如=같다 · 商=장사하다</t>
  </si>
  <si>
    <t>장인은 상인만 못하다</t>
  </si>
  <si>
    <t>수공업은 장사만 못하다</t>
  </si>
  <si>
    <t>此言末業</t>
  </si>
  <si>
    <t>文=무늬·글 · 不=아니다 · 如=같다 · 市=저자 · 門=문</t>
  </si>
  <si>
    <t>수를 놓는 것이 저자에 기대는 것만 못하다</t>
  </si>
  <si>
    <t>자수를 놓느니 저자에 나가 파는 편이 낫다</t>
  </si>
  <si>
    <t>貧者之資也</t>
  </si>
  <si>
    <t>此=이것 · 言=말하다 · 末=끝 · 業=생업</t>
  </si>
  <si>
    <t>이는 말업이</t>
  </si>
  <si>
    <t>이는 말업인 상업이</t>
  </si>
  <si>
    <t>通邑大都</t>
  </si>
  <si>
    <t>貧 資</t>
  </si>
  <si>
    <t>貧=재물이 모자라다 · 者=~하는 것·사람 · 之=가다 (조사로도 쓰임) · 資=밑천 · 也=단정하는 조사</t>
  </si>
  <si>
    <t>가난한 자의 밑천이라는 말이다</t>
  </si>
  <si>
    <t>가난한 이의 밑천이라는 뜻이다</t>
  </si>
  <si>
    <t>酤一歲千釀</t>
  </si>
  <si>
    <t>通=통하다 · 大=크다 · 都=도읍</t>
  </si>
  <si>
    <t>통하는 고을과 큰 도회에서</t>
  </si>
  <si>
    <t>교통이 트인 큰 도시에서</t>
  </si>
  <si>
    <t>佗</t>
  </si>
  <si>
    <t>果菜千鐘</t>
  </si>
  <si>
    <t>子貸金錢千貫</t>
  </si>
  <si>
    <t>千=일천</t>
  </si>
  <si>
    <t>과일과 채소 천 종</t>
  </si>
  <si>
    <t>節駔會</t>
  </si>
  <si>
    <t>子=아들 · 金=쇠붙이 · 錢=엽전 · 千=일천</t>
  </si>
  <si>
    <t>돈을 빌려주어 천 관을 얻고</t>
  </si>
  <si>
    <t>돈을 꾸어 주어 천 관을 얻고</t>
  </si>
  <si>
    <t>貪賈三之</t>
  </si>
  <si>
    <t>節=대나무의 마디</t>
  </si>
  <si>
    <t>거간을 붙이면</t>
  </si>
  <si>
    <t>廉賈五之</t>
  </si>
  <si>
    <t>賈=장사하다 · 三=셋 · 之=가다 (조사로도 쓰임)</t>
  </si>
  <si>
    <t>욕심 많은 상인은 삼분을 얻고</t>
  </si>
  <si>
    <t>욕심 많은 상인은 삼 할을 남기고</t>
  </si>
  <si>
    <t>此亦比千乘之家</t>
  </si>
  <si>
    <t>賈=장사하다 · 五=다섯 · 之=가다 (조사로도 쓰임)</t>
  </si>
  <si>
    <t>청렴한 상인은 오분을 얻는다</t>
  </si>
  <si>
    <t>정직한 상인은 오 할을 남긴다</t>
  </si>
  <si>
    <t>其大率也</t>
  </si>
  <si>
    <t>此=이것 · 亦=또한 · 千=일천 · 之=가다 (조사로도 쓰임) · 家=집</t>
  </si>
  <si>
    <t>이 또한 천승의 집에 견준다</t>
  </si>
  <si>
    <t>이 또한 천승의 제후에 견줄 만하다</t>
  </si>
  <si>
    <t>佗雜業</t>
  </si>
  <si>
    <t>不中什二</t>
  </si>
  <si>
    <t>業=생업</t>
  </si>
  <si>
    <t>그 밖의 잡다한 생업으로</t>
  </si>
  <si>
    <t>그 밖의 잡다한 장사로</t>
  </si>
  <si>
    <t>則非吾財也</t>
  </si>
  <si>
    <t>不=아니다 · 中=가운데 · 什=열 · 二=둘</t>
  </si>
  <si>
    <t>십분의 이에 미치지 못하면</t>
  </si>
  <si>
    <t>이문이 이 할에 미치지 못하면</t>
  </si>
  <si>
    <t>則=곧 · 非=아니다 · 吾=나 · 財=재물 · 也=단정하는 조사</t>
  </si>
  <si>
    <t>내 재물이 아니다</t>
  </si>
  <si>
    <t>내가 말하는 치부가 아니다</t>
  </si>
  <si>
    <t>請略道當世千里之中</t>
  </si>
  <si>
    <t>賢人所以富者</t>
  </si>
  <si>
    <t>道=길 · 當=마땅하다 · 世=세상 · 千=일천 · 之=가다 (조사로도 쓰임) · 中=가운데</t>
  </si>
  <si>
    <t>청컨대 당대 천 리 안을 간략히 말하여</t>
  </si>
  <si>
    <t>당대의 천 리 안 사정을 간추려 말하여</t>
  </si>
  <si>
    <t>令後世得以觀擇焉</t>
  </si>
  <si>
    <t>人=사람 · 所=바·곳 · 以=~로써 · 富=재물이 넉넉하다 · 者=~하는 것·사람</t>
  </si>
  <si>
    <t>현명한 이가 부유해진 까닭을</t>
  </si>
  <si>
    <t>현명한 이들이 부자가 된 내력을</t>
  </si>
  <si>
    <t>後=뒤 · 世=세상 · 得=얻다 · 以=~로써 · 焉=어찌</t>
  </si>
  <si>
    <t>후세가 보고 가려 쓰게 하겠다</t>
  </si>
  <si>
    <t>후세가 살펴 가려 쓰게 하겠다</t>
  </si>
  <si>
    <t>蜀卓氏之先</t>
  </si>
  <si>
    <t>趙人也</t>
  </si>
  <si>
    <t>用鐵冶富</t>
  </si>
  <si>
    <t>人=사람 · 也=단정하는 조사</t>
  </si>
  <si>
    <t>조나라 사람이다</t>
  </si>
  <si>
    <t>조나라 사람이었다</t>
  </si>
  <si>
    <t>秦破趙</t>
  </si>
  <si>
    <t>用=쓰다 · 鐵=무쇠 · 富=재물이 넉넉하다</t>
  </si>
  <si>
    <t>철 제련으로 부유해졌다</t>
  </si>
  <si>
    <t>제철업으로 부자가 되었다</t>
  </si>
  <si>
    <t>遷卓氏</t>
  </si>
  <si>
    <t>진나라가 조나라를 깨뜨리자</t>
  </si>
  <si>
    <t>진나라가 조나라를 무너뜨리자</t>
  </si>
  <si>
    <t>行詣遷處</t>
  </si>
  <si>
    <t>諸遷</t>
  </si>
  <si>
    <t>虜少有餘財</t>
  </si>
  <si>
    <t>諸=여러 · 遷=옮겨 가다</t>
  </si>
  <si>
    <t>옮겨진 이들 가운데</t>
  </si>
  <si>
    <t>강제 이주된 이들 가운데</t>
  </si>
  <si>
    <t>爭與吏</t>
  </si>
  <si>
    <t>少=적다 · 有=있다 · 餘=남다 · 財=재물</t>
  </si>
  <si>
    <t>포로로서 조금이라도 남은 재물이 있는 자는</t>
  </si>
  <si>
    <t>재물이 조금이라도 남은 이들은</t>
  </si>
  <si>
    <t>求近處</t>
  </si>
  <si>
    <t>爭=다투다 · 與=주다</t>
  </si>
  <si>
    <t>다투어 관리에게 주고</t>
  </si>
  <si>
    <t>다투어 관리에게 뇌물을 주어</t>
  </si>
  <si>
    <t>至死不饑</t>
  </si>
  <si>
    <t>民工於市</t>
  </si>
  <si>
    <t>易賈</t>
  </si>
  <si>
    <t>民=백성 · 工=장인 · 於=~에 · 市=저자</t>
  </si>
  <si>
    <t>백성이 저자에서 솜씨를 부려</t>
  </si>
  <si>
    <t>乃求遠遷</t>
  </si>
  <si>
    <t>易=쉽다 · 賈=장사하다</t>
  </si>
  <si>
    <t>장사하기 쉽다</t>
  </si>
  <si>
    <t>장사하기 좋다</t>
  </si>
  <si>
    <t>致之臨邛</t>
  </si>
  <si>
    <t>乃=이에 · 求=구하다 · 遠=멀다 · 遷=옮겨 가다</t>
  </si>
  <si>
    <t>이에 멀리 옮겨 가기를 청했다</t>
  </si>
  <si>
    <t>그래서 오히려 먼 곳으로 옮겨 가기를 청했다</t>
  </si>
  <si>
    <t>之民</t>
  </si>
  <si>
    <t>富至僮千人</t>
  </si>
  <si>
    <t>의 백성</t>
  </si>
  <si>
    <t>그곳 백성으로</t>
  </si>
  <si>
    <t>田池射獵之樂</t>
  </si>
  <si>
    <t>富=재물이 넉넉하다 · 至=이르다 · 千=일천 · 人=사람</t>
  </si>
  <si>
    <t>부유함이 종 천 명에 이르렀다</t>
  </si>
  <si>
    <t>종을 천 명이나 거느릴 만큼 부유해졌다</t>
  </si>
  <si>
    <t>擬於人君</t>
  </si>
  <si>
    <t>田=밭 · 獵=사냥하다 · 之=가다 (조사로도 쓰임)</t>
  </si>
  <si>
    <t>밭과 못에서 사냥하는 즐거움이</t>
  </si>
  <si>
    <t>전답과 못에서 사냥하는 즐거움이</t>
  </si>
  <si>
    <t>山東遷虜也</t>
  </si>
  <si>
    <t>亦冶鑄</t>
  </si>
  <si>
    <t>賈椎髻之民</t>
  </si>
  <si>
    <t>亦=또한</t>
  </si>
  <si>
    <t>또한 주조를 하여</t>
  </si>
  <si>
    <t>또한 쇠를 부어 만드는 일로</t>
  </si>
  <si>
    <t>富埒卓氏</t>
  </si>
  <si>
    <t>賈=장사하다 · 之=가다 (조사로도 쓰임) · 民=백성</t>
  </si>
  <si>
    <t>상투 튼 백성과 장사하여</t>
  </si>
  <si>
    <t>머리를 상투 튼 남방 사람들과 거래하여</t>
  </si>
  <si>
    <t>俱居臨邛</t>
  </si>
  <si>
    <t>富=재물이 넉넉하다 · 埒=낮은 담 · 氏=성씨</t>
  </si>
  <si>
    <t>부가 탁씨와 나란했다</t>
  </si>
  <si>
    <t>부유함이 탁씨와 맞먹었다</t>
  </si>
  <si>
    <t>俱=함께 · 居=머물러 살다</t>
  </si>
  <si>
    <t>함께 임공에 살았다</t>
  </si>
  <si>
    <t>游諸侯</t>
  </si>
  <si>
    <t>因通商賈之利</t>
  </si>
  <si>
    <t>諸=여러 · 侯=제후</t>
  </si>
  <si>
    <t>제후들과 교유하고</t>
  </si>
  <si>
    <t>제후들과 어울리고</t>
  </si>
  <si>
    <t>有游閒公子之賜與名</t>
  </si>
  <si>
    <t>利 商 賈</t>
  </si>
  <si>
    <t>因=말미암다 · 通=통하다 · 商=장사하다 · 賈=장사하다 · 之=가다 (조사로도 쓰임) · 利=날이 날카롭다 → 이롭다</t>
  </si>
  <si>
    <t>상인의 이익을 통해</t>
  </si>
  <si>
    <t>장사의 이익을 통해</t>
  </si>
  <si>
    <t>길이 통함이 상업의 소통으로 옮겨감</t>
  </si>
  <si>
    <t>然其贏得過當</t>
  </si>
  <si>
    <t>有=있다 · 閒=틈·한가하다 · 公=공변되다·귀인 · 子=아들 · 之=가다 (조사로도 쓰임) · 與=주다 · 名=이름</t>
  </si>
  <si>
    <t>한가한 공자라는 베풂의 이름을 얻었다</t>
  </si>
  <si>
    <t>귀공자처럼 베푼다는 이름을 얻었다</t>
  </si>
  <si>
    <t>愈於纖嗇</t>
  </si>
  <si>
    <t>贏</t>
  </si>
  <si>
    <t>然=그러하다 · 其=그 · 贏=남다 · 得=얻다 · 過=지나다 · 當=마땅하다</t>
  </si>
  <si>
    <t>그러나 그 남긴 이익이 지나쳐</t>
  </si>
  <si>
    <t>그러나 남긴 이문이 워낙 커서</t>
  </si>
  <si>
    <t>家致富數千金</t>
  </si>
  <si>
    <t>於=~에 · 纖=가는 실</t>
  </si>
  <si>
    <t>잗달게 아끼는 것보다 나았다</t>
  </si>
  <si>
    <t>인색하게 아끼는 것보다 나았다</t>
  </si>
  <si>
    <t>故南陽行賈盡</t>
  </si>
  <si>
    <t>千金 富</t>
  </si>
  <si>
    <t>家=집 · 致=이르게 하다 · 富=재물이 넉넉하다 · 數=세다·수 · 千=일천 · 金=쇠붙이</t>
  </si>
  <si>
    <t>집이 수천 금의 부를 이루었다</t>
  </si>
  <si>
    <t>집안이 수천 금의 재산을 이루었다</t>
  </si>
  <si>
    <t>法孔氏之雍容</t>
  </si>
  <si>
    <t>故=까닭 · 南=남쪽 · 陽=볕 · 行=걸어가다 · 賈=장사하다 · 盡=다하다</t>
  </si>
  <si>
    <t>그러므로 남양의 장사꾼은 모두</t>
  </si>
  <si>
    <t>그래서 남양의 상인들은 모두</t>
  </si>
  <si>
    <t>法=법 · 氏=성씨 · 之=가다 (조사로도 쓰임)</t>
  </si>
  <si>
    <t>공씨의 여유로운 태도를 본받았다</t>
  </si>
  <si>
    <t>공씨의 너그러운 방식을 본받았다</t>
  </si>
  <si>
    <t>魯人俗儉嗇</t>
  </si>
  <si>
    <t>而曹邴氏尤甚</t>
  </si>
  <si>
    <t>人=사람 · 俗=풍속 · 儉=검소하다</t>
  </si>
  <si>
    <t>노나라 사람 풍속이 검소하고 인색한데</t>
  </si>
  <si>
    <t>노나라 풍속이 검소하고 인색한데</t>
  </si>
  <si>
    <t>以鐵冶起</t>
  </si>
  <si>
    <t>而=말 잇는 조사 · 氏=성씨</t>
  </si>
  <si>
    <t>조병씨가 더욱 심했다</t>
  </si>
  <si>
    <t>조병씨는 그중에서도 심했다</t>
  </si>
  <si>
    <t>富至巨萬</t>
  </si>
  <si>
    <t>以=~로써 · 鐵=무쇠 · 起=몸을 일으키다</t>
  </si>
  <si>
    <t>철 제련으로 일어나</t>
  </si>
  <si>
    <t>제철업으로 일어나</t>
  </si>
  <si>
    <t>然家自父兄子孫約</t>
  </si>
  <si>
    <t>富=재물이 넉넉하다 · 至=이르다 · 萬=일만</t>
  </si>
  <si>
    <t>부가 거만에 이르렀다</t>
  </si>
  <si>
    <t>재산이 거만에 이르렀다</t>
  </si>
  <si>
    <t>俛有拾</t>
  </si>
  <si>
    <t>然=그러하다 · 家=집 · 自=스스로 · 子=아들</t>
  </si>
  <si>
    <t>그러나 집안이 부형과 자손 스스로 약속하여</t>
  </si>
  <si>
    <t>그러나 집안 어른과 자손이 스스로 규약을 정해</t>
  </si>
  <si>
    <t>仰有取</t>
  </si>
  <si>
    <t>貰貸</t>
  </si>
  <si>
    <t>行賈遍郡國</t>
  </si>
  <si>
    <t>세와 대여를 하고</t>
  </si>
  <si>
    <t>외상과 대부를 놓고</t>
  </si>
  <si>
    <t>鄒</t>
  </si>
  <si>
    <t>行=걸어가다 · 賈=장사하다 · 國=나라</t>
  </si>
  <si>
    <t>군국을 두루 다니며 장사했다</t>
  </si>
  <si>
    <t>여러 고을을 두루 다니며 장사했다</t>
  </si>
  <si>
    <t>魯以其故多去文學而趨利者</t>
  </si>
  <si>
    <t>추</t>
  </si>
  <si>
    <t>추 땅</t>
  </si>
  <si>
    <t>以曹邴氏也</t>
  </si>
  <si>
    <t>以=~로써 · 其=그 · 故=까닭 · 多=많다 · 去=가다 · 文=무늬·글 · 學=배우다 · 而=말 잇는 조사 · 趨=종종걸음으로 달리다 · 利=날이 날카롭다 → 이롭다</t>
  </si>
  <si>
    <t>노나라가 그 까닭에 학문을 버리고 이익을 좇는 자가 많아진 것은</t>
  </si>
  <si>
    <t>노나라에서 학문을 버리고 이익을 좇는 이가 많아진 것은</t>
  </si>
  <si>
    <t>趨</t>
  </si>
  <si>
    <t>달림이 이익 추구로 옮겨감</t>
  </si>
  <si>
    <t>以=~로써 · 氏=성씨 · 也=단정하는 조사</t>
  </si>
  <si>
    <t>조병씨 때문이다</t>
  </si>
  <si>
    <t>人之所患也</t>
  </si>
  <si>
    <t>唯刀閒收取</t>
  </si>
  <si>
    <t>使之逐漁鹽商賈之利</t>
  </si>
  <si>
    <t>閒=틈·한가하다 · 收=거두다 · 取=가지다</t>
  </si>
  <si>
    <t>오직 도한만이 거두어 받아들여</t>
  </si>
  <si>
    <t>도한만은 이들을 거두어 받아들여</t>
  </si>
  <si>
    <t>或連</t>
  </si>
  <si>
    <t>使=시키다 · 之=가다 (조사로도 쓰임) · 逐=짐승을 뒤쫓다 · 鹽=소금 · 商=장사하다 · 賈=장사하다 · 利=날이 날카롭다 → 이롭다</t>
  </si>
  <si>
    <t>물고기와 소금과 장사의 이익을 좇게 했다</t>
  </si>
  <si>
    <t>어염과 상업의 이익을 좇게 했다</t>
  </si>
  <si>
    <t>이익 추격</t>
  </si>
  <si>
    <t>사냥의 추격이 이익 좇기로 옮겨감</t>
  </si>
  <si>
    <t>車騎</t>
  </si>
  <si>
    <t>或=혹 · 連=잇다</t>
  </si>
  <si>
    <t>혹은 잇대어</t>
  </si>
  <si>
    <t>더러는 줄지어</t>
  </si>
  <si>
    <t>然愈益任之</t>
  </si>
  <si>
    <t>終得其力</t>
  </si>
  <si>
    <t>起富數千萬</t>
  </si>
  <si>
    <t>終=마치다 · 得=얻다 · 其=그 · 力=힘</t>
  </si>
  <si>
    <t>마침내 그 힘을 얻어</t>
  </si>
  <si>
    <t>마침내 그들의 힘을 얻어</t>
  </si>
  <si>
    <t>起=몸을 일으키다 · 富=재물이 넉넉하다 · 數=세다·수 · 千=일천 · 萬=일만</t>
  </si>
  <si>
    <t>부를 일으켜 수천만에 이르렀다</t>
  </si>
  <si>
    <t>재산이 수천만에 이르렀다</t>
  </si>
  <si>
    <t>寧爵毋刀</t>
  </si>
  <si>
    <t>故=까닭 · 曰=말하다</t>
  </si>
  <si>
    <t>그러므로 이르기를</t>
  </si>
  <si>
    <t>그래서 이런 말이 생겼다</t>
  </si>
  <si>
    <t>而師史尤甚</t>
  </si>
  <si>
    <t>轉轂以百數</t>
  </si>
  <si>
    <t>賈郡國</t>
  </si>
  <si>
    <t>轉=굴러 돌다 · 以=~로써 · 百=일백 · 數=세다·수</t>
  </si>
  <si>
    <t>수레를 백으로 헤아리며 굴리고</t>
  </si>
  <si>
    <t>수레 백여 대를 굴리며</t>
  </si>
  <si>
    <t>無所不至</t>
  </si>
  <si>
    <t>賈=장사하다 · 國=나라</t>
  </si>
  <si>
    <t>군국에서 장사하여</t>
  </si>
  <si>
    <t>여러 고을을 다니며 장사하여</t>
  </si>
  <si>
    <t>洛陽街居在齊秦楚趙之中</t>
  </si>
  <si>
    <t>無=없다 · 所=바·곳 · 不=아니다 · 至=이르다</t>
  </si>
  <si>
    <t>이르지 않는 곳이 없었다</t>
  </si>
  <si>
    <t>가지 않은 곳이 없었다</t>
  </si>
  <si>
    <t>貧人學事</t>
  </si>
  <si>
    <t>陽=볕 · 居=머물러 살다 · 在=있다 · 之=가다 (조사로도 쓰임) · 中=가운데</t>
  </si>
  <si>
    <t>낙양은 제·진·초·조의 한가운데 자리하여</t>
  </si>
  <si>
    <t>낙양은 제·진·초·조의 한복판에 있어</t>
  </si>
  <si>
    <t>富家</t>
  </si>
  <si>
    <t>貧=재물이 모자라다 · 人=사람 · 學=배우다 · 事=일</t>
  </si>
  <si>
    <t>가난한 이가 일을 배운다</t>
  </si>
  <si>
    <t>가난한 이들이 그 일을 배웠다</t>
  </si>
  <si>
    <t>相矜以久賈</t>
  </si>
  <si>
    <t>富=재물이 넉넉하다 · 家=집</t>
  </si>
  <si>
    <t>부유한 집</t>
  </si>
  <si>
    <t>부잣집끼리는</t>
  </si>
  <si>
    <t>數過邑不入門</t>
  </si>
  <si>
    <t>相=서로 · 以=~로써 · 久=오래되다 · 賈=장사하다</t>
  </si>
  <si>
    <t>오래 장사한 것을 서로 자랑하고</t>
  </si>
  <si>
    <t>오래 장사한 것을 서로 자랑하며</t>
  </si>
  <si>
    <t>設任此等</t>
  </si>
  <si>
    <t>數=세다·수 · 過=지나다 · 不=아니다 · 入=들다 · 門=문</t>
  </si>
  <si>
    <t>여러 번 고을을 지나도 집에 들르지 않았다</t>
  </si>
  <si>
    <t>제 고을을 여러 번 지나면서도 집에 들르지 않았다</t>
  </si>
  <si>
    <t>秦之敗也</t>
  </si>
  <si>
    <t>豪傑皆爭取金玉</t>
  </si>
  <si>
    <t>而任氏獨窖倉粟</t>
  </si>
  <si>
    <t>皆=모두 · 爭=다투다 · 取=가지다 · 金=쇠붙이 · 玉=옥</t>
  </si>
  <si>
    <t>호걸들이 모두 다투어 금과 옥을 가질 때</t>
  </si>
  <si>
    <t>호걸들이 다투어 금과 옥을 챙길 때</t>
  </si>
  <si>
    <t>楚漢相距滎陽也</t>
  </si>
  <si>
    <t>窖</t>
  </si>
  <si>
    <t>而=말 잇는 조사 · 任=맡기다 · 氏=성씨 · 獨=홀로 · 窖=움집·구덩이</t>
  </si>
  <si>
    <t>임씨만 홀로 창고의 곡식을 움에 묻었다</t>
  </si>
  <si>
    <t>임씨만은 곡식을 움에 묻어 두었다</t>
  </si>
  <si>
    <t>民不得耕種</t>
  </si>
  <si>
    <t>漢=한나라·사내 · 相=서로 · 陽=볕 · 也=단정하는 조사</t>
  </si>
  <si>
    <t>초와 한이 형양에서 맞서자</t>
  </si>
  <si>
    <t>米石至萬</t>
  </si>
  <si>
    <t>而豪傑金玉盡歸任氏</t>
  </si>
  <si>
    <t>任氏以此起富</t>
  </si>
  <si>
    <t>而=말 잇는 조사 · 金=쇠붙이 · 玉=옥 · 盡=다하다 · 歸=돌아가다 · 任=맡기다 · 氏=성씨</t>
  </si>
  <si>
    <t>호걸들의 금과 옥이 모두 임씨에게 돌아갔다</t>
  </si>
  <si>
    <t>호걸들의 금은보화가 모두 임씨에게 흘러들었다</t>
  </si>
  <si>
    <t>富人爭奢侈</t>
  </si>
  <si>
    <t>任=맡기다 · 氏=성씨 · 以=~로써 · 此=이것 · 起=몸을 일으키다 · 富=재물이 넉넉하다</t>
  </si>
  <si>
    <t>임씨는 이로써 부를 일으켰다</t>
  </si>
  <si>
    <t>임씨는 이렇게 부자가 되었다</t>
  </si>
  <si>
    <t>起</t>
  </si>
  <si>
    <t>발흥</t>
  </si>
  <si>
    <t>몸을 일으킴이 치부의 시작으로 옮겨감</t>
  </si>
  <si>
    <t>而任氏折節為儉</t>
  </si>
  <si>
    <t>富 奢</t>
  </si>
  <si>
    <t>富=재물이 넉넉하다 · 人=사람 · 爭=다투다 · 奢=사치하다</t>
  </si>
  <si>
    <t>부자들이 다투어 사치할 때</t>
  </si>
  <si>
    <t>力田畜</t>
  </si>
  <si>
    <t>而=말 잇는 조사 · 任=맡기다 · 氏=성씨 · 折=가지를 꺾다 · 節=대나무의 마디 · 為=하다 · 儉=검소하다</t>
  </si>
  <si>
    <t>임씨는 절개를 꺾어 검소하게 했다</t>
  </si>
  <si>
    <t>임씨는 뜻을 굽혀 검소하게 살며</t>
  </si>
  <si>
    <t>折節</t>
  </si>
  <si>
    <t>절제</t>
  </si>
  <si>
    <t>초목의 마디를 꺾음이 태도의 굽힘으로 옮겨감</t>
  </si>
  <si>
    <t>田畜人爭取賤賈</t>
  </si>
  <si>
    <t>力=힘 · 田=밭</t>
  </si>
  <si>
    <t>농사와 목축에 힘썼다</t>
  </si>
  <si>
    <t>任氏獨取貴善</t>
  </si>
  <si>
    <t>田=밭 · 人=사람 · 爭=다투다 · 取=가지다 · 賤=천하다 · 賈=장사하다</t>
  </si>
  <si>
    <t>농사와 목축 하는 이들이 다투어 싼 것을 살 때</t>
  </si>
  <si>
    <t>남들이 다투어 싼 것을 살 때</t>
  </si>
  <si>
    <t>富者數世</t>
  </si>
  <si>
    <t>任=맡기다 · 氏=성씨 · 獨=홀로 · 取=가지다 · 貴=귀하다 · 善=착하다</t>
  </si>
  <si>
    <t>임씨만 홀로 비싸고 좋은 것을 샀다</t>
  </si>
  <si>
    <t>임씨는 홀로 비싸고 좋은 것을 샀다</t>
  </si>
  <si>
    <t>然任公家約</t>
  </si>
  <si>
    <t>富=재물이 넉넉하다 · 者=~하는 것·사람 · 數=세다·수 · 世=세상</t>
  </si>
  <si>
    <t>부유함이 여러 대에 이르렀다</t>
  </si>
  <si>
    <t>부유함이 여러 대를 이었다</t>
  </si>
  <si>
    <t>非田畜所出弗衣食</t>
  </si>
  <si>
    <t>然=그러하다 · 任=맡기다 · 公=공변되다·귀인 · 家=집</t>
  </si>
  <si>
    <t>그러나 임공의 집에는 규약이 있어</t>
  </si>
  <si>
    <t>그러나 임씨 집에는 규약이 있어</t>
  </si>
  <si>
    <t>畢則身不得飲酒食肉</t>
  </si>
  <si>
    <t>以此為閭里率</t>
  </si>
  <si>
    <t>故富而主上重之</t>
  </si>
  <si>
    <t>以=~로써 · 此=이것 · 為=하다</t>
  </si>
  <si>
    <t>이로써 마을의 모범이 되었다</t>
  </si>
  <si>
    <t>이로써 마을의 본보기가 되었다</t>
  </si>
  <si>
    <t>故=까닭 · 富=재물이 넉넉하다 · 而=말 잇는 조사 · 主=주인 · 上=위쪽 · 重=무겁다 · 之=가다 (조사로도 쓰임)</t>
  </si>
  <si>
    <t>그러므로 부유하되 임금이 그를 중히 여겼다</t>
  </si>
  <si>
    <t>부유하면서도 임금의 존중을 받았다</t>
  </si>
  <si>
    <t>塞之斥也</t>
  </si>
  <si>
    <t>唯橋姚已致馬千匹</t>
  </si>
  <si>
    <t>之=가다 (조사로도 쓰임) · 也=단정하는 조사</t>
  </si>
  <si>
    <t>변방이 넓어지자</t>
  </si>
  <si>
    <t>변경이 개척되자</t>
  </si>
  <si>
    <t>牛倍之</t>
  </si>
  <si>
    <t>已=이미 · 致=이르게 하다 · 馬=말 · 千=일천</t>
  </si>
  <si>
    <t>오직 교요만이 말 천 필에 이르렀고</t>
  </si>
  <si>
    <t>교요만이 말 천 필을 가졌고</t>
  </si>
  <si>
    <t>羊萬頭</t>
  </si>
  <si>
    <t>牛=소 · 倍=갑절 · 之=가다 (조사로도 쓰임)</t>
  </si>
  <si>
    <t>소는 그 갑절이었다</t>
  </si>
  <si>
    <t>소는 그 두 배였으며</t>
  </si>
  <si>
    <t>粟以萬鐘計</t>
  </si>
  <si>
    <t>羊=양 · 萬=일만 · 頭=머리</t>
  </si>
  <si>
    <t>양은 만 마리였다</t>
  </si>
  <si>
    <t>長安中列侯封</t>
  </si>
  <si>
    <t>君行從軍旅</t>
  </si>
  <si>
    <t>齎貸子錢</t>
  </si>
  <si>
    <t>君=임금·그대 · 行=걸어가다 · 從=좇다 · 旅=나그네</t>
  </si>
  <si>
    <t>그대가 군대를 따라가는데</t>
  </si>
  <si>
    <t>제후들이 군대를 따라 나서면서</t>
  </si>
  <si>
    <t>子錢家以為侯邑國在關東</t>
  </si>
  <si>
    <t>子=아들 · 錢=엽전</t>
  </si>
  <si>
    <t>돈을 빌리려 했다</t>
  </si>
  <si>
    <t>돈을 빌리려 했으나</t>
  </si>
  <si>
    <t>子錢</t>
  </si>
  <si>
    <t>새끼를 낳음이 이자의 발생으로 옮겨감</t>
  </si>
  <si>
    <t>關東成敗未決</t>
  </si>
  <si>
    <t>子=아들 · 錢=엽전 · 家=집 · 以=~로써 · 為=하다 · 侯=제후 · 國=나라 · 在=있다 · 關=빗장·관문 · 東=동쪽</t>
  </si>
  <si>
    <t>돈놀이하는 집은 봉읍이 관동에 있다고 여겨</t>
  </si>
  <si>
    <t>돈놀이하는 집들은 봉읍이 관동에 있다는 이유로</t>
  </si>
  <si>
    <t>莫肯與</t>
  </si>
  <si>
    <t>關=빗장·관문 · 東=동쪽 · 成=이루다 · 敗=싸움에 지다 · 未=아직 ~않다</t>
  </si>
  <si>
    <t>관동의 성패가 아직 결정되지 않았다고</t>
  </si>
  <si>
    <t>관동의 승패가 아직 판가름 나지 않았다며</t>
  </si>
  <si>
    <t>唯無鹽氏出捐千金</t>
  </si>
  <si>
    <t>莫=없다 · 與=주다</t>
  </si>
  <si>
    <t>아무도 주려 하지 않았다</t>
  </si>
  <si>
    <t>아무도 빌려주려 하지 않았다</t>
  </si>
  <si>
    <t>貸</t>
  </si>
  <si>
    <t>無=없다 · 鹽=소금 · 氏=성씨 · 出=나가다 · 千=일천 · 金=쇠붙이</t>
  </si>
  <si>
    <t>오직 무염씨만이 천금을 내어</t>
  </si>
  <si>
    <t>무염씨만이 천금을 내어</t>
  </si>
  <si>
    <t>其息什之</t>
  </si>
  <si>
    <t>빌려주었다</t>
  </si>
  <si>
    <t>빌려주었는데</t>
  </si>
  <si>
    <t>三月</t>
  </si>
  <si>
    <t>息 什</t>
  </si>
  <si>
    <t>其=그 · 息=숨쉬다 · 什=열 · 之=가다 (조사로도 쓰임)</t>
  </si>
  <si>
    <t>그 이자는 열 배였다</t>
  </si>
  <si>
    <t>이자를 열 배로 매겼다</t>
  </si>
  <si>
    <t>吳楚平</t>
  </si>
  <si>
    <t>三=셋 · 月=달</t>
  </si>
  <si>
    <t>석 달</t>
  </si>
  <si>
    <t>석 달 만에</t>
  </si>
  <si>
    <t>一歲之中</t>
  </si>
  <si>
    <t>則無鹽氏之息什倍</t>
  </si>
  <si>
    <t>一=하나 · 歲=한 해 · 之=가다 (조사로도 쓰임) · 中=가운데</t>
  </si>
  <si>
    <t>한 해 사이에</t>
  </si>
  <si>
    <t>用此富埒關中</t>
  </si>
  <si>
    <t>倍 息 什</t>
  </si>
  <si>
    <t>則=곧 · 無=없다 · 鹽=소금 · 氏=성씨 · 之=가다 (조사로도 쓰임) · 息=숨쉬다 · 什=열 · 倍=갑절</t>
  </si>
  <si>
    <t>무염씨의 이자가 열 배가 되어</t>
  </si>
  <si>
    <t>무염씨의 이자가 열 배로 불어</t>
  </si>
  <si>
    <t>用=쓰다 · 此=이것 · 富=재물이 넉넉하다 · 埒=낮은 담 · 關=빗장·관문 · 中=가운데</t>
  </si>
  <si>
    <t>이로써 관중에 견줄 부를 이루었다</t>
  </si>
  <si>
    <t>이로써 관중의 부자들과 맞먹게 되었다</t>
  </si>
  <si>
    <t>關中富商大賈</t>
  </si>
  <si>
    <t>大抵盡諸田</t>
  </si>
  <si>
    <t>關=빗장·관문 · 中=가운데 · 富=재물이 넉넉하다 · 商=장사하다 · 大=크다 · 賈=장사하다</t>
  </si>
  <si>
    <t>관중의 큰 상인은</t>
  </si>
  <si>
    <t>田嗇</t>
  </si>
  <si>
    <t>大=크다 · 盡=다하다 · 諸=여러 · 田=밭</t>
  </si>
  <si>
    <t>대개 모두 전씨들이다</t>
  </si>
  <si>
    <t>대개 전씨 집안이다</t>
  </si>
  <si>
    <t>此其章章尤異者也</t>
  </si>
  <si>
    <t>皆非有爵邑奉祿弄法犯姦而富</t>
  </si>
  <si>
    <t>此=이것 · 其=그 · 者=~하는 것·사람 · 也=단정하는 조사</t>
  </si>
  <si>
    <t>이들이 두드러지게 뛰어난 자들이다</t>
  </si>
  <si>
    <t>이들이 특히 두드러진 이들이다</t>
  </si>
  <si>
    <t>盡椎埋去就</t>
  </si>
  <si>
    <t>皆=모두 · 非=아니다 · 有=있다 · 爵=술잔 모양의 벼슬 · 法=법 · 而=말 잇는 조사 · 富=재물이 넉넉하다</t>
  </si>
  <si>
    <t>모두 작위나 봉록이나 법을 농락하거나 간악한 짓으로 부유해진 것이 아니다</t>
  </si>
  <si>
    <t>모두 벼슬이나 봉록, 법을 농락하거나 부정한 짓으로 부자가 된 것이 아니다</t>
  </si>
  <si>
    <t>與時俯仰</t>
  </si>
  <si>
    <t>盡=다하다 · 去=가다</t>
  </si>
  <si>
    <t>모두 형세를 헤아려 나아가고 물러났다</t>
  </si>
  <si>
    <t>모두 형세를 헤아려 나아가고 물러났으며</t>
  </si>
  <si>
    <t>獲其贏利</t>
  </si>
  <si>
    <t>與=주다 · 時=때</t>
  </si>
  <si>
    <t>때에 따라 굽히고 폈다</t>
  </si>
  <si>
    <t>때에 맞추어 몸을 굽히고 폈다</t>
  </si>
  <si>
    <t>以末致</t>
  </si>
  <si>
    <t>利 贏</t>
  </si>
  <si>
    <t>其=그 · 贏=남다 · 利=날이 날카롭다 → 이롭다</t>
  </si>
  <si>
    <t>그 남는 이익을 얻어</t>
  </si>
  <si>
    <t>거기서 얻은 이문으로</t>
  </si>
  <si>
    <t>以=~로써 · 末=끝 · 致=이르게 하다</t>
  </si>
  <si>
    <t>말업으로 이루고</t>
  </si>
  <si>
    <t>장사로 재물을 모으고</t>
  </si>
  <si>
    <t>用本守之</t>
  </si>
  <si>
    <t>재물을</t>
  </si>
  <si>
    <t>그 재물을</t>
  </si>
  <si>
    <t>以武一切</t>
  </si>
  <si>
    <t>用=쓰다 · 本=나무의 뿌리 · 守=지키다 · 之=가다 (조사로도 쓰임)</t>
  </si>
  <si>
    <t>본업으로 지켰다</t>
  </si>
  <si>
    <t>농사로 지켜 냈다</t>
  </si>
  <si>
    <t>本</t>
  </si>
  <si>
    <t>故足術也</t>
  </si>
  <si>
    <t>若至力農畜</t>
  </si>
  <si>
    <t>工虞商賈</t>
  </si>
  <si>
    <t>若=같다 · 至=이르다 · 力=힘 · 農=농사</t>
  </si>
  <si>
    <t>농사와 목축에 힘쓰는 데 이르러서는</t>
  </si>
  <si>
    <t>농사와 목축에 힘쓰는 일에서</t>
  </si>
  <si>
    <t>為權利以</t>
  </si>
  <si>
    <t>工=장인 · 商=장사하다 · 賈=장사하다</t>
  </si>
  <si>
    <t>장인과 산택지기와 상인이</t>
  </si>
  <si>
    <t>成富</t>
  </si>
  <si>
    <t>為=하다 · 權=저울추 · 利=날이 날카롭다 → 이롭다 · 以=~로써</t>
  </si>
  <si>
    <t>저울질하여</t>
  </si>
  <si>
    <t>이해를 저울질하여</t>
  </si>
  <si>
    <t>權</t>
  </si>
  <si>
    <t>저울질</t>
  </si>
  <si>
    <t>저울추가 이해의 계량으로 옮겨감</t>
  </si>
  <si>
    <t>大者傾郡</t>
  </si>
  <si>
    <t>成=이루다 · 富=재물이 넉넉하다</t>
  </si>
  <si>
    <t>부를 이룬다</t>
  </si>
  <si>
    <t>中者傾縣</t>
  </si>
  <si>
    <t>大=크다 · 者=~하는 것·사람 · 傾=한쪽으로 기울다</t>
  </si>
  <si>
    <t>큰 자는 고을을 기울이고</t>
  </si>
  <si>
    <t>큰 자는 한 고을을 압도하고</t>
  </si>
  <si>
    <t>傾</t>
  </si>
  <si>
    <t>압도</t>
  </si>
  <si>
    <t>공간의 기욺이 고을을 압도함으로 옮겨감</t>
  </si>
  <si>
    <t>夫纖嗇筋力</t>
  </si>
  <si>
    <t>治生之正道也</t>
  </si>
  <si>
    <t>而富者必用奇勝</t>
  </si>
  <si>
    <t>治=다스리다 · 生=낳다·살다 · 之=가다 (조사로도 쓰임) · 正=바르다 · 道=길 · 也=단정하는 조사</t>
  </si>
  <si>
    <t>생업을 다스리는 바른 길이다</t>
  </si>
  <si>
    <t>이것이 생업을 꾸리는 바른 길이다</t>
  </si>
  <si>
    <t>田農</t>
  </si>
  <si>
    <t>而=말 잇는 조사 · 富=재물이 넉넉하다 · 者=~하는 것·사람 · 必=반드시 · 用=쓰다 · 奇=기이하다 · 勝=싸움에 이기다</t>
  </si>
  <si>
    <t>그러나 부유한 자는 반드시 기이한 방법으로 이긴다</t>
  </si>
  <si>
    <t>그러나 큰 부자는 반드시 남다른 방법으로 이긴다</t>
  </si>
  <si>
    <t>奇勝</t>
  </si>
  <si>
    <t>기책</t>
  </si>
  <si>
    <t>전술의 기이한 승리가 치부의 방책으로 옮겨감</t>
  </si>
  <si>
    <t>掘業</t>
  </si>
  <si>
    <t>田=밭 · 農=농사</t>
  </si>
  <si>
    <t>밭농사는</t>
  </si>
  <si>
    <t>博戲</t>
  </si>
  <si>
    <t>惡業也</t>
  </si>
  <si>
    <t>而桓發用富</t>
  </si>
  <si>
    <t>惡=모질다 · 業=생업 · 也=단정하는 조사</t>
  </si>
  <si>
    <t>나쁜 생업이다</t>
  </si>
  <si>
    <t>천한 생업인데</t>
  </si>
  <si>
    <t>行賈</t>
  </si>
  <si>
    <t>而=말 잇는 조사 · 用=쓰다 · 富=재물이 넉넉하다</t>
  </si>
  <si>
    <t>그런데 환발은 이로써 부유해졌다</t>
  </si>
  <si>
    <t>환발은 이것으로 부자가 되었다</t>
  </si>
  <si>
    <t>丈夫賤行也</t>
  </si>
  <si>
    <t>行=걸어가다 · 賈=장사하다</t>
  </si>
  <si>
    <t>행상은</t>
  </si>
  <si>
    <t>而雍樂成以饒</t>
  </si>
  <si>
    <t>夫=사내·무릇 · 賤=천하다 · 行=걸어가다 · 也=단정하는 조사</t>
  </si>
  <si>
    <t>사내로서 천한 일이다</t>
  </si>
  <si>
    <t>사내로서는 천한 일인데</t>
  </si>
  <si>
    <t>販脂</t>
  </si>
  <si>
    <t>辱處也</t>
  </si>
  <si>
    <t>而雍伯千金</t>
  </si>
  <si>
    <t>處=곳 · 也=단정하는 조사</t>
  </si>
  <si>
    <t>욕된 자리다</t>
  </si>
  <si>
    <t>욕된 일인데</t>
  </si>
  <si>
    <t>賣漿</t>
  </si>
  <si>
    <t>而=말 잇는 조사 · 千=일천 · 金=쇠붙이</t>
  </si>
  <si>
    <t>그런데 옹백은 천금을 얻었다</t>
  </si>
  <si>
    <t>옹백은 이것으로 천금을 얻었다</t>
  </si>
  <si>
    <t>小業也</t>
  </si>
  <si>
    <t>마실 것을 파는 것은</t>
  </si>
  <si>
    <t>미음을 파는 일은</t>
  </si>
  <si>
    <t>而張氏千萬</t>
  </si>
  <si>
    <t>小=작다 · 業=생업 · 也=단정하는 조사</t>
  </si>
  <si>
    <t>작은 생업이다</t>
  </si>
  <si>
    <t>보잘것없는 생업인데</t>
  </si>
  <si>
    <t>此皆誠壹之所致</t>
  </si>
  <si>
    <t>由是觀之</t>
  </si>
  <si>
    <t>富無經業</t>
  </si>
  <si>
    <t>是=옳다·이것 · 之=가다 (조사로도 쓰임)</t>
  </si>
  <si>
    <t>이로 말미암아 보건대</t>
  </si>
  <si>
    <t>이로 미루어 보건대</t>
  </si>
  <si>
    <t>則貨無常主</t>
  </si>
  <si>
    <t>富=재물이 넉넉하다 · 無=없다 · 經=베의 날실 · 業=생업</t>
  </si>
  <si>
    <t>부에는 정해진 생업이 없고</t>
  </si>
  <si>
    <t>부에는 정해진 업종이 없고</t>
  </si>
  <si>
    <t>經</t>
  </si>
  <si>
    <t>정해진 업</t>
  </si>
  <si>
    <t>베의 날실이 고정된 생업으로 옮겨감</t>
  </si>
  <si>
    <t>能者輻湊</t>
  </si>
  <si>
    <t>則=곧 · 貨=사고파는 물건 · 無=없다 · 主=주인</t>
  </si>
  <si>
    <t>재화에는 일정한 주인이 없다</t>
  </si>
  <si>
    <t>재물에는 일정한 주인이 없다</t>
  </si>
  <si>
    <t>無常主</t>
  </si>
  <si>
    <t>주인 없음</t>
  </si>
  <si>
    <t>재화를 주인을 가리는 존재로 의인화함</t>
  </si>
  <si>
    <t>不肖者瓦解</t>
  </si>
  <si>
    <t>能=능하다 · 者=~하는 것·사람 · 輻=수레바퀴의 살 · 湊=모여들다</t>
  </si>
  <si>
    <t>능한 자에게는 바퀴살처럼 모이고</t>
  </si>
  <si>
    <t>능한 이에게는 바퀴살 모이듯 쏠리고</t>
  </si>
  <si>
    <t>輻湊</t>
  </si>
  <si>
    <t>집중</t>
  </si>
  <si>
    <t>바퀴살이 모임이 부의 쏠림으로 옮겨감</t>
  </si>
  <si>
    <t>千金之家比一都之君</t>
  </si>
  <si>
    <t>不=아니다 · 者=~하는 것·사람 · 瓦=기와 · 解=풀어 헤치다</t>
  </si>
  <si>
    <t>못난 자에게서는 기와처럼 흩어진다</t>
  </si>
  <si>
    <t>못난 이에게서는 기와 무너지듯 흩어진다</t>
  </si>
  <si>
    <t>瓦解</t>
  </si>
  <si>
    <t>붕괴</t>
  </si>
  <si>
    <t>기와가 흩어짐이 부의 와해로 옮겨감</t>
  </si>
  <si>
    <t>巨萬者乃與王者同樂</t>
  </si>
  <si>
    <t>千=일천 · 金=쇠붙이 · 之=가다 (조사로도 쓰임) · 家=집 · 一=하나 · 都=도읍 · 君=임금·그대</t>
  </si>
  <si>
    <t>천금의 집은 한 도읍의 임금에 견주고</t>
  </si>
  <si>
    <t>천금을 가진 집은 한 고을의 임금에 견주며</t>
  </si>
  <si>
    <t>豈所謂</t>
  </si>
  <si>
    <t>萬=일만 · 者=~하는 것·사람 · 乃=이에 · 與=주다 · 王=임금 · 同=같다</t>
  </si>
  <si>
    <t>거만을 가진 자는 왕과 즐거움을 같이한다</t>
  </si>
  <si>
    <t>거만을 가진 자는 임금과 다름없이 누린다</t>
  </si>
  <si>
    <t>所=바·곳 · 謂=이르다</t>
  </si>
  <si>
    <t>어찌 이른바</t>
  </si>
  <si>
    <t>이것이 바로 이른바</t>
  </si>
  <si>
    <t>者邪非也</t>
  </si>
  <si>
    <t>소봉이라 하겠는가</t>
  </si>
  <si>
    <t>소봉이 아니겠는가</t>
  </si>
  <si>
    <t>者=~하는 것·사람 · 非=아니다 · 也=단정하는 조사</t>
  </si>
  <si>
    <t>그런 것인가 아니다</t>
  </si>
  <si>
    <t>그렇지 않겠는가</t>
  </si>
  <si>
    <t>徐往舘所</t>
  </si>
  <si>
    <t>諸裨已著軍服戰笠矣</t>
  </si>
  <si>
    <t>頂起銀花雲月</t>
  </si>
  <si>
    <t>諸=여러 · 已=이미 · 服=옷 · 矣=마치는 조사</t>
  </si>
  <si>
    <t>여러 비장이 이미 군복과 전립을 입었다</t>
  </si>
  <si>
    <t>비장들은 벌써 군복에 전립을 갖추었고</t>
  </si>
  <si>
    <t>懸孔雀羽</t>
  </si>
  <si>
    <t>銀</t>
  </si>
  <si>
    <t>起=몸을 일으키다 · 銀=은 · 雲=구름 · 月=달</t>
  </si>
  <si>
    <t>정수리에 은화와 구름·달 장식을 세우고</t>
  </si>
  <si>
    <t>전립 꼭대기에 은꽃과 구름·달 모양 장식을 세우고</t>
  </si>
  <si>
    <t>TD-7 경물·감각</t>
  </si>
  <si>
    <t>銀花雲月</t>
  </si>
  <si>
    <t>투구 장식의 형상</t>
  </si>
  <si>
    <t>꽃과 구름·달의 형상이 투구 장식의 이름으로 옮겨감</t>
  </si>
  <si>
    <t>腰繫藍方紗紬纏帶</t>
  </si>
  <si>
    <t>공작 깃을 매달았다</t>
  </si>
  <si>
    <t>공작 깃을 늘어뜨렸다</t>
  </si>
  <si>
    <t>者</t>
  </si>
  <si>
    <t>自檢其囊中得廿六文</t>
  </si>
  <si>
    <t>而東錢有禁</t>
  </si>
  <si>
    <t>自=스스로 · 其=그 · 中=가운데 · 得=얻다 · 六=여섯 · 文=무늬·글</t>
  </si>
  <si>
    <t>스스로 그 주머니 속을 헤아리니 스물여섯 문을 얻었다</t>
  </si>
  <si>
    <t>주머니를 뒤져 보니 스물여섯 푼이 있었다</t>
  </si>
  <si>
    <t>不可出境</t>
  </si>
  <si>
    <t>而=말 잇는 조사 · 東=동쪽 · 錢=엽전 · 有=있다</t>
  </si>
  <si>
    <t>그런데 조선 돈은 금령이 있어</t>
  </si>
  <si>
    <t>그런데 우리 돈은 반출이 금지되어</t>
  </si>
  <si>
    <t>棄之道則可惜</t>
  </si>
  <si>
    <t>不=아니다 · 可=옳다·가하다 · 出=나가다</t>
  </si>
  <si>
    <t>국경을 나갈 수 없다</t>
  </si>
  <si>
    <t>국경 밖으로 가져갈 수 없다</t>
  </si>
  <si>
    <t>滿酌一盞</t>
  </si>
  <si>
    <t>酹第一柱</t>
  </si>
  <si>
    <t>自祈利涉</t>
  </si>
  <si>
    <t>一=하나</t>
  </si>
  <si>
    <t>첫째 기둥에 술을 붓고</t>
  </si>
  <si>
    <t>첫째 기둥에 술을 부으며</t>
  </si>
  <si>
    <t>又斟一杯</t>
  </si>
  <si>
    <t>自=스스로 · 利=날이 날카롭다 → 이롭다</t>
  </si>
  <si>
    <t>스스로 무사히 건너기를 빌었다</t>
  </si>
  <si>
    <t>무사히 건너게 해 달라고 빌었다</t>
  </si>
  <si>
    <t>酹第二柱</t>
  </si>
  <si>
    <t>又=또 · 一=하나</t>
  </si>
  <si>
    <t>또 한 잔을 따라</t>
  </si>
  <si>
    <t>다시 한 잔을 따라</t>
  </si>
  <si>
    <t>紅粉樓中別莫愁</t>
  </si>
  <si>
    <t>秋風數騎出邊頭</t>
  </si>
  <si>
    <t>畵船簫鼓無消息</t>
  </si>
  <si>
    <t>秋=가을 · 風=바람 · 數=세다·수 · 出=나가다 · 邊=가장자리 · 頭=머리</t>
  </si>
  <si>
    <t>가을바람에 두어 기마가 변방 어귀를 나서고</t>
  </si>
  <si>
    <t>가을바람에 몇 기마가 변방을 나서는데</t>
  </si>
  <si>
    <t>斷膓淸南第一州</t>
  </si>
  <si>
    <t>無=없다 · 消=녹아 없어지다 · 息=숨쉬다</t>
  </si>
  <si>
    <t>그림배의 퉁소와 북은 소식이 없다</t>
  </si>
  <si>
    <t>그림배의 풍악 소리는 간 데 없고</t>
  </si>
  <si>
    <t>此柳惠風入瀋陽時作也</t>
  </si>
  <si>
    <t>膓=창자 · 淸=맑다 · 南=남쪽 · 一=하나 · 州=고을</t>
  </si>
  <si>
    <t>청남 제일주에서 애를 끊는다</t>
  </si>
  <si>
    <t>청남 제일의 고을에서 애간장이 끊어진다</t>
  </si>
  <si>
    <t>斷膓</t>
  </si>
  <si>
    <t>이별의 슬픔</t>
  </si>
  <si>
    <t>창자가 끊어짐이 이별의 슬픔으로 옮겨감</t>
  </si>
  <si>
    <t>舊件新浣</t>
  </si>
  <si>
    <t>鬅騰郭索</t>
  </si>
  <si>
    <t>可謂太崇儉矣</t>
  </si>
  <si>
    <t>머리는 헝클어지고 걸음은 게걸음이니</t>
  </si>
  <si>
    <t>머리는 헝클어지고 걸음은 게처럼 어정거리니</t>
  </si>
  <si>
    <t>稍俟副使之出城</t>
  </si>
  <si>
    <t>可=옳다·가하다 · 謂=이르다 · 儉=검소하다 · 矣=마치는 조사</t>
  </si>
  <si>
    <t>너무 검소함을 숭상한다 할 만하다</t>
  </si>
  <si>
    <t>지나치게 검소하다 할 만하다</t>
  </si>
  <si>
    <t>崇</t>
  </si>
  <si>
    <t>숭상</t>
  </si>
  <si>
    <t>공간의 높음이 가치의 존숭으로 옮겨감</t>
  </si>
  <si>
    <t>乃按轡徐行</t>
  </si>
  <si>
    <t>使=시키다 · 之=가다 (조사로도 쓰임) · 出=나가다 · 城=성</t>
  </si>
  <si>
    <t>부사가 성을 나서기를 조금 기다려</t>
  </si>
  <si>
    <t>부사가 성을 나오기를 잠시 기다렸다가</t>
  </si>
  <si>
    <t>搜其禁物</t>
  </si>
  <si>
    <t>大者如黃金眞珠人參貂皮</t>
  </si>
  <si>
    <t>及包外濫銀</t>
  </si>
  <si>
    <t>大=크다 · 者=~하는 것·사람 · 如=같다 · 金=쇠붙이 · 眞=참되다 · 珠=구슬 · 人=사람</t>
  </si>
  <si>
    <t>큰 것은 황금·진주·인삼·담비 가죽 같은 것이고</t>
  </si>
  <si>
    <t>큰 것으로는 황금·진주·인삼·담비 가죽이 있고</t>
  </si>
  <si>
    <t>小者新舊名目</t>
  </si>
  <si>
    <t>及=미치다 · 外=바깥 · 銀=은</t>
  </si>
  <si>
    <t>그리고 포 밖의 넘치는 은이며</t>
  </si>
  <si>
    <t>정해진 몫을 넘긴 은이 있으며</t>
  </si>
  <si>
    <t>濫</t>
  </si>
  <si>
    <t>한도 초과</t>
  </si>
  <si>
    <t>물이 넘침이 규정 초과의 은으로 옮겨감</t>
  </si>
  <si>
    <t>不下數十種</t>
  </si>
  <si>
    <t>小=작다 · 者=~하는 것·사람 · 新=새롭다 · 舊=옛 · 名=이름 · 目=눈</t>
  </si>
  <si>
    <t>작은 것은 새롭고 오래된 여러 명목으로</t>
  </si>
  <si>
    <t>작은 것은 이런저런 명목이 붙어</t>
  </si>
  <si>
    <t>而其實</t>
  </si>
  <si>
    <t>文具而已</t>
  </si>
  <si>
    <t>灣賈之先期潛越</t>
  </si>
  <si>
    <t>文=무늬·글 · 而=말 잇는 조사 · 已=이미</t>
  </si>
  <si>
    <t>문서상의 격식일 뿐이다</t>
  </si>
  <si>
    <t>문서상의 형식에 지나지 않는다</t>
  </si>
  <si>
    <t>有誰禁之</t>
  </si>
  <si>
    <t>賈=장사하다 · 之=가다 (조사로도 쓰임) · 先=먼저 · 潛=물속에 잠기다</t>
  </si>
  <si>
    <t>의주 상인이 기일에 앞서 몰래 건너는 것을</t>
  </si>
  <si>
    <t>의주 상인이 미리 몰래 국경을 넘는 것을</t>
  </si>
  <si>
    <t>潛越</t>
  </si>
  <si>
    <t>밀무역</t>
  </si>
  <si>
    <t>물속에 잠김이 몰래 국경을 넘음으로 옮겨감</t>
  </si>
  <si>
    <t>禁物之現捉於初旗者</t>
  </si>
  <si>
    <t>有=있다 · 之=가다 (조사로도 쓰임)</t>
  </si>
  <si>
    <t>누가 금하겠는가</t>
  </si>
  <si>
    <t>누가 막을 수 있겠는가</t>
  </si>
  <si>
    <t>今行原包猶未及半</t>
  </si>
  <si>
    <t>多空包者</t>
  </si>
  <si>
    <t>其濫銀奚論</t>
  </si>
  <si>
    <t>多=많다 · 者=~하는 것·사람</t>
  </si>
  <si>
    <t>빈 포가 많은 자이니</t>
  </si>
  <si>
    <t>빈 짐짝이 많으니</t>
  </si>
  <si>
    <t>其=그 · 銀=은</t>
  </si>
  <si>
    <t>그 넘치는 은을 어찌 논하겠는가</t>
  </si>
  <si>
    <t>규정을 넘긴 은을 따질 것이 있겠는가</t>
  </si>
  <si>
    <t>茶啖草草</t>
  </si>
  <si>
    <t>乍進旋退</t>
  </si>
  <si>
    <t>茶=차</t>
  </si>
  <si>
    <t>차와 다과가 변변찮아</t>
  </si>
  <si>
    <t>惟</t>
  </si>
  <si>
    <t>知道者能之</t>
  </si>
  <si>
    <t>鄭之子產</t>
  </si>
  <si>
    <t>知=알다 · 道=길 · 者=~하는 것·사람 · 能=능하다 · 之=가다 (조사로도 쓰임)</t>
  </si>
  <si>
    <t>도를 아는 자라야 능하다</t>
  </si>
  <si>
    <t>도를 아는 자라야 할 수 있는 일이다</t>
  </si>
  <si>
    <t>之=가다 (조사로도 쓰임) · 子=아들</t>
  </si>
  <si>
    <t>정나라의 자산이다</t>
  </si>
  <si>
    <t>정나라 자산이 그런 사람이다</t>
  </si>
  <si>
    <t>船已泊岸</t>
  </si>
  <si>
    <t>蘆荻如織</t>
  </si>
  <si>
    <t>已=이미</t>
  </si>
  <si>
    <t>배가 이미 언덕에 닿았다</t>
  </si>
  <si>
    <t>배가 벌써 기슭에 닿았다</t>
  </si>
  <si>
    <t>有一人起立應聲曰</t>
  </si>
  <si>
    <t>爾們的不時節</t>
  </si>
  <si>
    <t>緣何朝貢入大國</t>
  </si>
  <si>
    <t>的=~의 (백화) · 不=아니다 · 時=때 · 節=대나무의 마디</t>
  </si>
  <si>
    <t>너희들은 철이 아닌데</t>
  </si>
  <si>
    <t>너희들은 철도 아닌데</t>
  </si>
  <si>
    <t>暑天裏長途</t>
  </si>
  <si>
    <t>何=무엇 · 朝=아침·조정 · 貢=바치는 물건 · 入=들다 · 大=크다 · 國=나라</t>
  </si>
  <si>
    <t>무슨 까닭에 조공으로 대국에 들어오는가</t>
  </si>
  <si>
    <t>무슨 일로 조공하러 대국에 들어오는가</t>
  </si>
  <si>
    <t>辛苦時大</t>
  </si>
  <si>
    <t>天=하늘 · 長=길다·자라다</t>
  </si>
  <si>
    <t>더운 날에 먼 길을</t>
  </si>
  <si>
    <t>이 더위에 먼 길을</t>
  </si>
  <si>
    <t>余騰身載其背</t>
  </si>
  <si>
    <t>其人笑嘻嘻入船</t>
  </si>
  <si>
    <t>出氣長息曰</t>
  </si>
  <si>
    <t>其=그 · 人=사람 · 笑=웃다 · 入=들다</t>
  </si>
  <si>
    <t>그 사람이 싱글싱글 웃으며 배에 들어와</t>
  </si>
  <si>
    <t>그 사람이 히죽히죽 웃으며 배에 올라</t>
  </si>
  <si>
    <t>黑旋風媽媽這樣沉挑時</t>
  </si>
  <si>
    <t>出=나가다 · 氣=기운 · 長=길다·자라다 · 息=숨쉬다 · 曰=말하다</t>
  </si>
  <si>
    <t>숨을 내쉬고 길게 한숨지으며 말했다</t>
  </si>
  <si>
    <t>숨을 몰아쉬고 길게 한숨을 내쉬며 말했다</t>
  </si>
  <si>
    <t>巴不得上了沂</t>
  </si>
  <si>
    <t>風=바람 · 時=때</t>
  </si>
  <si>
    <t>흑선풍 어미가 이렇게 무겁게 멜 때</t>
  </si>
  <si>
    <t>흑선풍의 어미를 이렇게 무겁게 멜 적에</t>
  </si>
  <si>
    <t>或五人同帳</t>
  </si>
  <si>
    <t>譯卒及刷馬驅人</t>
  </si>
  <si>
    <t>伍伍什什</t>
  </si>
  <si>
    <t>譯=통역하다 · 及=미치다 · 馬=말 · 人=사람</t>
  </si>
  <si>
    <t>역졸과 쇄마 몰이꾼들이</t>
  </si>
  <si>
    <t>역졸과 말몰이꾼들이</t>
  </si>
  <si>
    <t>靠溪搆木</t>
  </si>
  <si>
    <t>什=열</t>
  </si>
  <si>
    <t>다섯씩 열씩 짝지어</t>
  </si>
  <si>
    <t>다섯씩 열씩 무리를 지어</t>
  </si>
  <si>
    <t>炊烟相連</t>
  </si>
  <si>
    <t>시내에 기대어 나무를 얽고</t>
  </si>
  <si>
    <t>시냇가에 나무를 얽어 얽매고</t>
  </si>
  <si>
    <t>儼</t>
  </si>
  <si>
    <t>成村閭</t>
  </si>
  <si>
    <t>灣商一隊</t>
  </si>
  <si>
    <t>成=이루다</t>
  </si>
  <si>
    <t>마을을 이루었다</t>
  </si>
  <si>
    <t>한 마을을 이루었다</t>
  </si>
  <si>
    <t>自爲一屯</t>
  </si>
  <si>
    <t>商=장사하다 · 一=하나</t>
  </si>
  <si>
    <t>의주 상인 한 무리는</t>
  </si>
  <si>
    <t>의주 상인 한 패는</t>
  </si>
  <si>
    <t>臨溪洗數十鷄</t>
  </si>
  <si>
    <t>自=스스로 · 爲=하다·되다 · 一=하나</t>
  </si>
  <si>
    <t>스스로 한 둔을 이루어</t>
  </si>
  <si>
    <t>따로 한 무리를 지어</t>
  </si>
  <si>
    <t>滿面歡笑曰</t>
  </si>
  <si>
    <t>老爺</t>
  </si>
  <si>
    <t>息怒</t>
  </si>
  <si>
    <t>老=늙다</t>
  </si>
  <si>
    <t>나으리</t>
  </si>
  <si>
    <t>小人們該死的</t>
  </si>
  <si>
    <t>息=숨쉬다</t>
  </si>
  <si>
    <t>노여움을 가라앉히십시오</t>
  </si>
  <si>
    <t>고정하십시오</t>
  </si>
  <si>
    <t>노여움의 진정</t>
  </si>
  <si>
    <t>숨을 죽임이 감정의 진정으로 옮겨감</t>
  </si>
  <si>
    <t>馬頭輩皆大笑</t>
  </si>
  <si>
    <t>小=작다 · 人=사람 · 死=죽다 · 的=~의 (백화)</t>
  </si>
  <si>
    <t>소인들이 죽을죄를 지었습니다</t>
  </si>
  <si>
    <t>口含烟竹</t>
  </si>
  <si>
    <t>光頭搖扇</t>
  </si>
  <si>
    <t>或黑貢緞衣</t>
  </si>
  <si>
    <t>光=빛 · 頭=머리</t>
  </si>
  <si>
    <t>민머리로 부채를 흔들고</t>
  </si>
  <si>
    <t>민머리에 부채를 부치며</t>
  </si>
  <si>
    <t>或秀花紬衣</t>
  </si>
  <si>
    <t>或=혹 · 貢=바치는 물건 · 衣=옷</t>
  </si>
  <si>
    <t>혹은 검은 공단 옷이고</t>
  </si>
  <si>
    <t>더러는 검은 공단 옷을 입고</t>
  </si>
  <si>
    <t>或生布生苧</t>
  </si>
  <si>
    <t>或=혹 · 衣=옷</t>
  </si>
  <si>
    <t>혹은 수놓은 비단옷이며</t>
  </si>
  <si>
    <t>더러는 수놓은 비단옷을 입었다</t>
  </si>
  <si>
    <t>家裏都是太平麽</t>
  </si>
  <si>
    <t>充</t>
  </si>
  <si>
    <t>得包銀麽</t>
  </si>
  <si>
    <t>充=가득 채우다</t>
  </si>
  <si>
    <t>채워</t>
  </si>
  <si>
    <t>人人酬酢如出一口</t>
  </si>
  <si>
    <t>包銀</t>
  </si>
  <si>
    <t>得=얻다 · 銀=은</t>
  </si>
  <si>
    <t>포은을 얻었는가</t>
  </si>
  <si>
    <t>포은은 얻었는가</t>
  </si>
  <si>
    <t>又爭問韓相公安相公來麽</t>
  </si>
  <si>
    <t>人=사람 · 如=같다 · 出=나가다 · 一=하나 · 口=입</t>
  </si>
  <si>
    <t>사람마다 주고받는 말이 한 입에서 나온 듯하다</t>
  </si>
  <si>
    <t>사람마다 하는 말이 한 입에서 나온 듯 똑같다</t>
  </si>
  <si>
    <t>如出一口</t>
  </si>
  <si>
    <t>일치</t>
  </si>
  <si>
    <t>한 입에서 나옴이 말의 일치로 옮겨감(직유)</t>
  </si>
  <si>
    <t>習知燕中事</t>
  </si>
  <si>
    <t>所謂相公者</t>
  </si>
  <si>
    <t>商賈相尊之稱也</t>
  </si>
  <si>
    <t>所=바·곳 · 謂=이르다 · 相=서로 · 公=공변되다·귀인 · 者=~하는 것·사람</t>
  </si>
  <si>
    <t>이른바 상공이라는 것은</t>
  </si>
  <si>
    <t>상공이라 부르는 것은</t>
  </si>
  <si>
    <t>商=장사하다 · 賈=장사하다 · 相=서로 · 之=가다 (조사로도 쓰임) · 稱=일컫다 · 也=단정하는 조사</t>
  </si>
  <si>
    <t>상인끼리 서로 높이는 칭호다</t>
  </si>
  <si>
    <t>상인들끼리 서로 높여 부르는 말이다</t>
  </si>
  <si>
    <t>使行時</t>
  </si>
  <si>
    <t>例給正官八包</t>
  </si>
  <si>
    <t>使=시키다 · 行=걸어가다 · 時=때</t>
  </si>
  <si>
    <t>사행 때에는</t>
  </si>
  <si>
    <t>사신 행차 때에는</t>
  </si>
  <si>
    <t>今不</t>
  </si>
  <si>
    <t>官給</t>
  </si>
  <si>
    <t>令自備銀</t>
  </si>
  <si>
    <t>官=벼슬 · 給=주다</t>
  </si>
  <si>
    <t>관에서 주었는데</t>
  </si>
  <si>
    <t>전에는 관에서 대주었으나</t>
  </si>
  <si>
    <t>只限包數</t>
  </si>
  <si>
    <t>自=스스로 · 銀=은</t>
  </si>
  <si>
    <t>지금은 스스로 은을 갖추게 하고</t>
  </si>
  <si>
    <t>이제는 스스로 은을 마련하게 하고</t>
  </si>
  <si>
    <t>堂上包銀三千兩</t>
  </si>
  <si>
    <t>數=세다·수</t>
  </si>
  <si>
    <t>다만 포의 수만 제한한다</t>
  </si>
  <si>
    <t>다만 가져갈 양만 제한한다</t>
  </si>
  <si>
    <t>堂下二千兩</t>
  </si>
  <si>
    <t>上=위쪽 · 銀=은 · 三=셋 · 千=일천 · 兩=두 개·무게 단위</t>
  </si>
  <si>
    <t>당상관은 포은 삼천 냥</t>
  </si>
  <si>
    <t>당상관은 삼천 냥</t>
  </si>
  <si>
    <t>堂上</t>
  </si>
  <si>
    <t>상위 관품</t>
  </si>
  <si>
    <t>당의 위아래가 관품의 등급으로 옮겨감</t>
  </si>
  <si>
    <t>自帶入燕</t>
  </si>
  <si>
    <t>下=아래쪽 · 二=둘 · 千=일천 · 兩=두 개·무게 단위</t>
  </si>
  <si>
    <t>당하관은 이천 냥이다</t>
  </si>
  <si>
    <t>堂下</t>
  </si>
  <si>
    <t>하위 관품</t>
  </si>
  <si>
    <t>貿易諸貨爲奇羡</t>
  </si>
  <si>
    <t>自=스스로 · 入=들다 · 燕=제비·연나라</t>
  </si>
  <si>
    <t>스스로 지니고 연경에 들어가</t>
  </si>
  <si>
    <t>제 손으로 지니고 연경에 들어가</t>
  </si>
  <si>
    <t>貧不能自帶</t>
  </si>
  <si>
    <t>貿易 貨</t>
  </si>
  <si>
    <t>易=쉽다 · 諸=여러 · 貨=사고파는 물건 · 爲=하다·되다 · 奇=기이하다</t>
  </si>
  <si>
    <t>여러 물건을 무역해 남는 이문을 삼는다</t>
  </si>
  <si>
    <t>여러 물건을 사고팔아 이문을 남긴다</t>
  </si>
  <si>
    <t>奇羨</t>
  </si>
  <si>
    <t>잉여 이익</t>
  </si>
  <si>
    <t>물이 넘침이 무역의 이문으로 옮겨감</t>
  </si>
  <si>
    <t>則賣其包窠松都</t>
  </si>
  <si>
    <t>貧=재물이 모자라다 · 不=아니다 · 能=능하다 · 自=스스로</t>
  </si>
  <si>
    <t>가난하여 스스로 지닐 수 없으면</t>
  </si>
  <si>
    <t>가난하여 은을 마련하지 못하면</t>
  </si>
  <si>
    <t>平壤</t>
  </si>
  <si>
    <t>則=곧 · 賣=팔다 · 其=그 · 都=도읍</t>
  </si>
  <si>
    <t>그 포의 몫을 송도에 판다</t>
  </si>
  <si>
    <t>그 몫을 송도에 팔아넘긴다</t>
  </si>
  <si>
    <t>安州等處</t>
  </si>
  <si>
    <t>平=평평하다</t>
  </si>
  <si>
    <t>평양</t>
  </si>
  <si>
    <t>평양이나</t>
  </si>
  <si>
    <t>燕商買其包窠</t>
  </si>
  <si>
    <t>安=편안하다 · 州=고을 · 等=무리 · 處=곳</t>
  </si>
  <si>
    <t>안주 등지에서</t>
  </si>
  <si>
    <t>안주 같은 데서</t>
  </si>
  <si>
    <t>充銀以去</t>
  </si>
  <si>
    <t>買 商</t>
  </si>
  <si>
    <t>燕=제비·연나라 · 商=장사하다 · 買=사다 · 其=그</t>
  </si>
  <si>
    <t>연경 장사꾼이 그 포의 몫을 사서</t>
  </si>
  <si>
    <t>연상이 그 몫을 사들여</t>
  </si>
  <si>
    <t>然諸處燕商</t>
  </si>
  <si>
    <t>充=가득 채우다 · 銀=은 · 以=~로써 · 去=가다</t>
  </si>
  <si>
    <t>은을 채워 간다</t>
  </si>
  <si>
    <t>은을 채워 보낸다</t>
  </si>
  <si>
    <t>法不得身自入燕</t>
  </si>
  <si>
    <t>然=그러하다 · 諸=여러 · 處=곳 · 燕=제비·연나라 · 商=장사하다</t>
  </si>
  <si>
    <t>그러나 여러 곳의 연경 장사꾼은</t>
  </si>
  <si>
    <t>그러나 각지의 연상은</t>
  </si>
  <si>
    <t>將包交付</t>
  </si>
  <si>
    <t>法=법 · 不=아니다 · 得=얻다 · 身=몸 · 自=스스로 · 入=들다 · 燕=제비·연나라</t>
  </si>
  <si>
    <t>법으로 몸소 연경에 들어갈 수 없다</t>
  </si>
  <si>
    <t>법에 따라 직접 연경에 갈 수 없다</t>
  </si>
  <si>
    <t>灣人</t>
  </si>
  <si>
    <t>貿易以來</t>
  </si>
  <si>
    <t>人=사람</t>
  </si>
  <si>
    <t>의주 사람이</t>
  </si>
  <si>
    <t>그래서 의주 사람에게</t>
  </si>
  <si>
    <t>如韓林諸賈</t>
  </si>
  <si>
    <t>易=쉽다 · 以=~로써 · 來=오다</t>
  </si>
  <si>
    <t>무역해 오게 한다</t>
  </si>
  <si>
    <t>대신 무역해 오게 한다</t>
  </si>
  <si>
    <t>連歲入燕</t>
  </si>
  <si>
    <t>如=같다 · 諸=여러 · 賈=장사하다</t>
  </si>
  <si>
    <t>한씨·임씨 같은 여러 장사꾼은</t>
  </si>
  <si>
    <t>한씨나 임씨 같은 큰 상인들은</t>
  </si>
  <si>
    <t>視燕如門庭</t>
  </si>
  <si>
    <t>連=잇다 · 歲=한 해 · 入=들다 · 燕=제비·연나라</t>
  </si>
  <si>
    <t>해마다 잇달아 연경에 들어가</t>
  </si>
  <si>
    <t>해마다 연경을 드나들어</t>
  </si>
  <si>
    <t>인접 절 「視燕如門庭」에 은유가 있으나 판정 대상 범위 밖이므로 계수하지 않음</t>
  </si>
  <si>
    <t>都在其手</t>
  </si>
  <si>
    <t>貨之日增厥價</t>
  </si>
  <si>
    <t>연경</t>
  </si>
  <si>
    <t>연경의</t>
  </si>
  <si>
    <t>亶由此輩</t>
  </si>
  <si>
    <t>貨 價</t>
  </si>
  <si>
    <t>貨=사고파는 물건 · 之=가다 (조사로도 쓰임) · 日=해·날 · 價=값</t>
  </si>
  <si>
    <t>재화가 날로 그 값이 오르는 것은</t>
  </si>
  <si>
    <t>물건 값이 날로 오르는 것은</t>
  </si>
  <si>
    <t>擧國都不理會</t>
  </si>
  <si>
    <t>此=이것 · 輩=무리</t>
  </si>
  <si>
    <t>오로지 이 무리 때문이다</t>
  </si>
  <si>
    <t>오로지 이자들 때문이다</t>
  </si>
  <si>
    <t>專責譯官</t>
  </si>
  <si>
    <t>譯官失權於灣賈</t>
  </si>
  <si>
    <t>譯=통역하다 · 官=벼슬</t>
  </si>
  <si>
    <t>오로지 역관을 책망하는데</t>
  </si>
  <si>
    <t>그런데 나무람은 역관에게만 돌아가니</t>
  </si>
  <si>
    <t>拱手而已</t>
  </si>
  <si>
    <t>譯=통역하다 · 官=벼슬 · 失=잃다 · 權=저울추 · 於=~에 · 賈=장사하다</t>
  </si>
  <si>
    <t>역관은 의주 상인에게 권한을 잃고</t>
  </si>
  <si>
    <t>역관은 의주 상인에게 주도권을 빼앗기고</t>
  </si>
  <si>
    <t>失權</t>
  </si>
  <si>
    <t>주도권 상실</t>
  </si>
  <si>
    <t>저울추가 상거래의 주도권으로 옮겨감</t>
  </si>
  <si>
    <t>諸處燕商</t>
  </si>
  <si>
    <t>手=손 · 而=말 잇는 조사 · 已=이미</t>
  </si>
  <si>
    <t>손을 마주 잡고 있을 뿐이다</t>
  </si>
  <si>
    <t>팔짱만 끼고 있을 뿐이다</t>
  </si>
  <si>
    <t>雖知爲灣</t>
  </si>
  <si>
    <t>諸=여러 · 處=곳 · 燕=제비·연나라 · 商=장사하다</t>
  </si>
  <si>
    <t>여러 곳의 연경 장사꾼은</t>
  </si>
  <si>
    <t>각지의 연상들은</t>
  </si>
  <si>
    <t>賈之所操縱</t>
  </si>
  <si>
    <t>雖=비록 · 知=알다 · 爲=하다·되다</t>
  </si>
  <si>
    <t>비록 의주</t>
  </si>
  <si>
    <t>의주</t>
  </si>
  <si>
    <t>而事非目覩</t>
  </si>
  <si>
    <t>賈=장사하다 · 之=가다 (조사로도 쓰임) · 所=바·곳 · 操=줄을 잡아 다루다 · 縱=줄을 놓다</t>
  </si>
  <si>
    <t>상인이 조종하는 바임을 알아도</t>
  </si>
  <si>
    <t>상인이 시세를 주무르는 줄 알면서도</t>
  </si>
  <si>
    <t>操縱</t>
  </si>
  <si>
    <t>조종</t>
  </si>
  <si>
    <t>줄을 당기고 놓음이 시세 지배로 옮겨감</t>
  </si>
  <si>
    <t>則敢怒而不敢言</t>
  </si>
  <si>
    <t>而=말 잇는 조사 · 事=일 · 非=아니다 · 目=눈</t>
  </si>
  <si>
    <t>일을 눈으로 본 것이 아니어서</t>
  </si>
  <si>
    <t>직접 본 것이 아니라서</t>
  </si>
  <si>
    <t>其來已久</t>
  </si>
  <si>
    <t>今者灣賈之蹔爲隱身</t>
  </si>
  <si>
    <t>其=그 · 來=오다 · 已=이미 · 久=오래되다</t>
  </si>
  <si>
    <t>그 유래가 이미 오래다</t>
  </si>
  <si>
    <t>이런 일이 벌써 오래되었다</t>
  </si>
  <si>
    <t>不卽相見</t>
  </si>
  <si>
    <t>今=이제 · 者=~하는 것·사람 · 賈=장사하다 · 之=가다 (조사로도 쓰임) · 爲=하다·되다 · 身=몸</t>
  </si>
  <si>
    <t>이제 의주 상인이 잠시 몸을 숨겨</t>
  </si>
  <si>
    <t>지금 의주 상인이 잠시 몸을 감추고</t>
  </si>
  <si>
    <t>亦一鉤引小</t>
  </si>
  <si>
    <t>不=아니다 · 相=서로 · 見=보다</t>
  </si>
  <si>
    <t>곧바로 만나지 않는 것도</t>
  </si>
  <si>
    <t>바로 나타나지 않는 것도</t>
  </si>
  <si>
    <t>인접 절 「亦一鉤引小」에 은유가 있으나 판정 대상 범위 밖이므로 계수하지 않음</t>
  </si>
  <si>
    <t>遼東及東岳廟</t>
  </si>
  <si>
    <t>素號姦細人出沒處</t>
  </si>
  <si>
    <t>汝復賣眼</t>
  </si>
  <si>
    <t>人=사람 · 出=나가다 · 沒=물에 빠져 가라앉다 · 處=곳</t>
  </si>
  <si>
    <t>본디 간사한 자들이 드나든다고 이름난 곳인데</t>
  </si>
  <si>
    <t>본래 간사한 무리가 드나든다고 소문난 곳인데</t>
  </si>
  <si>
    <t>又未知幾物見失</t>
  </si>
  <si>
    <t>네가 또 눈을 팔았구나</t>
  </si>
  <si>
    <t>네가 또 눈감아 주었구나</t>
  </si>
  <si>
    <t>賣眼</t>
  </si>
  <si>
    <t>눈감아 줌</t>
  </si>
  <si>
    <t>눈을 판다는 신체 표현이 묵인으로 옮겨감</t>
  </si>
  <si>
    <t>張福閔然搔首曰</t>
  </si>
  <si>
    <t>又=또 · 未=아직 ~않다 · 知=알다 · 幾=몇 · 物=물건 · 見=보다 · 失=잃다</t>
  </si>
  <si>
    <t>또 몇 가지 물건을 잃었는지 모른다</t>
  </si>
  <si>
    <t>또 얼마나 물건을 잃었는지 모르겠다</t>
  </si>
  <si>
    <t>美鬚髯衣服鮮麗</t>
  </si>
  <si>
    <t>前抱得龍腰曰</t>
  </si>
  <si>
    <t>請大哥息怒</t>
  </si>
  <si>
    <t>前=앞 · 得=얻다 · 曰=말하다</t>
  </si>
  <si>
    <t>앞으로 나아가 득룡의 허리를 안고 말했다</t>
  </si>
  <si>
    <t>앞으로 나아가 득룡의 허리를 껴안고 말했다</t>
  </si>
  <si>
    <t>得龍回</t>
  </si>
  <si>
    <t>大=크다 · 息=숨쉬다</t>
  </si>
  <si>
    <t>큰형님 노여움을 가라앉히소서</t>
  </si>
  <si>
    <t>형님, 고정하십시오</t>
  </si>
  <si>
    <t>怒作哂曰</t>
  </si>
  <si>
    <t>得=얻다</t>
  </si>
  <si>
    <t>득룡이 돌아서</t>
  </si>
  <si>
    <t>득룡이 돌아서서</t>
  </si>
  <si>
    <t>鳳城將軍二員</t>
  </si>
  <si>
    <t>主客司一員</t>
  </si>
  <si>
    <t>稅官一員</t>
  </si>
  <si>
    <t>主=주인 · 客=손님 · 一=하나</t>
  </si>
  <si>
    <t>주객사 한 사람</t>
  </si>
  <si>
    <t>주객사 한 명</t>
  </si>
  <si>
    <t>御史一員</t>
  </si>
  <si>
    <t>稅=구실 · 官=벼슬 · 一=하나</t>
  </si>
  <si>
    <t>세관 한 사람</t>
  </si>
  <si>
    <t>세관 한 명</t>
  </si>
  <si>
    <t>滿洲章京八人</t>
  </si>
  <si>
    <t>史=사관·역사 · 一=하나</t>
  </si>
  <si>
    <t>어사 한 사람</t>
  </si>
  <si>
    <t>어사 한 명</t>
  </si>
  <si>
    <t>加出博氏</t>
  </si>
  <si>
    <t>一人</t>
  </si>
  <si>
    <t>稅官博氏一人</t>
  </si>
  <si>
    <t>一=하나 · 人=사람</t>
  </si>
  <si>
    <t>한 사람</t>
  </si>
  <si>
    <t>한 명</t>
  </si>
  <si>
    <t>外郞一人</t>
  </si>
  <si>
    <t>稅=구실 · 官=벼슬 · 氏=성씨 · 一=하나 · 人=사람</t>
  </si>
  <si>
    <t>세관 박씨 한 사람</t>
  </si>
  <si>
    <t>세관 박씨 한 명</t>
  </si>
  <si>
    <t>衙譯二人</t>
  </si>
  <si>
    <t>外=바깥 · 一=하나 · 人=사람</t>
  </si>
  <si>
    <t>외랑 한 사람</t>
  </si>
  <si>
    <t>외랑 한 명</t>
  </si>
  <si>
    <t>甫古十七人</t>
  </si>
  <si>
    <t>加出甫古七人</t>
  </si>
  <si>
    <t>稅官甫古二人</t>
  </si>
  <si>
    <t>出=나가다 · 古=옛 · 七=일곱 · 人=사람</t>
  </si>
  <si>
    <t>더 나온 보고 일곱 사람</t>
  </si>
  <si>
    <t>추가로 나온 보고 일곱 명</t>
  </si>
  <si>
    <t>分頭甫古九人</t>
  </si>
  <si>
    <t>稅=구실 · 官=벼슬 · 古=옛 · 二=둘 · 人=사람</t>
  </si>
  <si>
    <t>세관 보고 두 사람</t>
  </si>
  <si>
    <t>세관 보고 두 명</t>
  </si>
  <si>
    <t>甲軍五十名</t>
  </si>
  <si>
    <t>分=나누다 · 頭=머리 · 古=옛 · 九=아홉 · 人=사람</t>
  </si>
  <si>
    <t>분두 보고 아홉 사람</t>
  </si>
  <si>
    <t>분두 보고 아홉 명</t>
  </si>
  <si>
    <t>加出甲軍三十六名</t>
  </si>
  <si>
    <t>稅官甲軍十六名</t>
  </si>
  <si>
    <t>出=나가다 · 三=셋 · 十=열 · 六=여섯 · 名=이름</t>
  </si>
  <si>
    <t>더 나온 갑군 서른여섯 명</t>
  </si>
  <si>
    <t>추가로 나온 갑군 서른여섯 명</t>
  </si>
  <si>
    <t>合一百二人</t>
  </si>
  <si>
    <t>稅=구실 · 官=벼슬 · 十=열 · 六=여섯 · 名=이름</t>
  </si>
  <si>
    <t>세관 갑군 열여섯 명</t>
  </si>
  <si>
    <t>分給壯紙一百五十六</t>
  </si>
  <si>
    <t>一=하나 · 百=일백 · 二=둘 · 人=사람</t>
  </si>
  <si>
    <t>합해서 백두 사람이다</t>
  </si>
  <si>
    <t>모두 백두 명이다</t>
  </si>
  <si>
    <t>細烟竹七十四箇</t>
  </si>
  <si>
    <t>八面</t>
  </si>
  <si>
    <t>銀項烟竹七十四箇</t>
  </si>
  <si>
    <t>八=여덟 · 面=얼굴</t>
  </si>
  <si>
    <t>여덟 면</t>
  </si>
  <si>
    <t>錫粧刀三十七柄</t>
  </si>
  <si>
    <t>銀=은 · 七=일곱 · 十=열 · 四=넷</t>
  </si>
  <si>
    <t>은목 담뱃대 일흔네 개</t>
  </si>
  <si>
    <t>은 물부리 담뱃대 일흔네 개</t>
  </si>
  <si>
    <t>鞘刀二百八十四柄</t>
  </si>
  <si>
    <t>三=셋 · 十=열 · 七=일곱</t>
  </si>
  <si>
    <t>주석 장도 서른일곱 자루</t>
  </si>
  <si>
    <t>七部</t>
  </si>
  <si>
    <t>環刀七把</t>
  </si>
  <si>
    <t>銀粧刀七柄</t>
  </si>
  <si>
    <t>七=일곱</t>
  </si>
  <si>
    <t>환도 일곱 자루</t>
  </si>
  <si>
    <t>銀烟竹七箇</t>
  </si>
  <si>
    <t>銀=은 · 七=일곱</t>
  </si>
  <si>
    <t>은장도 일곱 자루</t>
  </si>
  <si>
    <t>錫長烟竹四十二箇</t>
  </si>
  <si>
    <t>은담뱃대 일곱 개</t>
  </si>
  <si>
    <t>筆四十枝</t>
  </si>
  <si>
    <t>長=길다·자라다 · 四=넷 · 十=열 · 二=둘</t>
  </si>
  <si>
    <t>주석 긴담뱃대 마흔두 개</t>
  </si>
  <si>
    <t>軍牢跪告曰</t>
  </si>
  <si>
    <t>門上御史</t>
  </si>
  <si>
    <t>鳳城將軍出坐收稅廳</t>
  </si>
  <si>
    <t>門=문 · 上=위쪽 · 史=사관·역사</t>
  </si>
  <si>
    <t>문상 어사</t>
  </si>
  <si>
    <t>문상 어사와</t>
  </si>
  <si>
    <t>於是三使</t>
  </si>
  <si>
    <t>城=성 · 出=나가다 · 坐=앉다 · 收=거두다 · 稅=구실</t>
  </si>
  <si>
    <t>봉성 장군이 수세청에 나와 앉았다</t>
  </si>
  <si>
    <t>次第入柵</t>
  </si>
  <si>
    <t>於=~에 · 是=옳다·이것 · 三=셋 · 使=시키다</t>
  </si>
  <si>
    <t>이에 세 사신이</t>
  </si>
  <si>
    <t>一入此門</t>
  </si>
  <si>
    <t>則中土也</t>
  </si>
  <si>
    <t>鄕園消息</t>
  </si>
  <si>
    <t>則=곧 · 中=가운데 · 也=단정하는 조사</t>
  </si>
  <si>
    <t>곧 중국 땅이다</t>
  </si>
  <si>
    <t>여기서부터 중국 땅이다</t>
  </si>
  <si>
    <t>從此絶矣</t>
  </si>
  <si>
    <t>消=녹아 없어지다 · 息=숨쉬다</t>
  </si>
  <si>
    <t>고향 소식은</t>
  </si>
  <si>
    <t>悵然東面而立良久</t>
  </si>
  <si>
    <t>從=좇다 · 此=이것 · 矣=마치는 조사</t>
  </si>
  <si>
    <t>이로부터 끊어진다</t>
  </si>
  <si>
    <t>이제부터 끊어진다</t>
  </si>
  <si>
    <t>主人大怒指着</t>
  </si>
  <si>
    <t>卞君道不解事的官人</t>
  </si>
  <si>
    <t>好妨人賣買</t>
  </si>
  <si>
    <t>君=임금·그대 · 道=길 · 不=아니다 · 解=풀어 헤치다 · 事=일 · 的=~의 (백화) · 官=벼슬 · 人=사람</t>
  </si>
  <si>
    <t>변군은 일을 모르는 관인이라 말하고</t>
  </si>
  <si>
    <t>변군은 일을 모르는 관인이라 하며</t>
  </si>
  <si>
    <t>戴宗撫其背曰</t>
  </si>
  <si>
    <t>買 賣</t>
  </si>
  <si>
    <t>好=좋다 · 人=사람 · 賣=팔다 · 買=사다</t>
  </si>
  <si>
    <t>남의 매매를 잘도 방해한다</t>
  </si>
  <si>
    <t>남의 장사를 잘도 방해한다</t>
  </si>
  <si>
    <t>哥哥</t>
  </si>
  <si>
    <t>其=그 · 曰=말하다</t>
  </si>
  <si>
    <t>대종이 그 등을 어루만지며 말했다</t>
  </si>
  <si>
    <t>대종이 그의 등을 어루만지며 말했다</t>
  </si>
  <si>
    <t>已飮的</t>
  </si>
  <si>
    <t>計還酒錢</t>
  </si>
  <si>
    <t>已=이미 · 飮=마시다 · 的=~의 (백화)</t>
  </si>
  <si>
    <t>이미 마신 자는</t>
  </si>
  <si>
    <t>이미 마신 사람은</t>
  </si>
  <si>
    <t>未飮的暢襟快飮</t>
  </si>
  <si>
    <t>還=돌아오다 · 酒=술 · 錢=엽전</t>
  </si>
  <si>
    <t>셈하여 술값을 돌려주고</t>
  </si>
  <si>
    <t>셈해서 술값을 돌려주고</t>
  </si>
  <si>
    <t>哥哥放心</t>
  </si>
  <si>
    <t>未=아직 ~않다 · 飮=마시다 · 的=~의 (백화)</t>
  </si>
  <si>
    <t>아직 마시지 않은 자는 가슴을 펴고 시원히 마셔라</t>
  </si>
  <si>
    <t>아직 안 마신 사람은 마음 놓고 실컷 마셔라</t>
  </si>
  <si>
    <t>這等鬼監魀於鬧攘裡</t>
  </si>
  <si>
    <t>都白喫一道烟</t>
  </si>
  <si>
    <t>走了罷那地覔酒錢</t>
  </si>
  <si>
    <t>都=도읍 · 一=하나 · 道=길</t>
  </si>
  <si>
    <t>모두 공짜로 한 대 연기만 피우고</t>
  </si>
  <si>
    <t>모두 공짜로 담배만 한 대 피우고</t>
  </si>
  <si>
    <t>戴宗曰</t>
  </si>
  <si>
    <t>地=땅 · 酒=술 · 錢=엽전</t>
  </si>
  <si>
    <t>가 버리면 어디서 술값을 찾겠는가</t>
  </si>
  <si>
    <t>가 버리면 어디서 술값을 받겠는가</t>
  </si>
  <si>
    <t>哥哥勿慮</t>
  </si>
  <si>
    <t>대종이 말했다</t>
  </si>
  <si>
    <t>兩位老</t>
  </si>
  <si>
    <t>爺飮後卽起</t>
  </si>
  <si>
    <t>弟當盡驅這廝回店賣買</t>
  </si>
  <si>
    <t>飮=마시다 · 後=뒤 · 起=몸을 일으키다</t>
  </si>
  <si>
    <t>어른들이 마신 뒤 곧 일어나면</t>
  </si>
  <si>
    <t>어른들이 마시고 일어서면</t>
  </si>
  <si>
    <t>店主曰</t>
  </si>
  <si>
    <t>當=마땅하다 · 盡=다하다 · 賣=팔다 · 買=사다</t>
  </si>
  <si>
    <t>아우가 마땅히 이들을 몰아 가게로 돌려보내 매매하게 하겠다</t>
  </si>
  <si>
    <t>제가 이자들을 몰아 가게로 돌려보내 장사하게 하겠습니다</t>
  </si>
  <si>
    <t>是也</t>
  </si>
  <si>
    <t>主=주인 · 曰=말하다</t>
  </si>
  <si>
    <t>가게 주인이 말했다</t>
  </si>
  <si>
    <t>四兩酒誰盡飮之</t>
  </si>
  <si>
    <t>戴宗笑曰</t>
  </si>
  <si>
    <t>四兩非酒錢也</t>
  </si>
  <si>
    <t>笑=웃다 · 曰=말하다</t>
  </si>
  <si>
    <t>대종이 웃으며 말했다</t>
  </si>
  <si>
    <t>乃酒重也</t>
  </si>
  <si>
    <t>四=넷 · 兩=두 개·무게 단위 · 非=아니다 · 酒=술 · 錢=엽전 · 也=단정하는 조사</t>
  </si>
  <si>
    <t>넉 냥은 술값이 아니다</t>
  </si>
  <si>
    <t>넉 냥은 술값이 아니라</t>
  </si>
  <si>
    <t>其卓上列置斟器</t>
  </si>
  <si>
    <t>乃=이에 · 酒=술 · 重=무겁다 · 也=단정하는 조사</t>
  </si>
  <si>
    <t>곧 술의 무게다</t>
  </si>
  <si>
    <t>술의 무게다</t>
  </si>
  <si>
    <t>各有其器</t>
  </si>
  <si>
    <t>皆以鍮鑞造觶</t>
  </si>
  <si>
    <t>出色似銀</t>
  </si>
  <si>
    <t>皆=모두 · 以=~로써 · 造=짓다</t>
  </si>
  <si>
    <t>모두 놋쇠와 백랍으로 잔을 만드는데</t>
  </si>
  <si>
    <t>모두 놋과 백랍으로 잔을 만드는데</t>
  </si>
  <si>
    <t>喚四兩酒</t>
  </si>
  <si>
    <t>出=나가다 · 色=빛깔 · 銀=은</t>
  </si>
  <si>
    <t>나는 빛깔이 은과 비슷하다</t>
  </si>
  <si>
    <t>겉빛이 은과 비슷하다</t>
  </si>
  <si>
    <t>놋그릇의 빛깔</t>
  </si>
  <si>
    <t>은의 빛깔이 놋그릇의 색으로 옮겨감(직유)</t>
  </si>
  <si>
    <t>則以四兩觶斟來</t>
  </si>
  <si>
    <t>四=넷 · 兩=두 개·무게 단위 · 酒=술</t>
  </si>
  <si>
    <t>넉 냥 술을 부르면</t>
  </si>
  <si>
    <t>넉 냥 술을 청하면</t>
  </si>
  <si>
    <t>亦皆精麗如畵</t>
  </si>
  <si>
    <t>嗟乎</t>
  </si>
  <si>
    <t>如此然後始可謂之利用矣</t>
  </si>
  <si>
    <t>乎=의문의 조사</t>
  </si>
  <si>
    <t>아아</t>
  </si>
  <si>
    <t>利用然後可以厚生</t>
  </si>
  <si>
    <t>如=같다 · 此=이것 · 然=그러하다 · 後=뒤 · 始=처음 · 可=옳다·가하다 · 謂=이르다 · 之=가다 (조사로도 쓰임) · 利=날이 날카롭다 → 이롭다 · 用=쓰다</t>
  </si>
  <si>
    <t>이와 같이 한 뒤라야 비로소 이용이라 할 수 있다</t>
  </si>
  <si>
    <t>이렇게 되어야 비로소 이용이라 할 수 있고</t>
  </si>
  <si>
    <t>厚生然後正其德矣</t>
  </si>
  <si>
    <t>利=날이 날카롭다 → 이롭다 · 用=쓰다 · 然=그러하다 · 後=뒤 · 可=옳다·가하다 · 以=~로써 · 厚=두껍다 · 生=낳다·살다</t>
  </si>
  <si>
    <t>이용한 뒤라야 후생할 수 있고</t>
  </si>
  <si>
    <t>이용이 되어야 삶이 넉넉해지며</t>
  </si>
  <si>
    <t>厚生</t>
  </si>
  <si>
    <t>삶의 윤택</t>
  </si>
  <si>
    <t>두께가 생활의 넉넉함으로 옮겨감</t>
  </si>
  <si>
    <t>不能利其用而能厚其生</t>
  </si>
  <si>
    <t>厚=두껍다 · 生=낳다·살다 · 然=그러하다 · 後=뒤 · 正=바르다 · 其=그 · 德=덕 · 矣=마치는 조사</t>
  </si>
  <si>
    <t>후생한 뒤라야 그 덕을 바르게 한다</t>
  </si>
  <si>
    <t>삶이 넉넉해져야 덕이 바로 선다</t>
  </si>
  <si>
    <t>鮮矣</t>
  </si>
  <si>
    <t>不=아니다 · 能=능하다 · 利=날이 날카롭다 → 이롭다 · 其=그 · 用=쓰다 · 而=말 잇는 조사 · 厚=두껍다 · 生=낳다·살다</t>
  </si>
  <si>
    <t>그 쓰임을 이롭게 하지 못하면서 그 삶을 두텁게 하는 일은</t>
  </si>
  <si>
    <t>쓰임을 편리하게 하지 못하면서 삶을 넉넉히 하는 경우는</t>
  </si>
  <si>
    <t>厚其生</t>
  </si>
  <si>
    <t>生旣不足以自厚</t>
  </si>
  <si>
    <t>矣=마치는 조사</t>
  </si>
  <si>
    <t>드물다</t>
  </si>
  <si>
    <t>皆靑石</t>
  </si>
  <si>
    <t>一門上御史善政碑</t>
  </si>
  <si>
    <t>一稅官某善政碑</t>
  </si>
  <si>
    <t>一=하나 · 門=문 · 上=위쪽 · 史=사관·역사 · 善=착하다</t>
  </si>
  <si>
    <t>하나는 문상 어사 선정비</t>
  </si>
  <si>
    <t>하나는 문상 어사의 선정비이고</t>
  </si>
  <si>
    <t>俱滿州人四字名</t>
  </si>
  <si>
    <t>一=하나 · 稅=구실 · 官=벼슬 · 善=착하다</t>
  </si>
  <si>
    <t>하나는 세관 아무개 선정비인데</t>
  </si>
  <si>
    <t>하나는 세관 아무개의 선정비인데</t>
  </si>
  <si>
    <t>撰書者</t>
  </si>
  <si>
    <t>俱=함께 · 州=고을 · 人=사람 · 四=넷 · 名=이름</t>
  </si>
  <si>
    <t>모두 만주 사람의 네 글자 이름이다</t>
  </si>
  <si>
    <t>多不法</t>
  </si>
  <si>
    <t>吮朝鮮膏血</t>
  </si>
  <si>
    <t>大致富厚</t>
  </si>
  <si>
    <t>吮=빨다 · 朝=아침·조정 · 膏=기름 · 血=피</t>
  </si>
  <si>
    <t>조선의 기름과 피를 빨아</t>
  </si>
  <si>
    <t>조선의 고혈을 빨아</t>
  </si>
  <si>
    <t>吮膏血</t>
  </si>
  <si>
    <t>수탈</t>
  </si>
  <si>
    <t>기름과 피를 빨아먹음이 재물 수탈로 옮겨감</t>
  </si>
  <si>
    <t>旣老爲禮部所覺</t>
  </si>
  <si>
    <t>大=크다 · 致=이르게 하다 · 富=재물이 넉넉하다 · 厚=두껍다</t>
  </si>
  <si>
    <t>크게 부와 두터움을 이루었다</t>
  </si>
  <si>
    <t>큰 부를 이루었다</t>
  </si>
  <si>
    <t>富厚</t>
  </si>
  <si>
    <t>치부</t>
  </si>
  <si>
    <t>두께가 재산의 두터움으로 옮겨감</t>
  </si>
  <si>
    <t>家之在皇城者被籍</t>
  </si>
  <si>
    <t>旣=이미 · 老=늙다 · 爲=하다·되다 · 禮=예 · 所=바·곳</t>
  </si>
  <si>
    <t>늙어서 예부에 발각되어</t>
  </si>
  <si>
    <t>其對門曰</t>
  </si>
  <si>
    <t>文通官家也</t>
  </si>
  <si>
    <t>舌本瀏利如誦熟文</t>
  </si>
  <si>
    <t>文=무늬·글 · 通=통하다 · 官=벼슬 · 家=집 · 也=단정하는 조사</t>
  </si>
  <si>
    <t>문 통관의 집이다</t>
  </si>
  <si>
    <t>戴宗宣川人也</t>
  </si>
  <si>
    <t>舌=혀 · 本=나무의 뿌리 · 利=날이 날카롭다 → 이롭다 · 如=같다 · 熟=열매가 익다 · 文=무늬·글</t>
  </si>
  <si>
    <t>혀뿌리가 매끄럽기가 익힌 글을 외는 듯하다</t>
  </si>
  <si>
    <t>말이 유창하기가 외운 글을 읊는 듯하다</t>
  </si>
  <si>
    <t>舌本瀏利</t>
  </si>
  <si>
    <t>유창함</t>
  </si>
  <si>
    <t>혀뿌리의 매끄러움이 말솜씨로 옮겨감(직유)</t>
  </si>
  <si>
    <t>已六七入燕云</t>
  </si>
  <si>
    <t>대종은 선천 사람이다</t>
  </si>
  <si>
    <t>而不知着在何處</t>
  </si>
  <si>
    <t>非但我行區處綽綽有餘</t>
  </si>
  <si>
    <t>來商去旅</t>
  </si>
  <si>
    <t>非=아니다 · 我=나 · 行=걸어가다 · 處=곳 · 有=있다 · 餘=남다</t>
  </si>
  <si>
    <t>우리 일행이 나누어 묵기에 넉넉할 뿐 아니라</t>
  </si>
  <si>
    <t>絡繹不絶</t>
  </si>
  <si>
    <t>來=오다 · 商=장사하다 · 去=가다 · 旅=나그네</t>
  </si>
  <si>
    <t>오는 장사꾼과 가는 나그네가</t>
  </si>
  <si>
    <t>오가는 장사꾼과 나그네가</t>
  </si>
  <si>
    <t>又有車二十餘輛</t>
  </si>
  <si>
    <t>不=아니다</t>
  </si>
  <si>
    <t>끊이지 않고 이어진다</t>
  </si>
  <si>
    <t>不須盡說矣</t>
  </si>
  <si>
    <t>緩步出門</t>
  </si>
  <si>
    <t>繁華富麗</t>
  </si>
  <si>
    <t>出=나가다 · 門=문</t>
  </si>
  <si>
    <t>천천히 걸어 문을 나서니</t>
  </si>
  <si>
    <t>雖到皇京</t>
  </si>
  <si>
    <t>繁=초목이 우거지다 · 華=꽃 · 富=재물이 넉넉하다 · 麗=곱다</t>
  </si>
  <si>
    <t>번화하고 부려하여</t>
  </si>
  <si>
    <t>번화하고 화려하여</t>
  </si>
  <si>
    <t>繁華</t>
  </si>
  <si>
    <t>번성</t>
  </si>
  <si>
    <t>초목의 무성함과 꽃이 도시의 성황으로 옮겨감</t>
  </si>
  <si>
    <t>想不更加</t>
  </si>
  <si>
    <t>雖=비록 · 京=서울</t>
  </si>
  <si>
    <t>비록 황경에 이르러도</t>
  </si>
  <si>
    <t>황성에 간다 한들</t>
  </si>
  <si>
    <t>畵棟朱欄</t>
  </si>
  <si>
    <t>碧榜金扁</t>
  </si>
  <si>
    <t>所居物皆內地奇貨</t>
  </si>
  <si>
    <t>金=쇠붙이</t>
  </si>
  <si>
    <t>푸른 방과 금빛 편액</t>
  </si>
  <si>
    <t>푸른 방과 금빛 편액에</t>
  </si>
  <si>
    <t>邊門僻奧</t>
  </si>
  <si>
    <t>所=바·곳 · 居=머물러 살다 · 物=물건 · 皆=모두 · 內=안 · 地=땅 · 奇=기이하다 · 貨=사고파는 물건</t>
  </si>
  <si>
    <t>놓인 물건이 모두 내지의 진기한 재화다</t>
  </si>
  <si>
    <t>놓인 물건이 모두 내지의 진귀한 물화다</t>
  </si>
  <si>
    <t>之地</t>
  </si>
  <si>
    <t>邊=가장자리 · 門=문</t>
  </si>
  <si>
    <t>변방 문의 궁벽한 구석</t>
  </si>
  <si>
    <t>변방의 외진 구석인데도</t>
  </si>
  <si>
    <t>君曰</t>
  </si>
  <si>
    <t>然</t>
  </si>
  <si>
    <t>雖有大小奢儉之別</t>
  </si>
  <si>
    <t>그러나</t>
  </si>
  <si>
    <t>規模大率相同耳</t>
  </si>
  <si>
    <t>儉 奢</t>
  </si>
  <si>
    <t>雖=비록 · 有=있다 · 大=크다 · 小=작다 · 奢=사치하다 · 儉=검소하다 · 之=가다 (조사로도 쓰임)</t>
  </si>
  <si>
    <t>비록 크고 작음과 사치하고 검소한 구별은 있으나</t>
  </si>
  <si>
    <t>규모가 크고 작거나 사치하고 검소한 차이는 있어도</t>
  </si>
  <si>
    <t>爲室屋</t>
  </si>
  <si>
    <t>大=크다 · 相=서로 · 同=같다 · 耳=귀</t>
  </si>
  <si>
    <t>규모는 대체로 서로 같을 뿐이다</t>
  </si>
  <si>
    <t>짜임새는 대체로 한결같다</t>
  </si>
  <si>
    <t>蒼黃旋師</t>
  </si>
  <si>
    <t>其跡可疑</t>
  </si>
  <si>
    <t>金富軾只惜其史失姓名</t>
  </si>
  <si>
    <t>其=그 · 可=옳다·가하다</t>
  </si>
  <si>
    <t>그 자취가 의심스럽다</t>
  </si>
  <si>
    <t>葢富軾爲三國史</t>
  </si>
  <si>
    <t>金=쇠붙이 · 富=재물이 넉넉하다 · 其=그 · 史=사관·역사 · 失=잃다 · 名=이름</t>
  </si>
  <si>
    <t>김부식은 다만 그 역사에서 성명이 빠진 것을 애석해했다</t>
  </si>
  <si>
    <t>김부식은 그 역사에서 이름이 빠진 것만 아쉬워했다</t>
  </si>
  <si>
    <t>只就中國史</t>
  </si>
  <si>
    <t>富=재물이 넉넉하다 · 爲=하다·되다 · 三=셋 · 國=나라 · 史=사관·역사</t>
  </si>
  <si>
    <t>대개 부식이 삼국사를 지을 때</t>
  </si>
  <si>
    <t>대개 김부식은 삼국사를 지으면서</t>
  </si>
  <si>
    <t>書抄謄一番</t>
  </si>
  <si>
    <t>中=가운데 · 國=나라 · 史=사관·역사</t>
  </si>
  <si>
    <t>다만 중국의 사서를</t>
  </si>
  <si>
    <t>중국 사서만 가져다</t>
  </si>
  <si>
    <t>安市城去平壤五百里</t>
  </si>
  <si>
    <t>鳳凰城</t>
  </si>
  <si>
    <t>亦稱王儉城</t>
  </si>
  <si>
    <t>城=성</t>
  </si>
  <si>
    <t>봉황성</t>
  </si>
  <si>
    <t>봉황성을</t>
  </si>
  <si>
    <t>地志又以鳳凰城稱平壤</t>
  </si>
  <si>
    <t>亦=또한 · 稱=일컫다 · 王=임금 · 儉=검소하다 · 城=성</t>
  </si>
  <si>
    <t>또한 왕검성이라 일컫는다</t>
  </si>
  <si>
    <t>왕검성이라고도 한다</t>
  </si>
  <si>
    <t>未知此何</t>
  </si>
  <si>
    <t>地=땅 · 又=또 · 以=~로써 · 城=성 · 稱=일컫다 · 平=평평하다</t>
  </si>
  <si>
    <t>지지에서는 또 봉황성을 평양이라 일컫는다</t>
  </si>
  <si>
    <t>지리지에서는 봉황성을 평양이라 하기도 한다</t>
  </si>
  <si>
    <t>卽其一也</t>
  </si>
  <si>
    <t>浿水亦類此</t>
  </si>
  <si>
    <t>高勾麗封域時有贏縮</t>
  </si>
  <si>
    <t>水=물 · 亦=또한 · 此=이것</t>
  </si>
  <si>
    <t>패수도 이와 같다</t>
  </si>
  <si>
    <t>패수도 사정이 이와 같다</t>
  </si>
  <si>
    <t>則浿水之名</t>
  </si>
  <si>
    <t>高=높다 · 麗=곱다 · 封=흙을 쌓아 봉하다 · 時=때 · 有=있다 · 贏=남다</t>
  </si>
  <si>
    <t>고구려의 강역이 때로 늘고 줄었으니</t>
  </si>
  <si>
    <t>고구려의 강역이 때에 따라 늘고 줄었으니</t>
  </si>
  <si>
    <t>贏縮</t>
  </si>
  <si>
    <t>강역 변동</t>
  </si>
  <si>
    <t>물체의 늘고 줆이 국경의 신축으로 옮겨감</t>
  </si>
  <si>
    <t>亦隨而遷徙</t>
  </si>
  <si>
    <t>則=곧 · 水=물 · 之=가다 (조사로도 쓰임) · 名=이름</t>
  </si>
  <si>
    <t>패수라는 이름도</t>
  </si>
  <si>
    <t>王氏高麗</t>
  </si>
  <si>
    <t>遼東及渤海一境</t>
  </si>
  <si>
    <t>盡入契丹</t>
  </si>
  <si>
    <t>東=동쪽 · 及=미치다 · 海=바다 · 一=하나</t>
  </si>
  <si>
    <t>요동과 발해 일대가</t>
  </si>
  <si>
    <t>則謹畫慈</t>
  </si>
  <si>
    <t>契</t>
  </si>
  <si>
    <t>盡=다하다 · 入=들다 · 契=새긴 문서</t>
  </si>
  <si>
    <t>모두 거란에 들어가자</t>
  </si>
  <si>
    <t>모두 거란에 넘어가자</t>
  </si>
  <si>
    <t>鐵兩嶺而守之</t>
  </si>
  <si>
    <t>則=곧</t>
  </si>
  <si>
    <t>삼가 자</t>
  </si>
  <si>
    <t>삼가 자비령과</t>
  </si>
  <si>
    <t>駕起工役</t>
  </si>
  <si>
    <t>雖似浩大</t>
  </si>
  <si>
    <t>器械便利</t>
  </si>
  <si>
    <t>雖=비록 · 大=크다</t>
  </si>
  <si>
    <t>비록 크고 넓어 보이나</t>
  </si>
  <si>
    <t>일이 커 보이지만</t>
  </si>
  <si>
    <t>運甓輸土</t>
  </si>
  <si>
    <t>器=그릇 · 利=날이 날카롭다 → 이롭다</t>
  </si>
  <si>
    <t>기계가 편리하여</t>
  </si>
  <si>
    <t>皆機動輪轉</t>
  </si>
  <si>
    <t>輸=실어 보내다</t>
  </si>
  <si>
    <t>벽돌을 나르고 흙을 실어 나르는 것이</t>
  </si>
  <si>
    <t>벽돌을 나르고 흙을 옮기는 일이</t>
  </si>
  <si>
    <t>或自推自行</t>
  </si>
  <si>
    <t>不一其法</t>
  </si>
  <si>
    <t>皆事半功倍之術</t>
  </si>
  <si>
    <t>不=아니다 · 一=하나 · 其=그 · 法=법</t>
  </si>
  <si>
    <t>그 법이 하나가 아니다</t>
  </si>
  <si>
    <t>방법이 한 가지가 아니다</t>
  </si>
  <si>
    <t>莫非足法</t>
  </si>
  <si>
    <t>皆=모두 · 事=일 · 倍=갑절 · 之=가다 (조사로도 쓰임)</t>
  </si>
  <si>
    <t>모두 일은 반이고 공은 갑절인 방법이다</t>
  </si>
  <si>
    <t>모두 힘은 절반이고 효과는 두 배인 방법이다</t>
  </si>
  <si>
    <t>而非但行忙</t>
  </si>
  <si>
    <t>莫=없다 · 非=아니다 · 足=발 · 法=법</t>
  </si>
  <si>
    <t>본받을 만하지 않은 것이 없다</t>
  </si>
  <si>
    <t>본받지 않을 것이 없다</t>
  </si>
  <si>
    <t>掛一面金書當字牌</t>
  </si>
  <si>
    <t>旁書惟軍器不當五字</t>
  </si>
  <si>
    <t>此典當舖也</t>
  </si>
  <si>
    <t>書=글 · 器=그릇 · 不=아니다 · 當=마땅하다 · 五=다섯</t>
  </si>
  <si>
    <t>곁에는 오직 군기는 잡지 않는다는 다섯 글자를 썼다</t>
  </si>
  <si>
    <t>곁에는 군기만은 잡지 않는다는 다섯 글자를 썼다</t>
  </si>
  <si>
    <t>有數三美少年</t>
  </si>
  <si>
    <t>典當</t>
  </si>
  <si>
    <t>此=이것 · 當=마땅하다 · 舖=가게 · 也=단정하는 조사</t>
  </si>
  <si>
    <t>이것이 전당포다</t>
  </si>
  <si>
    <t>走出舖中</t>
  </si>
  <si>
    <t>有=있다 · 數=세다·수 · 三=셋 · 少=적다 · 年=해</t>
  </si>
  <si>
    <t>두세 미소년이 있어</t>
  </si>
  <si>
    <t>更無募人運致之勞</t>
  </si>
  <si>
    <t>齊匀方正</t>
  </si>
  <si>
    <t>力省功倍</t>
  </si>
  <si>
    <t>方=모나다·바야흐로 · 正=바르다</t>
  </si>
  <si>
    <t>가지런하고 반듯하여</t>
  </si>
  <si>
    <t>運之輕而築之易</t>
  </si>
  <si>
    <t>力=힘 · 倍=갑절</t>
  </si>
  <si>
    <t>힘은 덜고 공은 갑절이니</t>
  </si>
  <si>
    <t>힘은 덜 들고 효과는 두 배이니</t>
  </si>
  <si>
    <t>莫甎若也</t>
  </si>
  <si>
    <t>之=가다 (조사로도 쓰임) · 輕=가볍다 · 而=말 잇는 조사 · 築=쌓다 · 易=쉽다</t>
  </si>
  <si>
    <t>나르기 가볍고 쌓기 쉬운 것은</t>
  </si>
  <si>
    <t>나르기 가볍고 쌓기 쉽기로는</t>
  </si>
  <si>
    <t>又不及萬甎之膠</t>
  </si>
  <si>
    <t>此其甓</t>
  </si>
  <si>
    <t>與石之利害便否</t>
  </si>
  <si>
    <t>此=이것 · 其=그</t>
  </si>
  <si>
    <t>이 벽돌이</t>
  </si>
  <si>
    <t>이 벽돌과</t>
  </si>
  <si>
    <t>所以易辨也</t>
  </si>
  <si>
    <t>與=주다 · 之=가다 (조사로도 쓰임) · 利=날이 날카롭다 → 이롭다</t>
  </si>
  <si>
    <t>돌과 이해와 편부를</t>
  </si>
  <si>
    <t>돌의 이해득실을</t>
  </si>
  <si>
    <t>鄭於馬上傴僂欲墮</t>
  </si>
  <si>
    <t>所=바·곳 · 以=~로써 · 易=쉽다 · 也=단정하는 조사</t>
  </si>
  <si>
    <t>가리기 쉬운 까닭이다</t>
  </si>
  <si>
    <t>葢甓爲日用先務</t>
  </si>
  <si>
    <t>少憩典當舖</t>
  </si>
  <si>
    <t>主人引至中堂</t>
  </si>
  <si>
    <t>少=적다 · 當=마땅하다 · 舖=가게</t>
  </si>
  <si>
    <t>전당포에서 잠시 쉬니</t>
  </si>
  <si>
    <t>勸一椀熱茶</t>
  </si>
  <si>
    <t>主=주인 · 人=사람 · 至=이르다 · 中=가운데</t>
  </si>
  <si>
    <t>주인이 중당으로 이끌어</t>
  </si>
  <si>
    <t>주인이 안채로 이끌어</t>
  </si>
  <si>
    <t>書物主姓名別號</t>
  </si>
  <si>
    <t>相標居住</t>
  </si>
  <si>
    <t>再書某年月日典當某件子</t>
  </si>
  <si>
    <t>相=서로 · 居=머물러 살다</t>
  </si>
  <si>
    <t>사는 곳을 서로 적고</t>
  </si>
  <si>
    <t>거처를 서로 적고</t>
  </si>
  <si>
    <t>某字號舖親手交付云云</t>
  </si>
  <si>
    <t>書=글 · 年=해 · 月=달 · 日=해·날 · 當=마땅하다 · 子=아들</t>
  </si>
  <si>
    <t>다시 어느 해 어느 달 어느 날 어떤 물건을 전당했다고 쓰고</t>
  </si>
  <si>
    <t>다시 몇 년 몇 월 며칠에 무엇을 잡혔다고 적고</t>
  </si>
  <si>
    <t>其利殖之法</t>
  </si>
  <si>
    <t>舖=가게 · 手=손 · 云=이르다</t>
  </si>
  <si>
    <t>아무 자호의 가게에서 직접 건네준다고 운운한다</t>
  </si>
  <si>
    <t>아무 상호의 가게에서 직접 건넸다고 적는다</t>
  </si>
  <si>
    <t>利 殖</t>
  </si>
  <si>
    <t>其=그 · 利=날이 날카롭다 → 이롭다 · 殖=초목이 자라 불다 · 之=가다 (조사로도 쓰임) · 法=법</t>
  </si>
  <si>
    <t>그 이자를 불리는 법은</t>
  </si>
  <si>
    <t>이자를 불리는 방식은</t>
  </si>
  <si>
    <t>利殖</t>
  </si>
  <si>
    <t>이자 증식</t>
  </si>
  <si>
    <t>초목의 생장이 이자의 불어남으로 옮겨감</t>
  </si>
  <si>
    <t>過什二</t>
  </si>
  <si>
    <t>無=없다</t>
  </si>
  <si>
    <t>없다</t>
  </si>
  <si>
    <t>넘지</t>
  </si>
  <si>
    <t>過期一朔</t>
  </si>
  <si>
    <t>過=지나다 · 什=열 · 二=둘</t>
  </si>
  <si>
    <t>십분의 이를 넘지 않는다</t>
  </si>
  <si>
    <t>두 푼을 넘지 않는다</t>
  </si>
  <si>
    <t>許賣</t>
  </si>
  <si>
    <t>過=지나다 · 一=하나</t>
  </si>
  <si>
    <t>기한이 한 달을 지나면</t>
  </si>
  <si>
    <t>기한이 한 달을 넘기면</t>
  </si>
  <si>
    <t>典當題著金字柱聯曰</t>
  </si>
  <si>
    <t>許=허락하다 · 賣=팔다</t>
  </si>
  <si>
    <t>팔기를 허락한다</t>
  </si>
  <si>
    <t>팔아넘기게 한다</t>
  </si>
  <si>
    <t>洪範九疇先言富</t>
  </si>
  <si>
    <t>當=마땅하다 · 金=쇠붙이 · 曰=말하다</t>
  </si>
  <si>
    <t>전당포에 금글씨로 기둥 대련을 써 붙였다</t>
  </si>
  <si>
    <t>전당포에 금글씨로 주련을 써 붙였는데</t>
  </si>
  <si>
    <t>大學十章半論財</t>
  </si>
  <si>
    <t>九=아홉 · 先=먼저 · 言=말하다 · 富=재물이 넉넉하다</t>
  </si>
  <si>
    <t>홍범 구주는 부를 먼저 말했고</t>
  </si>
  <si>
    <t>以薥黍柄</t>
  </si>
  <si>
    <t>大=크다 · 學=배우다 · 十=열 · 財=재물</t>
  </si>
  <si>
    <t>대학 십장은 절반이 재물을 논했다</t>
  </si>
  <si>
    <t>巧搆</t>
  </si>
  <si>
    <t>以=~로써</t>
  </si>
  <si>
    <t>수숫대로</t>
  </si>
  <si>
    <t>上房乾粮判事</t>
  </si>
  <si>
    <t>賭紙牌以遣閒</t>
  </si>
  <si>
    <t>且博飮資也</t>
  </si>
  <si>
    <t>以=~로써 · 閒=틈·한가하다</t>
  </si>
  <si>
    <t>종이 패로 내기를 하여 한가함을 보내니</t>
  </si>
  <si>
    <t>투전으로 내기를 하며 소일하는데</t>
  </si>
  <si>
    <t>諸君</t>
  </si>
  <si>
    <t>飮=마시다 · 資=밑천 · 也=단정하는 조사</t>
  </si>
  <si>
    <t>또한 술 마실 밑천이기도 하다</t>
  </si>
  <si>
    <t>술값을 마련하는 셈이기도 하다</t>
  </si>
  <si>
    <t>以余手劣</t>
  </si>
  <si>
    <t>諸=여러 · 君=임금·그대</t>
  </si>
  <si>
    <t>여러분</t>
  </si>
  <si>
    <t>여러분이</t>
  </si>
  <si>
    <t>略施朱粉</t>
  </si>
  <si>
    <t>身着一領黑色長衣</t>
  </si>
  <si>
    <t>遍鎖銀紐</t>
  </si>
  <si>
    <t>身=몸 · 一=하나 · 色=빛깔 · 長=길다·자라다 · 衣=옷</t>
  </si>
  <si>
    <t>몸에 검은 긴 옷 한 벌을 입고</t>
  </si>
  <si>
    <t>검은 긴 옷 한 벌을 입고</t>
  </si>
  <si>
    <t>足下穿一對靴子</t>
  </si>
  <si>
    <t>銀=은</t>
  </si>
  <si>
    <t>두루 은단추를 채웠으며</t>
  </si>
  <si>
    <t>은단추를 죽 채웠으며</t>
  </si>
  <si>
    <t>繡得草花蜂蝶</t>
  </si>
  <si>
    <t>足=발 · 下=아래쪽 · 一=하나 · 子=아들</t>
  </si>
  <si>
    <t>발 아래 한 켤레 신을 신었는데</t>
  </si>
  <si>
    <t>발에는 신 한 켤레를 신었는데</t>
  </si>
  <si>
    <t>不曾傷害了一柄薥黍</t>
  </si>
  <si>
    <t>柰何枉殺了這個牲口</t>
  </si>
  <si>
    <t>爾們應須追徵猪價麽</t>
  </si>
  <si>
    <t>何=무엇 · 個=낱 · 口=입</t>
  </si>
  <si>
    <t>어찌하여 이 가축을 억울하게 죽였는가</t>
  </si>
  <si>
    <t>어찌 이 짐승을 공연히 죽였는가</t>
  </si>
  <si>
    <t>價</t>
  </si>
  <si>
    <t>價=값</t>
  </si>
  <si>
    <t>너희가 마땅히 돼지 값을 물어내야 하지 않겠는가</t>
  </si>
  <si>
    <t>너희가 돼지 값을 물어야 하지 않겠는가</t>
  </si>
  <si>
    <t>那敢追徵</t>
  </si>
  <si>
    <t>是我之不是處</t>
  </si>
  <si>
    <t>盖康煕甚重稼穡制</t>
  </si>
  <si>
    <t>牛馬踐穀者倍徵</t>
  </si>
  <si>
    <t>重=무겁다 · 制=만들다·제도</t>
  </si>
  <si>
    <t>대개 강희제가 농사를 매우 중히 여겨 제도를 두었으니</t>
  </si>
  <si>
    <t>대개 강희제가 농사를 중히 여겨 법을 두었으니</t>
  </si>
  <si>
    <t>故放者杖六十</t>
  </si>
  <si>
    <t>牛=소 · 馬=말 · 踐=발로 밟다 · 穀=곡식 · 者=~하는 것·사람 · 倍=갑절</t>
  </si>
  <si>
    <t>소와 말이 곡식을 밟으면 갑절로 물리고</t>
  </si>
  <si>
    <t>소나 말이 곡식을 밟으면 두 배로 물리고</t>
  </si>
  <si>
    <t>羊豕入田中</t>
  </si>
  <si>
    <t>故=까닭 · 者=~하는 것·사람 · 六=여섯 · 十=열</t>
  </si>
  <si>
    <t>그러므로 놓아둔 자는 곤장 예순 대다</t>
  </si>
  <si>
    <t>풀어놓은 자에게는 곤장 예순 대를 친다</t>
  </si>
  <si>
    <t>則莫如先改</t>
  </si>
  <si>
    <t>窰制</t>
  </si>
  <si>
    <t>以兩利之</t>
  </si>
  <si>
    <t>制=만들다·제도</t>
  </si>
  <si>
    <t>가마 제도를</t>
  </si>
  <si>
    <t>가마 만드는 법을</t>
  </si>
  <si>
    <t>鰲城</t>
  </si>
  <si>
    <t>以=~로써 · 兩=두 개·무게 단위 · 利=날이 날카롭다 → 이롭다 · 之=가다 (조사로도 쓰임)</t>
  </si>
  <si>
    <t>둘 다 이롭게 한다</t>
  </si>
  <si>
    <t>李公恒福</t>
  </si>
  <si>
    <t>오성</t>
  </si>
  <si>
    <t>老稼齋皆說甓利</t>
  </si>
  <si>
    <t>公=공변되다·귀인</t>
  </si>
  <si>
    <t>이항복 공과</t>
  </si>
  <si>
    <t>而不詳窰制</t>
  </si>
  <si>
    <t>老=늙다 · 皆=모두 · 利=날이 날카롭다 → 이롭다</t>
  </si>
  <si>
    <t>노가재가 모두 벽돌의 이로움을 말했으나</t>
  </si>
  <si>
    <t>甚可恨也</t>
  </si>
  <si>
    <t>而=말 잇는 조사 · 不=아니다 · 制=만들다·제도</t>
  </si>
  <si>
    <t>가마 제도를 자세히 하지 않았으니</t>
  </si>
  <si>
    <t>가마 만드는 법은 자세히 밝히지 않았으니</t>
  </si>
  <si>
    <t>余遂躍然投座</t>
  </si>
  <si>
    <t>連勝五次</t>
  </si>
  <si>
    <t>得錢百餘</t>
  </si>
  <si>
    <t>連=잇다 · 勝=싸움에 이기다 · 五=다섯</t>
  </si>
  <si>
    <t>내리 다섯 판을 이겨</t>
  </si>
  <si>
    <t>沽</t>
  </si>
  <si>
    <t>得=얻다 · 錢=엽전 · 百=일백 · 餘=남다</t>
  </si>
  <si>
    <t>돈 백여 푼을 얻어</t>
  </si>
  <si>
    <t>돈 백여 푼을 따서</t>
  </si>
  <si>
    <t>酒痛飮</t>
  </si>
  <si>
    <t>사서</t>
  </si>
  <si>
    <t>술을 사</t>
  </si>
  <si>
    <t>權着九爪蟒袍</t>
  </si>
  <si>
    <t>白馬金鞍</t>
  </si>
  <si>
    <t>穩踏銀鐙</t>
  </si>
  <si>
    <t>馬=말 · 金=쇠붙이</t>
  </si>
  <si>
    <t>흰 말에 금 안장</t>
  </si>
  <si>
    <t>흰 말에 금 안장을 얹고</t>
  </si>
  <si>
    <t>堆着笑臉</t>
  </si>
  <si>
    <t>은 등자를 편안히 밟고</t>
  </si>
  <si>
    <t>은 등자를 지그시 밟고</t>
  </si>
  <si>
    <t>後有三兩車</t>
  </si>
  <si>
    <t>堆=흙을 쌓다 · 笑=웃다</t>
  </si>
  <si>
    <t>웃는 낯을 쌓아 올리고</t>
  </si>
  <si>
    <t>얼굴 가득 웃음을 띠고</t>
  </si>
  <si>
    <t>얼굴의 미소</t>
  </si>
  <si>
    <t>쌓아 올림이 얼굴에 웃음을 띰으로 옮겨감</t>
  </si>
  <si>
    <t>年秋間</t>
  </si>
  <si>
    <t>偶有一個秀才</t>
  </si>
  <si>
    <t>從稅官京裡來的</t>
  </si>
  <si>
    <t>有=있다 · 一=하나 · 個=낱</t>
  </si>
  <si>
    <t>마침 한 수재가 있는데</t>
  </si>
  <si>
    <t>마침 수재 한 사람이 있는데</t>
  </si>
  <si>
    <t>一路上染得暑痢</t>
  </si>
  <si>
    <t>從=좇다 · 稅=구실 · 官=벼슬 · 京=서울 · 來=오다 · 的=~의 (백화)</t>
  </si>
  <si>
    <t>세관을 따라 서울에서 온 자로</t>
  </si>
  <si>
    <t>세관을 따라 북경에서 온 사람인데</t>
  </si>
  <si>
    <t>落留此間</t>
  </si>
  <si>
    <t>一=하나 · 路=길 · 上=위쪽 · 染=천에 물을 들이다 · 得=얻다</t>
  </si>
  <si>
    <t>오는 길에 더위 이질에 물들어</t>
  </si>
  <si>
    <t>오는 길에 더위 이질에 걸려</t>
  </si>
  <si>
    <t>染</t>
  </si>
  <si>
    <t>병에 걸림</t>
  </si>
  <si>
    <t>천을 물들임이 병에 걸림으로 옮겨감</t>
  </si>
  <si>
    <t>余問這個先生姓甚名誰</t>
  </si>
  <si>
    <t>一邨坊都叫他富先</t>
  </si>
  <si>
    <t>生</t>
  </si>
  <si>
    <t>一=하나 · 都=도읍 · 富=재물이 넉넉하다 · 先=먼저</t>
  </si>
  <si>
    <t>온 마을이 모두 그를 부 선생이라 부른다</t>
  </si>
  <si>
    <t>온 마을이 그를 부 선생이라 부릅니다</t>
  </si>
  <si>
    <t>余問富先生多少年紀</t>
  </si>
  <si>
    <t>生=낳다·살다</t>
  </si>
  <si>
    <t>생</t>
  </si>
  <si>
    <t>선생</t>
  </si>
  <si>
    <t>余=나 · 問=묻다 · 富=재물이 넉넉하다 · 先=먼저 · 生=낳다·살다 · 多=많다 · 少=적다 · 年=해</t>
  </si>
  <si>
    <t>내가 부 선생의 나이가 얼마인지 물으니</t>
  </si>
  <si>
    <t>내가 부 선생의 나이를 물으니</t>
  </si>
  <si>
    <t>大公子儞自去問他</t>
  </si>
  <si>
    <t>店主因走入炕裡</t>
  </si>
  <si>
    <t>手拿紅紙數十片拈示</t>
  </si>
  <si>
    <t>道此乃那富先生親手墨蹟</t>
  </si>
  <si>
    <t>手=손 · 數=세다·수 · 十=열</t>
  </si>
  <si>
    <t>손에 붉은 종이 수십 조각을 들고 집어 보이며</t>
  </si>
  <si>
    <t>손에 붉은 종이 수십 장을 들고 집어 보이며</t>
  </si>
  <si>
    <t>那紅紙左沿</t>
  </si>
  <si>
    <t>道=길 · 此=이것 · 乃=이에 · 富=재물이 넉넉하다 · 先=먼저 · 生=낳다·살다 · 手=손</t>
  </si>
  <si>
    <t>이것이 곧 그 부 선생의 친필 묵적이라 말했다</t>
  </si>
  <si>
    <t>이것이 부 선생의 친필이라 했다</t>
  </si>
  <si>
    <t>細書某位舍親尊台</t>
  </si>
  <si>
    <t>그 붉은 종이 왼쪽 가장자리에</t>
  </si>
  <si>
    <t>붉은 종이 왼쪽 가장자리에</t>
  </si>
  <si>
    <t>絲</t>
  </si>
  <si>
    <t>如印一板</t>
  </si>
  <si>
    <t>意其秀才爲富鄭公苗裔</t>
  </si>
  <si>
    <t>如=같다 · 一=하나</t>
  </si>
  <si>
    <t>한 판으로 찍은 듯하다</t>
  </si>
  <si>
    <t>한 판으로 찍어 낸 듯하다</t>
  </si>
  <si>
    <t>其=그 · 爲=하다·되다 · 富=재물이 넉넉하다 · 公=공변되다·귀인 · 苗=모종</t>
  </si>
  <si>
    <t>그 수재가 부정공의 후손이리라 생각했다</t>
  </si>
  <si>
    <t>그 수재가 부정공의 후손이려니 여겼다</t>
  </si>
  <si>
    <t>苗裔</t>
  </si>
  <si>
    <t>후손</t>
  </si>
  <si>
    <t>싹과 옷자락이 자손의 계보로 옮겨감</t>
  </si>
  <si>
    <t>卽喚時大</t>
  </si>
  <si>
    <t>同去尋那廟堂裡來</t>
  </si>
  <si>
    <t>時=때 · 大=크다</t>
  </si>
  <si>
    <t>곧 시대를 불러</t>
  </si>
  <si>
    <t>童子道甚麽</t>
  </si>
  <si>
    <t>余曰</t>
  </si>
  <si>
    <t>富先生</t>
  </si>
  <si>
    <t>余=나 · 曰=말하다</t>
  </si>
  <si>
    <t>내가 말했다</t>
  </si>
  <si>
    <t>童子畧不</t>
  </si>
  <si>
    <t>富=재물이 넉넉하다 · 先=먼저 · 生=낳다·살다</t>
  </si>
  <si>
    <t>부 선생</t>
  </si>
  <si>
    <t>부 선생을</t>
  </si>
  <si>
    <t>採聽</t>
  </si>
  <si>
    <t>子=아들 · 不=아니다</t>
  </si>
  <si>
    <t>동자가 조금도</t>
  </si>
  <si>
    <t>동자는 조금도</t>
  </si>
  <si>
    <t>余闔戶恰裁轉身</t>
  </si>
  <si>
    <t>那童子引一老者而來</t>
  </si>
  <si>
    <t>想是富也</t>
  </si>
  <si>
    <t>子=아들 · 一=하나 · 老=늙다 · 者=~하는 것·사람 · 而=말 잇는 조사 · 來=오다</t>
  </si>
  <si>
    <t>그 동자가 한 노인을 데리고 왔다</t>
  </si>
  <si>
    <t>동자가 노인 한 사람을 데리고 왔다</t>
  </si>
  <si>
    <t>適纔閒走比鄰</t>
  </si>
  <si>
    <t>是=옳다·이것 · 富=재물이 넉넉하다 · 也=단정하는 조사</t>
  </si>
  <si>
    <t>아마 부씨이리라 생각했다</t>
  </si>
  <si>
    <t>아마 부씨이려니 했다</t>
  </si>
  <si>
    <t>那童子忙去報客而回也</t>
  </si>
  <si>
    <t>閒=틈·한가하다</t>
  </si>
  <si>
    <t>마침 이웃에 한가히 걸어갔는데</t>
  </si>
  <si>
    <t>마침 이웃에 마실 갔다가</t>
  </si>
  <si>
    <t>大驚</t>
  </si>
  <si>
    <t>次不甚喜</t>
  </si>
  <si>
    <t>問尊是富公麽</t>
  </si>
  <si>
    <t>그리 기뻐하지 않았다</t>
  </si>
  <si>
    <t>그리 반기지 않았다</t>
  </si>
  <si>
    <t>那老者大喜道</t>
  </si>
  <si>
    <t>問=묻다 · 是=옳다·이것 · 富=재물이 넉넉하다 · 公=공변되다·귀인</t>
  </si>
  <si>
    <t>어른이 부공이십니까 하고 물으니</t>
  </si>
  <si>
    <t>어른이 부공이시냐고 물으니</t>
  </si>
  <si>
    <t>儞老那從識僚賤姓</t>
  </si>
  <si>
    <t>老=늙다 · 者=~하는 것·사람 · 大=크다 · 道=길</t>
  </si>
  <si>
    <t>그 노인이 크게 기뻐하며 말했다</t>
  </si>
  <si>
    <t>吾久聞先生大名如雷</t>
  </si>
  <si>
    <t>灌耳</t>
  </si>
  <si>
    <t>富曰</t>
  </si>
  <si>
    <t>灌=물을 쏟아붓다 · 耳=귀</t>
  </si>
  <si>
    <t>귀에 쏟아졌다</t>
  </si>
  <si>
    <t>우레처럼 귀에 쏟아졌습니다</t>
  </si>
  <si>
    <t>如雷灌耳</t>
  </si>
  <si>
    <t>명성</t>
  </si>
  <si>
    <t>우레가 귀에 쏟아짐이 명성의 자자함으로 옮겨감(직유)</t>
  </si>
  <si>
    <t>願聞尊姓大名</t>
  </si>
  <si>
    <t>富=재물이 넉넉하다 · 曰=말하다</t>
  </si>
  <si>
    <t>부가 말했다</t>
  </si>
  <si>
    <t>부씨가 말했다</t>
  </si>
  <si>
    <t>余書示之</t>
  </si>
  <si>
    <t>聞=듣다 · 大=크다 · 名=이름</t>
  </si>
  <si>
    <t>높은 성함을 듣기 원합니다</t>
  </si>
  <si>
    <t>존함을 듣고자 합니다</t>
  </si>
  <si>
    <t>富自書其名曰富圖三格</t>
  </si>
  <si>
    <t>余=나 · 書=글 · 之=가다 (조사로도 쓰임)</t>
  </si>
  <si>
    <t>내가 써서 보였다</t>
  </si>
  <si>
    <t>號曰松齋</t>
  </si>
  <si>
    <t>富=재물이 넉넉하다 · 自=스스로 · 書=글 · 其=그 · 名=이름 · 曰=말하다 · 三=셋</t>
  </si>
  <si>
    <t>부가 스스로 그 이름을 부도삼격이라 썼다</t>
  </si>
  <si>
    <t>부씨가 제 이름을 부도삼격이라 써 보였다</t>
  </si>
  <si>
    <t>字曰德齋</t>
  </si>
  <si>
    <t>호는 송재라 하고</t>
  </si>
  <si>
    <t>호는 송재요</t>
  </si>
  <si>
    <t>余問甚</t>
  </si>
  <si>
    <t>麽三格</t>
  </si>
  <si>
    <t>三=셋</t>
  </si>
  <si>
    <t>삼격이란 무엇인가</t>
  </si>
  <si>
    <t>삼격이 무슨 뜻이냐 하니</t>
  </si>
  <si>
    <t>是吾姓名也</t>
  </si>
  <si>
    <t>余問貴鄕華貫在何地方</t>
  </si>
  <si>
    <t>是=옳다·이것 · 吾=나 · 名=이름 · 也=단정하는 조사</t>
  </si>
  <si>
    <t>이것이 내 성명입니다</t>
  </si>
  <si>
    <t>이것이 제 성명입니다</t>
  </si>
  <si>
    <t>余=나 · 問=묻다 · 貴=귀하다 · 華=꽃 · 在=있다 · 何=무엇 · 地=땅 · 方=모나다·바야흐로</t>
  </si>
  <si>
    <t>내가 그대의 본관이 어느 지방인지 물으니</t>
  </si>
  <si>
    <t>내가 본관이 어디냐고 물으니</t>
  </si>
  <si>
    <t>俺滿洲鑲藍旗人</t>
  </si>
  <si>
    <t>富問儞老此去</t>
  </si>
  <si>
    <t>저는 만주 양람기 사람입니다</t>
  </si>
  <si>
    <t>當面駕麽</t>
  </si>
  <si>
    <t>富=재물이 넉넉하다 · 問=묻다 · 老=늙다 · 此=이것 · 去=가다</t>
  </si>
  <si>
    <t>부가 어르신이 이번에 가시는 길에 하고 물었다</t>
  </si>
  <si>
    <t>부씨가 이번 걸음에 하고 물었다</t>
  </si>
  <si>
    <t>當=마땅하다 · 面=얼굴</t>
  </si>
  <si>
    <t>황제를 뵙습니까</t>
  </si>
  <si>
    <t>황제를 뵙게 됩니까</t>
  </si>
  <si>
    <t>甚麽話</t>
  </si>
  <si>
    <t>무슨 말씀입니까</t>
  </si>
  <si>
    <t>무슨 말씀이오</t>
  </si>
  <si>
    <t>萬歲爺要當接見儞們</t>
  </si>
  <si>
    <t>萬=일만 · 歲=한 해 · 要=구하다 · 當=마땅하다 · 見=보다</t>
  </si>
  <si>
    <t>만세 어른께서 그대들을 접견하실 것입니다</t>
  </si>
  <si>
    <t>황제께서 그대들을 만나 주실 것입니다</t>
  </si>
  <si>
    <t>吾當保奏儞老得</t>
  </si>
  <si>
    <t>添微祿麽</t>
  </si>
  <si>
    <t>작은 녹을 더하겠습니까</t>
  </si>
  <si>
    <t>작은 벼슬이라도 얻게 해 드리리다</t>
  </si>
  <si>
    <t>倘得如此時</t>
  </si>
  <si>
    <t>朴公大德</t>
  </si>
  <si>
    <t>得=얻다 · 如=같다 · 此=이것 · 時=때</t>
  </si>
  <si>
    <t>만약 그렇게 된다면</t>
  </si>
  <si>
    <t>그렇게만 된다면</t>
  </si>
  <si>
    <t>老豈有可觀書冊</t>
  </si>
  <si>
    <t>爲借數日否</t>
  </si>
  <si>
    <t>爲=하다·되다 · 數=세다·수 · 日=해·날</t>
  </si>
  <si>
    <t>며칠 빌릴 수 있겠습니까</t>
  </si>
  <si>
    <t>無有</t>
  </si>
  <si>
    <t>往在京裏時</t>
  </si>
  <si>
    <t>無=없다 · 有=있다</t>
  </si>
  <si>
    <t>없습니다</t>
  </si>
  <si>
    <t>久坐</t>
  </si>
  <si>
    <t>卽辭起</t>
  </si>
  <si>
    <t>富臨門揖送</t>
  </si>
  <si>
    <t>起=몸을 일으키다</t>
  </si>
  <si>
    <t>곧 하직하고 일어나니</t>
  </si>
  <si>
    <t>곧 하직하고 일어서니</t>
  </si>
  <si>
    <t>且言貴邦明紬可得賣買麽</t>
  </si>
  <si>
    <t>富=재물이 넉넉하다 · 門=문 · 送=보내다</t>
  </si>
  <si>
    <t>부가 문에 나와 읍하여 보내며</t>
  </si>
  <si>
    <t>부씨가 문까지 나와 읍하며 배웅하고</t>
  </si>
  <si>
    <t>余不答而歸</t>
  </si>
  <si>
    <t>言=말하다 · 貴=귀하다 · 明=밝다 · 可=옳다·가하다 · 得=얻다 · 賣=팔다 · 買=사다</t>
  </si>
  <si>
    <t>또 귀국의 명주를 사고팔 수 있겠는가 말했다</t>
  </si>
  <si>
    <t>조선 명주를 좀 살 수 없겠느냐고 물었다</t>
  </si>
  <si>
    <t>正使問有何可觀</t>
  </si>
  <si>
    <t>余=나 · 不=아니다 · 答=대답하다 · 而=말 잇는 조사 · 歸=돌아가다</t>
  </si>
  <si>
    <t>나는 답하지 않고 돌아왔다</t>
  </si>
  <si>
    <t>나는 대답하지 않고 돌아왔다</t>
  </si>
  <si>
    <t>小品七十餘種</t>
  </si>
  <si>
    <t>此不過數頁所錄</t>
  </si>
  <si>
    <t>而要索厚價</t>
  </si>
  <si>
    <t>此=이것 · 不=아니다 · 過=지나다 · 數=세다·수 · 所=바·곳</t>
  </si>
  <si>
    <t>이는 몇 쪽에 적힌 것에 지나지 않는데</t>
  </si>
  <si>
    <t>이것은 몇 쪽에 적힌 것에 지나지 않는데</t>
  </si>
  <si>
    <t>其無恥甚矣</t>
  </si>
  <si>
    <t>而=말 잇는 조사 · 要=구하다 · 厚=두껍다 · 價=값</t>
  </si>
  <si>
    <t>두터운 값을 요구하니</t>
  </si>
  <si>
    <t>비싼 값을 부르니</t>
  </si>
  <si>
    <t>厚價</t>
  </si>
  <si>
    <t>비싼 값</t>
  </si>
  <si>
    <t>두께가 값의 높음으로 옮겨감</t>
  </si>
  <si>
    <t>然旣爲借來</t>
  </si>
  <si>
    <t>其=그 · 無=없다 · 矣=마치는 조사</t>
  </si>
  <si>
    <t>그 부끄러움 없음이 심하다</t>
  </si>
  <si>
    <t>뻔뻔하기 이를 데 없다</t>
  </si>
  <si>
    <t>無聲戱小</t>
  </si>
  <si>
    <t>說</t>
  </si>
  <si>
    <t>鬼輸錢故事</t>
  </si>
  <si>
    <t>말한다</t>
  </si>
  <si>
    <t>이야기는</t>
  </si>
  <si>
    <t>李漁笠翁著</t>
  </si>
  <si>
    <t>鬼=귀신 · 輸=실어 보내다 · 錢=엽전 · 故=까닭 · 事=일</t>
  </si>
  <si>
    <t>귀신이 돈을 잃은 이야기다</t>
  </si>
  <si>
    <t>귀신이 돈을 잃는 이야기다</t>
  </si>
  <si>
    <t>天外談</t>
  </si>
  <si>
    <t>이어 입옹이 지었다</t>
  </si>
  <si>
    <t>이어 입옹이 지은 것이다</t>
  </si>
  <si>
    <t>與鄭進士分錄</t>
  </si>
  <si>
    <t>以爲</t>
  </si>
  <si>
    <t>書肆攷求之資</t>
  </si>
  <si>
    <t>以=~로써 · 爲=하다·되다</t>
  </si>
  <si>
    <t>~로 삼아</t>
  </si>
  <si>
    <t>삼아</t>
  </si>
  <si>
    <t>卽送</t>
  </si>
  <si>
    <t>書=글 · 求=구하다 · 之=가다 (조사로도 쓰임) · 資=밑천</t>
  </si>
  <si>
    <t>서점에서 찾아볼 밑천으로</t>
  </si>
  <si>
    <t>서점에서 찾아볼 자료로</t>
  </si>
  <si>
    <t>時大還傳且令語之曰</t>
  </si>
  <si>
    <t>送=보내다</t>
  </si>
  <si>
    <t>곧 보내</t>
  </si>
  <si>
    <t>곧 돌려보내</t>
  </si>
  <si>
    <t>故吾老爺不覽此書目云爾</t>
  </si>
  <si>
    <t>時大歸言</t>
  </si>
  <si>
    <t>富也聽渠所傳</t>
  </si>
  <si>
    <t>時=때 · 大=크다 · 歸=돌아가다 · 言=말하다</t>
  </si>
  <si>
    <t>시대가 돌아와 말하기를</t>
  </si>
  <si>
    <t>頗有憮然之色</t>
  </si>
  <si>
    <t>富=재물이 넉넉하다 · 也=단정하는 조사 · 所=바·곳</t>
  </si>
  <si>
    <t>부씨가 그가 전한 말을 듣고</t>
  </si>
  <si>
    <t>부씨가 그 말을 전해 듣고</t>
  </si>
  <si>
    <t>贈渠手巾云</t>
  </si>
  <si>
    <t>有=있다 · 然=그러하다 · 之=가다 (조사로도 쓰임) · 色=빛깔</t>
  </si>
  <si>
    <t>자못 서운한 기색이 있었으며</t>
  </si>
  <si>
    <t>자못 서운한 낯빛을 지으며</t>
  </si>
  <si>
    <t>大風一射</t>
  </si>
  <si>
    <t>則烟桶爲虛位矣</t>
  </si>
  <si>
    <t>則=곧 · 爲=하다·되다 · 虛=비다 · 矣=마치는 조사</t>
  </si>
  <si>
    <t>담뱃대가 헛자리가 된다</t>
  </si>
  <si>
    <t>담뱃대가 쓸모없는 자리가 된다</t>
  </si>
  <si>
    <t>我念吾東家貧</t>
  </si>
  <si>
    <t>好讀書</t>
  </si>
  <si>
    <t>我=나 · 吾=나 · 東=동쪽 · 家=집 · 貧=재물이 모자라다</t>
  </si>
  <si>
    <t>나는 우리나라가 집이 가난하면서도</t>
  </si>
  <si>
    <t>나는 우리나라 사람이 집은 가난하면서도</t>
  </si>
  <si>
    <t>百千兄弟等鼻端</t>
  </si>
  <si>
    <t>好=좋다 · 書=글</t>
  </si>
  <si>
    <t>글 읽기를 좋아하는 것을 생각한다</t>
  </si>
  <si>
    <t>驛夫馬頭輩爭至供卓前</t>
  </si>
  <si>
    <t>叩頭</t>
  </si>
  <si>
    <t>或買供靑蓏</t>
  </si>
  <si>
    <t>頭=머리</t>
  </si>
  <si>
    <t>머리를 조아리고</t>
  </si>
  <si>
    <t>譯官亦有焚香抽籤</t>
  </si>
  <si>
    <t>買</t>
  </si>
  <si>
    <t>或=혹 · 買=사다</t>
  </si>
  <si>
    <t>혹은 푸른 참외를 사서 바치며</t>
  </si>
  <si>
    <t>더러는 푸른 참외를 사서 바치고</t>
  </si>
  <si>
    <t>占驗平生休咎者</t>
  </si>
  <si>
    <t>譯=통역하다 · 官=벼슬 · 亦=또한 · 有=있다</t>
  </si>
  <si>
    <t>역관들도 향을 사르고 산가지를 뽑아</t>
  </si>
  <si>
    <t>有道士敲鉢丐錢</t>
  </si>
  <si>
    <t>平=평평하다 · 生=낳다·살다 · 者=~하는 것·사람</t>
  </si>
  <si>
    <t>평생의 길흉을 점치는 자가 있다</t>
  </si>
  <si>
    <t>평생의 길흉을 점치기도 한다</t>
  </si>
  <si>
    <t>獨不剃髮爲椎髻</t>
  </si>
  <si>
    <t>有=있다 · 道=길 · 士=선비 · 錢=엽전</t>
  </si>
  <si>
    <t>바리를 두드리며 돈을 구걸하는 도사가 있는데</t>
  </si>
  <si>
    <t>바리를 두드리며 돈을 비는 도사가 있는데</t>
  </si>
  <si>
    <t>如我東</t>
  </si>
  <si>
    <t>獨=홀로 · 不=아니다 · 爲=하다·되다</t>
  </si>
  <si>
    <t>홀로 머리를 깎지 않고 상투를 틀었다</t>
  </si>
  <si>
    <t>恰似我東儒士所著</t>
  </si>
  <si>
    <t>而但黑色方領少異耳</t>
  </si>
  <si>
    <t>又一道士賣蓏及</t>
  </si>
  <si>
    <t>而=말 잇는 조사 · 色=빛깔 · 方=모나다·바야흐로 · 少=적다 · 耳=귀</t>
  </si>
  <si>
    <t>다만 검은 빛 모난 깃이 조금 다를 뿐이다</t>
  </si>
  <si>
    <t>鷄卵</t>
  </si>
  <si>
    <t>又=또 · 一=하나 · 道=길 · 士=선비 · 賣=팔다 · 及=미치다</t>
  </si>
  <si>
    <t>또 한 도사가 참외와</t>
  </si>
  <si>
    <t>蓏味甚甛且多水</t>
  </si>
  <si>
    <t>달걀을 판다</t>
  </si>
  <si>
    <t>蘊鬱於天地之間</t>
  </si>
  <si>
    <t>而莫之敢宣也</t>
  </si>
  <si>
    <t>彼賈</t>
  </si>
  <si>
    <t>而=말 잇는 조사 · 莫=없다 · 之=가다 (조사로도 쓰임) · 也=단정하는 조사</t>
  </si>
  <si>
    <t>감히 펴지 못한다</t>
  </si>
  <si>
    <t>감히 펴 보이지 못한다</t>
  </si>
  <si>
    <t>生者</t>
  </si>
  <si>
    <t>彼=저 · 賈=장사하다</t>
  </si>
  <si>
    <t>저 장사</t>
  </si>
  <si>
    <t>未得其塲</t>
  </si>
  <si>
    <t>生=낳다·살다 · 者=~하는 것·사람</t>
  </si>
  <si>
    <t>하는 이가</t>
  </si>
  <si>
    <t>入舊遼陽</t>
  </si>
  <si>
    <t>其繁華</t>
  </si>
  <si>
    <t>富麗十倍鳳城</t>
  </si>
  <si>
    <t>其=그 · 繁=초목이 우거지다 · 華=꽃</t>
  </si>
  <si>
    <t>그 번화함이</t>
  </si>
  <si>
    <t>그 번화함과</t>
  </si>
  <si>
    <t>別有遼東記</t>
  </si>
  <si>
    <t>富 倍</t>
  </si>
  <si>
    <t>富=재물이 넉넉하다 · 麗=곱다 · 十=열 · 倍=갑절 · 城=성</t>
  </si>
  <si>
    <t>부려함이 봉성의 열 배다</t>
  </si>
  <si>
    <t>화려함이 봉성의 열 배다</t>
  </si>
  <si>
    <t>出西門見白塔</t>
  </si>
  <si>
    <t>有=있다 · 東=동쪽</t>
  </si>
  <si>
    <t>따로 요동기가 있다</t>
  </si>
  <si>
    <t>膓虛氣餒</t>
  </si>
  <si>
    <t>生平喜遊賞</t>
  </si>
  <si>
    <t>今日眞得了其債矣</t>
  </si>
  <si>
    <t>生=낳다·살다 · 平=평평하다</t>
  </si>
  <si>
    <t>평생 유람과 감상을 좋아했는데</t>
  </si>
  <si>
    <t>평생 유람과 구경을 좋아했는데</t>
  </si>
  <si>
    <t>債</t>
  </si>
  <si>
    <t>今=이제 · 日=해·날 · 眞=참되다 · 得=얻다 · 其=그 · 債=빚 · 矣=마치는 조사</t>
  </si>
  <si>
    <t>오늘 참으로 그 빚을 받아 냈다</t>
  </si>
  <si>
    <t>오늘에야 그 묵은 빚을 받아 낸 셈이다</t>
  </si>
  <si>
    <t>得了其債</t>
  </si>
  <si>
    <t>숙원 해소</t>
  </si>
  <si>
    <t>채무 관념이 유람의 숙원 해소로 옮겨감</t>
  </si>
  <si>
    <t>鄭君輩爭相嘲謔曰</t>
  </si>
  <si>
    <t>日暮道窮</t>
  </si>
  <si>
    <t>君=임금·그대 · 輩=무리 · 爭=다투다 · 相=서로 · 曰=말하다</t>
  </si>
  <si>
    <t>정군의 무리가 다투어 서로 조롱하며 말했다</t>
  </si>
  <si>
    <t>정군의 무리가 다투어 놀리며 말했다</t>
  </si>
  <si>
    <t>見漁艇蕩來</t>
  </si>
  <si>
    <t>亦爭先來到</t>
  </si>
  <si>
    <t>要索高價</t>
  </si>
  <si>
    <t>亦=또한 · 爭=다투다 · 先=먼저 · 來=오다</t>
  </si>
  <si>
    <t>또한 다투어 먼저 와서</t>
  </si>
  <si>
    <t>또한 앞다투어 몰려와서</t>
  </si>
  <si>
    <t>其待人竭急</t>
  </si>
  <si>
    <t>要=구하다 · 高=높다 · 價=값</t>
  </si>
  <si>
    <t>높은 값을 요구한다</t>
  </si>
  <si>
    <t>비싼 값을 부른다</t>
  </si>
  <si>
    <t>高價</t>
  </si>
  <si>
    <t>값의 크기를 공간의 높낮이로 나타냄</t>
  </si>
  <si>
    <t>然後始肯來濟</t>
  </si>
  <si>
    <t>其=그 · 待=기다리다 · 人=사람 · 竭=물이 다 마르다</t>
  </si>
  <si>
    <t>그 사람 대하기가 다급함을 다하니</t>
  </si>
  <si>
    <t>사람이 다급해진 것을 보고서야</t>
  </si>
  <si>
    <t>隋唐時</t>
  </si>
  <si>
    <t>屬高勾麗</t>
  </si>
  <si>
    <t>高=높다 · 麗=곱다</t>
  </si>
  <si>
    <t>고구려에 속했다</t>
  </si>
  <si>
    <t>고구려에 속했고</t>
  </si>
  <si>
    <t>丹稱南京</t>
  </si>
  <si>
    <t>契=새긴 문서</t>
  </si>
  <si>
    <t>거란은</t>
  </si>
  <si>
    <t>金稱東京</t>
  </si>
  <si>
    <t>稱=일컫다 · 南=남쪽 · 京=서울</t>
  </si>
  <si>
    <t>남경이라 일컬었다</t>
  </si>
  <si>
    <t>남경이라 불렀다</t>
  </si>
  <si>
    <t>塔下逢兩人</t>
  </si>
  <si>
    <t>俱滿洲人</t>
  </si>
  <si>
    <t>方往寧古塔買藥</t>
  </si>
  <si>
    <t>俱=함께 · 人=사람</t>
  </si>
  <si>
    <t>모두 만주 사람인데</t>
  </si>
  <si>
    <t>劃地問答</t>
  </si>
  <si>
    <t>方=모나다·바야흐로 · 往=가다 · 古=옛 · 買=사다 · 藥=약</t>
  </si>
  <si>
    <t>바야흐로 영고탑에 약을 사러 간다</t>
  </si>
  <si>
    <t>영고탑으로 약을 사러 가는 길이라 했다</t>
  </si>
  <si>
    <t>一人問古本尙書</t>
  </si>
  <si>
    <t>地=땅 · 問=묻다 · 答=대답하다</t>
  </si>
  <si>
    <t>땅에 그어 묻고 답했다</t>
  </si>
  <si>
    <t>땅에 글씨를 그어 가며 문답했다</t>
  </si>
  <si>
    <t>皆記修刱始末</t>
  </si>
  <si>
    <t>新建一碑</t>
  </si>
  <si>
    <t>記山西商人重修事也</t>
  </si>
  <si>
    <t>新=새롭다 · 一=하나</t>
  </si>
  <si>
    <t>새로 비석 하나를 세웠는데</t>
  </si>
  <si>
    <t>山=산 · 西=서쪽 · 商=장사하다 · 人=사람 · 重=무겁다 · 修=닦다 · 事=일 · 也=단정하는 조사</t>
  </si>
  <si>
    <t>산서 상인이 중수한 일을 적었다</t>
  </si>
  <si>
    <t>산서 상인이 중수한 내력을 적었다</t>
  </si>
  <si>
    <t>廟中無賴遊子數千人</t>
  </si>
  <si>
    <t>鬧熱如塲屋</t>
  </si>
  <si>
    <t>中=가운데 · 無=없다 · 子=아들 · 數=세다·수 · 千=일천 · 人=사람</t>
  </si>
  <si>
    <t>절 안에 무뢰한 유객 수천 명이</t>
  </si>
  <si>
    <t>절 안에 무뢰한 유객이 수천 명이라</t>
  </si>
  <si>
    <t>인접 절 「鬧熱如塲屋」에 은유가 있으나 판정 대상 범위 밖이므로 계수하지 않음</t>
  </si>
  <si>
    <t>寺僧異之</t>
  </si>
  <si>
    <t>掘寺右十步</t>
  </si>
  <si>
    <t>果得十萬金</t>
  </si>
  <si>
    <t>十=열</t>
  </si>
  <si>
    <t>절 오른쪽 열 걸음을 파서</t>
  </si>
  <si>
    <t>邨夫</t>
  </si>
  <si>
    <t>萬金</t>
  </si>
  <si>
    <t>得=얻다 · 十=열 · 萬=일만 · 金=쇠붙이</t>
  </si>
  <si>
    <t>과연 십만 금을 얻었다</t>
  </si>
  <si>
    <t>以其金重修此寺</t>
  </si>
  <si>
    <t>夫=사내·무릇</t>
  </si>
  <si>
    <t>시골 사내가</t>
  </si>
  <si>
    <t>少焉主人之小孫</t>
  </si>
  <si>
    <t>手提吶叭</t>
  </si>
  <si>
    <t>氣息喘喘</t>
  </si>
  <si>
    <t>手=손</t>
  </si>
  <si>
    <t>走入堂裏</t>
  </si>
  <si>
    <t>氣=기운 · 息=숨쉬다 · 喘=헐떡이다</t>
  </si>
  <si>
    <t>抱老公項</t>
  </si>
  <si>
    <t>入=들다</t>
  </si>
  <si>
    <t>要買吶叭</t>
  </si>
  <si>
    <t>老=늙다 · 公=공변되다·귀인</t>
  </si>
  <si>
    <t>老公慈意滿面曰</t>
  </si>
  <si>
    <t>要=구하다 · 買=사다</t>
  </si>
  <si>
    <t>這箇不中用</t>
  </si>
  <si>
    <t>老=늙다 · 公=공변되다·귀인 · 面=얼굴 · 曰=말하다</t>
  </si>
  <si>
    <t>余亦責軍牢索去好矣</t>
  </si>
  <si>
    <t>何必若是無聊人</t>
  </si>
  <si>
    <t>余問這狗子那地所產</t>
  </si>
  <si>
    <t>何=무엇 · 必=반드시 · 若=같다 · 是=옳다·이것 · 無=없다 · 人=사람</t>
  </si>
  <si>
    <t>主人</t>
  </si>
  <si>
    <t>余=나 · 問=묻다 · 子=아들 · 地=땅 · 所=바·곳</t>
  </si>
  <si>
    <t>答曰</t>
  </si>
  <si>
    <t>主=주인 · 人=사람</t>
  </si>
  <si>
    <t>雲南所產</t>
  </si>
  <si>
    <t>答=대답하다 · 曰=말하다</t>
  </si>
  <si>
    <t>蜀中亦有這樣的小狗</t>
  </si>
  <si>
    <t>雲=구름 · 南=남쪽 · 所=바·곳</t>
  </si>
  <si>
    <t>此名玉兎兒</t>
  </si>
  <si>
    <t>中=가운데 · 亦=또한 · 有=있다 · 的=~의 (백화) · 小=작다</t>
  </si>
  <si>
    <t>那箇叫做雪獅子</t>
  </si>
  <si>
    <t>幷是雲南產</t>
  </si>
  <si>
    <t>做=하다 (백화) · 子=아들</t>
  </si>
  <si>
    <t>主人叫玉兎兒</t>
  </si>
  <si>
    <t>是=옳다·이것 · 雲=구름 · 南=남쪽</t>
  </si>
  <si>
    <t>主=주인 · 人=사람 · 玉=옥</t>
  </si>
  <si>
    <t>客官旣然愛玩此</t>
  </si>
  <si>
    <t>微物時</t>
  </si>
  <si>
    <t>情願拜送準貢回還時</t>
  </si>
  <si>
    <t>物=물건 · 時=때</t>
  </si>
  <si>
    <t>客官不妨携去</t>
  </si>
  <si>
    <t>送=보내다 · 貢=바치는 물건 · 還=돌아오다 · 時=때</t>
  </si>
  <si>
    <t>余答曰</t>
  </si>
  <si>
    <t>客=손님 · 官=벼슬 · 不=아니다 · 去=가다</t>
  </si>
  <si>
    <t>遂給張福與昌大共食</t>
  </si>
  <si>
    <t>自入舖子裏</t>
  </si>
  <si>
    <t>買喫一椀麵</t>
  </si>
  <si>
    <t>自=스스로 · 入=들다 · 舖=가게 · 子=아들</t>
  </si>
  <si>
    <t>一</t>
  </si>
  <si>
    <t>買=사다 · 一=하나</t>
  </si>
  <si>
    <t>觶燒酒</t>
  </si>
  <si>
    <t>車馬雲屯</t>
  </si>
  <si>
    <t>促鞭行下馬少憩</t>
  </si>
  <si>
    <t>客商數百人</t>
  </si>
  <si>
    <t>行=걸어가다 · 下=아래쪽 · 馬=말 · 少=적다</t>
  </si>
  <si>
    <t>卸擔納凉</t>
  </si>
  <si>
    <t>客=손님 · 商=장사하다 · 數=세다·수 · 百=일백 · 人=사람</t>
  </si>
  <si>
    <t>或踞柳根</t>
  </si>
  <si>
    <t>車三十餘乘</t>
  </si>
  <si>
    <t>皆滿載石煤</t>
  </si>
  <si>
    <t>賣酒賣茶</t>
  </si>
  <si>
    <t>皆=모두</t>
  </si>
  <si>
    <t>賣餠果</t>
  </si>
  <si>
    <t>賣=팔다 · 酒=술 · 茶=차</t>
  </si>
  <si>
    <t>諸般飮食者</t>
  </si>
  <si>
    <t>皆聚柳陰下</t>
  </si>
  <si>
    <t>諸=여러 · 飮=마시다 · 食=먹다 · 者=~하는 것·사람</t>
  </si>
  <si>
    <t>渾河</t>
  </si>
  <si>
    <t>一名阿利江</t>
  </si>
  <si>
    <t>一名小遼水</t>
  </si>
  <si>
    <t>一=하나 · 名=이름 · 利=날이 날카롭다 → 이롭다 · 江=큰 강</t>
  </si>
  <si>
    <t>源出長白山</t>
  </si>
  <si>
    <t>一=하나 · 名=이름 · 小=작다 · 水=물</t>
  </si>
  <si>
    <t>郭內民物之繁華</t>
  </si>
  <si>
    <t>市肆之侈盛</t>
  </si>
  <si>
    <t>十倍遼陽</t>
  </si>
  <si>
    <t>市=저자 · 之=가다 (조사로도 쓰임)</t>
  </si>
  <si>
    <t>矣</t>
  </si>
  <si>
    <t>十=열 · 倍=갑절 · 陽=볕</t>
  </si>
  <si>
    <t>十倍</t>
  </si>
  <si>
    <t>과장</t>
  </si>
  <si>
    <t>배수 표현으로 시장 규모를 부풀림</t>
  </si>
  <si>
    <t>入關廟少憩</t>
  </si>
  <si>
    <t>身披一領野繭紗道袍</t>
  </si>
  <si>
    <t>項戴藤笠</t>
  </si>
  <si>
    <t>足穿貢緞黑靴</t>
  </si>
  <si>
    <t>脫笠自撫其髻曰</t>
  </si>
  <si>
    <t>足=발 · 貢=바치는 물건</t>
  </si>
  <si>
    <t>與相公一樣</t>
  </si>
  <si>
    <t>自=스스로 · 其=그 · 曰=말하다</t>
  </si>
  <si>
    <t>彩閣雕牕</t>
  </si>
  <si>
    <t>金扁碧榜</t>
  </si>
  <si>
    <t>貨寶</t>
  </si>
  <si>
    <t>財賄</t>
  </si>
  <si>
    <t>貨=사고파는 물건</t>
  </si>
  <si>
    <t>充牣其中</t>
  </si>
  <si>
    <t>坐市者</t>
  </si>
  <si>
    <t>充=가득 채우다 · 其=그 · 中=가운데</t>
  </si>
  <si>
    <t>箇箇若是</t>
  </si>
  <si>
    <t>遂相携入一酒樓</t>
  </si>
  <si>
    <t>其宏深奢麗</t>
  </si>
  <si>
    <t>遂=마침내 · 相=서로 · 入=들다 · 一=하나 · 酒=술 · 樓=다락</t>
  </si>
  <si>
    <t>更勝於前</t>
  </si>
  <si>
    <t>奢</t>
  </si>
  <si>
    <t>其=그 · 深=깊다 · 奢=사치하다 · 麗=곱다</t>
  </si>
  <si>
    <t>買得一盤卵炒</t>
  </si>
  <si>
    <t>勝=싸움에 이기다 · 於=~에 · 前=앞</t>
  </si>
  <si>
    <t>一甁史國公</t>
  </si>
  <si>
    <t>買=사다 · 得=얻다 · 一=하나</t>
  </si>
  <si>
    <t>暢飮而罷</t>
  </si>
  <si>
    <t>一=하나 · 史=사관·역사 · 國=나라 · 公=공변되다·귀인</t>
  </si>
  <si>
    <t>入一收賣古董舖子</t>
  </si>
  <si>
    <t>飮=마시다 · 而=말 잇는 조사</t>
  </si>
  <si>
    <t>舖名藝粟齋</t>
  </si>
  <si>
    <t>入=들다 · 一=하나 · 收=거두다 · 賣=팔다 · 古=옛 · 舖=가게 · 子=아들</t>
  </si>
  <si>
    <t>有秀才五人</t>
  </si>
  <si>
    <t>舖=가게 · 名=이름</t>
  </si>
  <si>
    <t>地士人</t>
  </si>
  <si>
    <t>新開錦緞舖</t>
  </si>
  <si>
    <t>舖名歌商樓</t>
  </si>
  <si>
    <t>新=새롭다 · 開=열다 · 舖=가게</t>
  </si>
  <si>
    <t>共有六人</t>
  </si>
  <si>
    <t>舖=가게 · 名=이름 · 商=장사하다 · 樓=다락</t>
  </si>
  <si>
    <t>衣帽鮮華</t>
  </si>
  <si>
    <t>有=있다 · 六=여섯 · 人=사람</t>
  </si>
  <si>
    <t>夕飯後步月</t>
  </si>
  <si>
    <t>至歌商樓</t>
  </si>
  <si>
    <t>後=뒤 · 月=달</t>
  </si>
  <si>
    <t>携諸人</t>
  </si>
  <si>
    <t>至=이르다 · 商=장사하다 · 樓=다락</t>
  </si>
  <si>
    <t>同至藝粟齋</t>
  </si>
  <si>
    <t>諸=여러 · 人=사람</t>
  </si>
  <si>
    <t>市廛朝起開舖門</t>
  </si>
  <si>
    <t>例放紙砲</t>
  </si>
  <si>
    <t>急起往歌商樓</t>
  </si>
  <si>
    <t>諸人</t>
  </si>
  <si>
    <t>起=몸을 일으키다 · 往=가다 · 商=장사하다 · 樓=다락</t>
  </si>
  <si>
    <t>又集穩話</t>
  </si>
  <si>
    <t>因入藥舖</t>
  </si>
  <si>
    <t>余遂跟入</t>
  </si>
  <si>
    <t>兩人俱買檳榔二箇</t>
  </si>
  <si>
    <t>余=나 · 遂=마침내 · 入=들다</t>
  </si>
  <si>
    <t>刀劈爲四</t>
  </si>
  <si>
    <t>兩=두 개·무게 단위 · 人=사람 · 俱=함께 · 買=사다 · 二=둘</t>
  </si>
  <si>
    <t>各以半顆</t>
  </si>
  <si>
    <t>爲=하다·되다 · 四=넷</t>
  </si>
  <si>
    <t>需給瀋陽各衙八旗俸祿</t>
  </si>
  <si>
    <t>又自瀋陽派及興京船廠寧古塔等地</t>
  </si>
  <si>
    <t>該銀爲一百二十五萬兩云</t>
  </si>
  <si>
    <t>又=또 · 自=스스로 · 陽=볕 · 及=미치다 · 興=일어나다 · 京=서울 · 古=옛 · 等=무리 · 地=땅</t>
  </si>
  <si>
    <t>銀=은 · 爲=하다·되다 · 一=하나 · 百=일백 · 二=둘 · 十=열 · 五=다섯 · 萬=일만 · 兩=두 개·무게 단위 · 云=이르다</t>
  </si>
  <si>
    <t>夕月色益明</t>
  </si>
  <si>
    <t>欲與卞季涵同訪歌商諸齋</t>
  </si>
  <si>
    <t>月=달 · 色=빛깔 · 益=더하다 · 明=밝다</t>
  </si>
  <si>
    <t>卞君枉與首譯議可否</t>
  </si>
  <si>
    <t>欲=하고자 하다 · 與=주다 · 同=같다 · 商=장사하다 · 諸=여러</t>
  </si>
  <si>
    <t>首譯瞠然駭之曰</t>
  </si>
  <si>
    <t>君=임금·그대 · 與=주다 · 譯=통역하다 · 可=옳다·가하다</t>
  </si>
  <si>
    <t>亦</t>
  </si>
  <si>
    <t>能談說經義</t>
  </si>
  <si>
    <t>而家貧好濟人</t>
  </si>
  <si>
    <t>能=능하다 · 經=베의 날실 · 義=옳음</t>
  </si>
  <si>
    <t>爲其多子</t>
  </si>
  <si>
    <t>而=말 잇는 조사 · 家=집 · 貧=재물이 모자라다 · 好=좋다 · 人=사람</t>
  </si>
  <si>
    <t>養福也</t>
  </si>
  <si>
    <t>爲=하다·되다 · 其=그 · 多=많다 · 子=아들</t>
  </si>
  <si>
    <t>舟下三峽</t>
  </si>
  <si>
    <t>轉販吳中</t>
  </si>
  <si>
    <t>逐利口外</t>
  </si>
  <si>
    <t>轉=굴러 돌다 · 中=가운데</t>
  </si>
  <si>
    <t>開舖此中</t>
  </si>
  <si>
    <t>逐=짐승을 뒤쫓다 · 利=날이 날카롭다 → 이롭다 · 口=입 · 外=바깥</t>
  </si>
  <si>
    <t>逐利</t>
  </si>
  <si>
    <t>이익 추구</t>
  </si>
  <si>
    <t>亦已三年</t>
  </si>
  <si>
    <t>開=열다 · 舖=가게 · 此=이것 · 中=가운데</t>
  </si>
  <si>
    <t>白飯二鍋</t>
  </si>
  <si>
    <t>菜二盤</t>
  </si>
  <si>
    <t>該價銀十二兩</t>
  </si>
  <si>
    <t>二=둘</t>
  </si>
  <si>
    <t>田生進前恭謝</t>
  </si>
  <si>
    <t>銀 價</t>
  </si>
  <si>
    <t>價=값 · 銀=은 · 十=열 · 二=둘 · 兩=두 개·무게 단위</t>
  </si>
  <si>
    <t>曰</t>
  </si>
  <si>
    <t>田=밭 · 生=낳다·살다 · 進=나아가다 · 前=앞</t>
  </si>
  <si>
    <t>田生曰</t>
  </si>
  <si>
    <t>先生晡刻</t>
  </si>
  <si>
    <t>要買古董</t>
  </si>
  <si>
    <t>先=먼저 · 生=낳다·살다</t>
  </si>
  <si>
    <t>未知何樣眞品</t>
  </si>
  <si>
    <t>要=구하다 · 買=사다 · 古=옛</t>
  </si>
  <si>
    <t>未=아직 ~않다 · 知=알다 · 何=무엇 · 眞=참되다</t>
  </si>
  <si>
    <t>非但古董</t>
  </si>
  <si>
    <t>更要文房四友稀奇古雅</t>
  </si>
  <si>
    <t>不限價本</t>
  </si>
  <si>
    <t>要=구하다 · 文=무늬·글 · 四=넷 · 奇=기이하다 · 古=옛</t>
  </si>
  <si>
    <t>不=아니다 · 價=값 · 本=나무의 뿌리</t>
  </si>
  <si>
    <t>先生非久入都</t>
  </si>
  <si>
    <t>田=밭 · 生=낳다·살다 · 曰=말하다</t>
  </si>
  <si>
    <t>此中雖稱行都</t>
  </si>
  <si>
    <t>中國一隅</t>
  </si>
  <si>
    <t>賣買只仰蒙古寧古塔船廠等地</t>
  </si>
  <si>
    <t>中=가운데 · 國=나라 · 一=하나</t>
  </si>
  <si>
    <t>番俗</t>
  </si>
  <si>
    <t>賣=팔다 · 買=사다 · 古=옛 · 等=무리 · 地=땅</t>
  </si>
  <si>
    <t>椎魯</t>
  </si>
  <si>
    <t>俗=풍속</t>
  </si>
  <si>
    <t>貴邦珍尙</t>
  </si>
  <si>
    <t>亦異內地</t>
  </si>
  <si>
    <t>甞見賣買人</t>
  </si>
  <si>
    <t>亦=또한 · 內=안 · 地=땅</t>
  </si>
  <si>
    <t>雖如干</t>
  </si>
  <si>
    <t>見=보다 · 賣=팔다 · 買=사다 · 人=사람</t>
  </si>
  <si>
    <t>茶藥</t>
  </si>
  <si>
    <t>雖=비록 · 如=같다</t>
  </si>
  <si>
    <t>不揀頂品</t>
  </si>
  <si>
    <t>只取價廉</t>
  </si>
  <si>
    <t>何論眞假</t>
  </si>
  <si>
    <t>取=가지다 · 價=값</t>
  </si>
  <si>
    <t>非但茶藥如此</t>
  </si>
  <si>
    <t>何=무엇 · 眞=참되다</t>
  </si>
  <si>
    <t>轉輸邊門</t>
  </si>
  <si>
    <t>互相騙詐</t>
  </si>
  <si>
    <t>以爲機利</t>
  </si>
  <si>
    <t>相=서로</t>
  </si>
  <si>
    <t>今先生所須</t>
  </si>
  <si>
    <t>以=~로써 · 爲=하다·되다 · 機=베틀 · 利=날이 날카롭다 → 이롭다</t>
  </si>
  <si>
    <t>機利</t>
  </si>
  <si>
    <t>기회 이익</t>
  </si>
  <si>
    <t>베틀의 기틀이 이익의 기회로 옮겨감</t>
  </si>
  <si>
    <t>逈出流俗</t>
  </si>
  <si>
    <t>今=이제 · 先=먼저 · 生=낳다·살다 · 所=바·곳</t>
  </si>
  <si>
    <t>緣何離鄕棲棲</t>
  </si>
  <si>
    <t>吳生曰</t>
  </si>
  <si>
    <t>爲賣買做生涯</t>
  </si>
  <si>
    <t>生=낳다·살다 · 曰=말하다</t>
  </si>
  <si>
    <t>爲=하다·되다 · 賣=팔다 · 買=사다 · 做=하다 (백화) · 生=낳다·살다</t>
  </si>
  <si>
    <t>未知寶眷隨在此中否</t>
  </si>
  <si>
    <t>實不相瞞</t>
  </si>
  <si>
    <t>亦非宣爐</t>
  </si>
  <si>
    <t>宣爐以臘茶水銀浸擦入肉</t>
  </si>
  <si>
    <t>亦=또한 · 非=아니다</t>
  </si>
  <si>
    <t>更以金鑠爲泥</t>
  </si>
  <si>
    <t>以=~로써 · 茶=차 · 水=물 · 銀=은 · 浸=물에 잠기다 · 入=들다</t>
  </si>
  <si>
    <t>火久成赤</t>
  </si>
  <si>
    <t>以=~로써 · 金=쇠붙이 · 爲=하다·되다</t>
  </si>
  <si>
    <t>入水則綠</t>
  </si>
  <si>
    <t>墓中殉器</t>
  </si>
  <si>
    <t>多發水銀色</t>
  </si>
  <si>
    <t>中=가운데 · 器=그릇</t>
  </si>
  <si>
    <t>或謂尸氣漬染者</t>
  </si>
  <si>
    <t>多=많다 · 水=물 · 銀=은 · 色=빛깔</t>
  </si>
  <si>
    <t>非也</t>
  </si>
  <si>
    <t>或=혹 · 謂=이르다 · 氣=기운 · 染=천에 물을 들이다 · 者=~하는 것·사람</t>
  </si>
  <si>
    <t>上古多以水銀爲殮</t>
  </si>
  <si>
    <t>非=아니다 · 也=단정하는 조사</t>
  </si>
  <si>
    <t>或出於帝王陵</t>
  </si>
  <si>
    <t>上=위쪽 · 古=옛 · 多=많다 · 以=~로써 · 水=물 · 銀=은 · 爲=하다·되다</t>
  </si>
  <si>
    <t>墓</t>
  </si>
  <si>
    <t>或=혹 · 出=나가다 · 於=~에 · 王=임금</t>
  </si>
  <si>
    <t>水銀沾染</t>
  </si>
  <si>
    <t>年久入骨</t>
  </si>
  <si>
    <t>水=물 · 銀=은 · 染=천에 물을 들이다</t>
  </si>
  <si>
    <t>大約新舊眞贋易辨</t>
  </si>
  <si>
    <t>年=해 · 久=오래되다 · 入=들다</t>
  </si>
  <si>
    <t>本身發光</t>
  </si>
  <si>
    <t>類能天然瑩潤</t>
  </si>
  <si>
    <t>而水銀色</t>
  </si>
  <si>
    <t>能=능하다 · 天=하늘 · 然=그러하다</t>
  </si>
  <si>
    <t>亦非全軆純發</t>
  </si>
  <si>
    <t>而=말 잇는 조사 · 水=물 · 銀=은 · 色=빛깔</t>
  </si>
  <si>
    <t>或半面</t>
  </si>
  <si>
    <t>色更深靑</t>
  </si>
  <si>
    <t>以蠟擦之</t>
  </si>
  <si>
    <t>要發水銀色者</t>
  </si>
  <si>
    <t>以=~로써 · 之=가다 (조사로도 쓰임)</t>
  </si>
  <si>
    <t>乃以鋼針爲末摩擦</t>
  </si>
  <si>
    <t>要=구하다 · 水=물 · 銀=은 · 色=빛깔 · 者=~하는 것·사람</t>
  </si>
  <si>
    <t>更以白蠟揩摩</t>
  </si>
  <si>
    <t>乃=이에 · 以=~로써 · 爲=하다·되다 · 末=끝</t>
  </si>
  <si>
    <t>或有故墮一耳</t>
  </si>
  <si>
    <t>或缺傷器體</t>
  </si>
  <si>
    <t>以爲商周</t>
  </si>
  <si>
    <t>或=혹 · 器=그릇</t>
  </si>
  <si>
    <t>秦漢之物</t>
  </si>
  <si>
    <t>以=~로써 · 爲=하다·되다 · 商=장사하다 · 周=두루</t>
  </si>
  <si>
    <t>尤爲可厭</t>
  </si>
  <si>
    <t>漢=한나라·사내 · 之=가다 (조사로도 쓰임) · 物=물건</t>
  </si>
  <si>
    <t>他日廠中</t>
  </si>
  <si>
    <t>俱是遠地駔儈</t>
  </si>
  <si>
    <t>收買之際</t>
  </si>
  <si>
    <t>俱=함께 · 是=옳다·이것 · 遠=멀다 · 地=땅</t>
  </si>
  <si>
    <t>不可糊塗取笑</t>
  </si>
  <si>
    <t>收=거두다 · 買=사다 · 之=가다 (조사로도 쓰임)</t>
  </si>
  <si>
    <t>不=아니다 · 可=옳다·가하다 · 取=가지다 · 笑=웃다</t>
  </si>
  <si>
    <t>路逢費穉</t>
  </si>
  <si>
    <t>引余入毡子舖</t>
  </si>
  <si>
    <t>囑以夜會歌商樓</t>
  </si>
  <si>
    <t>余=나 · 入=들다 · 子=아들 · 舖=가게</t>
  </si>
  <si>
    <t>余辭</t>
  </si>
  <si>
    <t>以=~로써 · 商=장사하다 · 樓=다락</t>
  </si>
  <si>
    <t>以已與田抱關約會藝粟齋</t>
  </si>
  <si>
    <t>余=나</t>
  </si>
  <si>
    <t>捫腹噎噫</t>
  </si>
  <si>
    <t>時月影漸生</t>
  </si>
  <si>
    <t>塵喧暫息</t>
  </si>
  <si>
    <t>時=때 · 月=달 · 生=낳다·살다</t>
  </si>
  <si>
    <t>周隨</t>
  </si>
  <si>
    <t>소란의 그침</t>
  </si>
  <si>
    <t>숨이 멎음이 소란의 그침으로 옮겨감</t>
  </si>
  <si>
    <t>影步匝</t>
  </si>
  <si>
    <t>周=두루</t>
  </si>
  <si>
    <t>坐喫茶</t>
  </si>
  <si>
    <t>田公少頃當還也</t>
  </si>
  <si>
    <t>余言商樓諸公</t>
  </si>
  <si>
    <t>田=밭 · 公=공변되다·귀인 · 少=적다 · 當=마땅하다 · 還=돌아오다 · 也=단정하는 조사</t>
  </si>
  <si>
    <t>想已畢集苦等也</t>
  </si>
  <si>
    <t>余=나 · 言=말하다 · 商=장사하다 · 樓=다락 · 諸=여러 · 公=공변되다·귀인</t>
  </si>
  <si>
    <t>李生曰</t>
  </si>
  <si>
    <t>已=이미 · 苦=맛이 쓰다 · 等=무리 · 也=단정하는 조사</t>
  </si>
  <si>
    <t>商樓佳約</t>
  </si>
  <si>
    <t>已知道了</t>
  </si>
  <si>
    <t>商=장사하다 · 樓=다락</t>
  </si>
  <si>
    <t>弟亦當</t>
  </si>
  <si>
    <t>已=이미 · 知=알다 · 道=길</t>
  </si>
  <si>
    <t>角燈</t>
  </si>
  <si>
    <t>間有靑紅諸色</t>
  </si>
  <si>
    <t>商樓諸人</t>
  </si>
  <si>
    <t>有=있다 · 諸=여러 · 色=빛깔</t>
  </si>
  <si>
    <t>方列立欄下</t>
  </si>
  <si>
    <t>商=장사하다 · 樓=다락 · 諸=여러 · 人=사람</t>
  </si>
  <si>
    <t>見余至</t>
  </si>
  <si>
    <t>方=모나다·바야흐로 · 立=서다 · 下=아래쪽</t>
  </si>
  <si>
    <t>如</t>
  </si>
  <si>
    <t>山海關人</t>
  </si>
  <si>
    <t>來此做賣買</t>
  </si>
  <si>
    <t>山=산 · 海=바다 · 關=빗장·관문 · 人=사람</t>
  </si>
  <si>
    <t>年二十三</t>
  </si>
  <si>
    <t>來=오다 · 此=이것 · 做=하다 (백화) · 賣=팔다 · 買=사다</t>
  </si>
  <si>
    <t>略會書字</t>
  </si>
  <si>
    <t>年=해 · 二=둘 · 十=열 · 三=셋</t>
  </si>
  <si>
    <t>亦無知者</t>
  </si>
  <si>
    <t>他是朝士</t>
  </si>
  <si>
    <t>僕輩做賣買</t>
  </si>
  <si>
    <t>是=옳다·이것 · 朝=아침·조정 · 士=선비</t>
  </si>
  <si>
    <t>如何去謁他</t>
  </si>
  <si>
    <t>輩=무리 · 做=하다 (백화) · 賣=팔다 · 買=사다</t>
  </si>
  <si>
    <t>東野曰</t>
  </si>
  <si>
    <t>如=같다 · 何=무엇 · 去=가다</t>
  </si>
  <si>
    <t>裴褐夫曰</t>
  </si>
  <si>
    <t>那敢唐突</t>
  </si>
  <si>
    <t>只得閉戶屛息</t>
  </si>
  <si>
    <t>得=얻다 · 閉=닫다 · 屛=숨을 죽이다 · 息=숨쉬다</t>
  </si>
  <si>
    <t>屛息</t>
  </si>
  <si>
    <t>두려움의 위축</t>
  </si>
  <si>
    <t>숨을 죽임이 두려움의 위축으로 옮겨감</t>
  </si>
  <si>
    <t>皇上臨此時</t>
  </si>
  <si>
    <t>非敝邦人</t>
  </si>
  <si>
    <t>這是錢塘人</t>
  </si>
  <si>
    <t>非=아니다 · 人=사람</t>
  </si>
  <si>
    <t>名廷筠</t>
  </si>
  <si>
    <t>是=옳다·이것 · 錢=엽전 · 人=사람</t>
  </si>
  <si>
    <t>卽今中書舍人</t>
  </si>
  <si>
    <t>名=이름</t>
  </si>
  <si>
    <t>人畜暍死</t>
  </si>
  <si>
    <t>不計其數</t>
  </si>
  <si>
    <t>商旅不行</t>
  </si>
  <si>
    <t>不=아니다 · 其=그 · 數=세다·수</t>
  </si>
  <si>
    <t>居人晝夜</t>
  </si>
  <si>
    <t>商=장사하다 · 旅=나그네 · 不=아니다 · 行=걸어가다</t>
  </si>
  <si>
    <t>渾脫</t>
  </si>
  <si>
    <t>居=머물러 살다 · 人=사람</t>
  </si>
  <si>
    <t>大約近龍處</t>
  </si>
  <si>
    <t>樹木土石</t>
  </si>
  <si>
    <t>倍添烘焙</t>
  </si>
  <si>
    <t>井泉皆</t>
  </si>
  <si>
    <t>倍=갑절</t>
  </si>
  <si>
    <t>沸</t>
  </si>
  <si>
    <t>秋亦爲春</t>
  </si>
  <si>
    <t>謂其致旱歲歉也</t>
  </si>
  <si>
    <t>故貧人謀事違心</t>
  </si>
  <si>
    <t>謂=이르다 · 其=그 · 致=이르게 하다 · 旱=가뭄 · 歲=한 해 · 也=단정하는 조사</t>
  </si>
  <si>
    <t>稱罡鐵之秋</t>
  </si>
  <si>
    <t>故=까닭 · 貧=재물이 모자라다 · 人=사람 · 事=일 · 心=마음</t>
  </si>
  <si>
    <t>裴生曰</t>
  </si>
  <si>
    <t>稱=일컫다 · 鐵=무쇠 · 之=가다 (조사로도 쓰임) · 秋=가을</t>
  </si>
  <si>
    <t>罡鐵之秋</t>
  </si>
  <si>
    <t>흉년</t>
  </si>
  <si>
    <t>강철의 계절이 흉년의 혹독함으로 옮겨감</t>
  </si>
  <si>
    <t>乃丁是</t>
  </si>
  <si>
    <t>如何不貧</t>
  </si>
  <si>
    <t>鐵=무쇠 · 之=가다 (조사로도 쓰임) · 秋=가을</t>
  </si>
  <si>
    <t>강철의 계절이 흉년의 혹독함으로 옮겨감(반복)</t>
  </si>
  <si>
    <t>乃長吟曰</t>
  </si>
  <si>
    <t>如=같다 · 何=무엇 · 不=아니다 · 貧=재물이 모자라다</t>
  </si>
  <si>
    <t>罡處</t>
  </si>
  <si>
    <t>乃=이에 · 長=길다·자라다 · 曰=말하다</t>
  </si>
  <si>
    <t>聲也</t>
  </si>
  <si>
    <t>諸公俱是吳蜀客商</t>
  </si>
  <si>
    <t>遠地經歲</t>
  </si>
  <si>
    <t>諸=여러 · 公=공변되다·귀인 · 俱=함께 · 是=옳다·이것 · 客=손님 · 商=장사하다</t>
  </si>
  <si>
    <t>能無鄕思否</t>
  </si>
  <si>
    <t>遠=멀다 · 地=땅 · 經=베의 날실 · 歲=한 해</t>
  </si>
  <si>
    <t>躬耕隴畝</t>
  </si>
  <si>
    <t>仰事俯育</t>
  </si>
  <si>
    <t>而專逐末利</t>
  </si>
  <si>
    <t>事=일</t>
  </si>
  <si>
    <t>遠別家鄕</t>
  </si>
  <si>
    <t>而=말 잇는 조사 · 逐=짐승을 뒤쫓다 · 末=끝 · 利=날이 날카롭다 → 이롭다</t>
  </si>
  <si>
    <t>末利</t>
  </si>
  <si>
    <t>상업 이익</t>
  </si>
  <si>
    <t>雖富埒猗頓</t>
  </si>
  <si>
    <t>遠=멀다 · 家=집</t>
  </si>
  <si>
    <t>名如陶朱</t>
  </si>
  <si>
    <t>雖=비록 · 富=재물이 넉넉하다 · 埒=낮은 담</t>
  </si>
  <si>
    <t>有何樂哉</t>
  </si>
  <si>
    <t>名=이름 · 如=같다</t>
  </si>
  <si>
    <t>역사 인물의 전거가 명성의 척도로 옮겨감(직유)</t>
  </si>
  <si>
    <t>雖歎黃犬</t>
  </si>
  <si>
    <t>復何益哉</t>
  </si>
  <si>
    <t>吾輩學殖荒落</t>
  </si>
  <si>
    <t>何=무엇 · 益=더하다</t>
  </si>
  <si>
    <t>望絶鴻漸</t>
  </si>
  <si>
    <t>吾=나 · 輩=무리 · 學=배우다 · 殖=초목이 자라 불다 · 荒=땅이 거칠어지다 · 落=잎이 지다</t>
  </si>
  <si>
    <t>TD-3 인식·진위</t>
  </si>
  <si>
    <t>學殖荒落</t>
  </si>
  <si>
    <t>학문의 퇴락</t>
  </si>
  <si>
    <t>심어 기름과 황폐해짐이 학업의 쇠퇴로 옮겨감</t>
  </si>
  <si>
    <t>而亦不能血指汗顔</t>
  </si>
  <si>
    <t>望=바라보다</t>
  </si>
  <si>
    <t>鴻漸</t>
  </si>
  <si>
    <t>입신</t>
  </si>
  <si>
    <t>기러기의 나아감이 벼슬길의 진출로 옮겨감</t>
  </si>
  <si>
    <t>似此百年</t>
  </si>
  <si>
    <t>不如死之久也</t>
  </si>
  <si>
    <t>開舖貨居</t>
  </si>
  <si>
    <t>不=아니다 · 如=같다 · 死=죽다 · 之=가다 (조사로도 쓰임) · 久=오래되다 · 也=단정하는 조사</t>
  </si>
  <si>
    <t>雖</t>
  </si>
  <si>
    <t>開=열다 · 舖=가게 · 貨=사고파는 물건 · 居=머물러 살다</t>
  </si>
  <si>
    <t>貨居</t>
  </si>
  <si>
    <t>재고</t>
  </si>
  <si>
    <t>云下流</t>
  </si>
  <si>
    <t>雖=비록</t>
  </si>
  <si>
    <t>三人行必有我師</t>
  </si>
  <si>
    <t>二人同心</t>
  </si>
  <si>
    <t>其利斷金</t>
  </si>
  <si>
    <t>二=둘 · 人=사람 · 同=같다 · 心=마음</t>
  </si>
  <si>
    <t>天下至樂</t>
  </si>
  <si>
    <t>其=그 · 利=날이 날카롭다 → 이롭다 · 金=쇠붙이</t>
  </si>
  <si>
    <t>利斷金</t>
  </si>
  <si>
    <t>우정</t>
  </si>
  <si>
    <t>쇠를 끊는 예리함이 단결의 힘으로 옮겨감</t>
  </si>
  <si>
    <t>無逾於此</t>
  </si>
  <si>
    <t>天=하늘 · 下=아래쪽 · 至=이르다</t>
  </si>
  <si>
    <t>我朝有禁</t>
  </si>
  <si>
    <t>仕宦家不得與商工通婚</t>
  </si>
  <si>
    <t>我=나 · 朝=아침·조정 · 有=있다</t>
  </si>
  <si>
    <t>以淸仕路</t>
  </si>
  <si>
    <t>家=집 · 不=아니다 · 得=얻다 · 與=주다 · 商=장사하다 · 工=장인 · 通=통하다</t>
  </si>
  <si>
    <t>所以貴道賤利</t>
  </si>
  <si>
    <t>以=~로써 · 淸=맑다 · 路=길</t>
  </si>
  <si>
    <t>淸仕路</t>
  </si>
  <si>
    <t>벼슬길</t>
  </si>
  <si>
    <t>물의 맑음과 길이 사환의 결백으로 옮겨감</t>
  </si>
  <si>
    <t>崇本抑末</t>
  </si>
  <si>
    <t>所=바·곳 · 以=~로써 · 貴=귀하다 · 道=길 · 賤=천하다 · 利=날이 날카롭다 → 이롭다</t>
  </si>
  <si>
    <t>吾輩俱是家世做賣買的</t>
  </si>
  <si>
    <t>本=나무의 뿌리 · 末=끝</t>
  </si>
  <si>
    <t>신분 위계</t>
  </si>
  <si>
    <t>초목의 뿌리와 가지가 농상의 서열로 옮겨감</t>
  </si>
  <si>
    <t>未得士家爲婚</t>
  </si>
  <si>
    <t>吾=나 · 輩=무리 · 俱=함께 · 是=옳다·이것 · 家=집 · 世=세상 · 做=하다 (백화) · 賣=팔다 · 買=사다 · 的=~의 (백화)</t>
  </si>
  <si>
    <t>雖納貲輸米權補生員</t>
  </si>
  <si>
    <t>未=아직 ~않다 · 得=얻다 · 士=선비 · 家=집 · 爲=하다·되다</t>
  </si>
  <si>
    <t>亦不許鄕貢爲擧人</t>
  </si>
  <si>
    <t>雖=비록 · 輸=실어 보내다 · 米=쌀 · 權=저울추 · 生=낳다·살다</t>
  </si>
  <si>
    <t>費生曰</t>
  </si>
  <si>
    <t>亦=또한 · 不=아니다 · 許=허락하다 · 貢=바치는 물건 · 爲=하다·되다 · 人=사람</t>
  </si>
  <si>
    <t>此法只施</t>
  </si>
  <si>
    <t>諸生亦有許多名目</t>
  </si>
  <si>
    <t>有廩生監生貢</t>
  </si>
  <si>
    <t>諸=여러 · 生=낳다·살다 · 亦=또한 · 有=있다 · 許=허락하다 · 多=많다 · 名=이름 · 目=눈</t>
  </si>
  <si>
    <t>有=있다 · 生=낳다·살다 · 貢=바치는 물건</t>
  </si>
  <si>
    <t>以生員陞補</t>
  </si>
  <si>
    <t>求人</t>
  </si>
  <si>
    <t>不如求己</t>
  </si>
  <si>
    <t>所以做賣買的</t>
  </si>
  <si>
    <t>不=아니다 · 如=같다 · 求=구하다</t>
  </si>
  <si>
    <t>自無此惡况苦景也</t>
  </si>
  <si>
    <t>所=바·곳 · 以=~로써 · 做=하다 (백화) · 賣=팔다 · 買=사다 · 的=~의 (백화)</t>
  </si>
  <si>
    <t>自=스스로 · 無=없다 · 此=이것 · 惡=모질다 · 苦=맛이 쓰다 · 也=단정하는 조사</t>
  </si>
  <si>
    <t>是日通行八十五里</t>
  </si>
  <si>
    <t>宿孤家子</t>
  </si>
  <si>
    <t>早發瀋陽至歌商樓</t>
  </si>
  <si>
    <t>家=집 · 子=아들</t>
  </si>
  <si>
    <t>獨裴寬出迎</t>
  </si>
  <si>
    <t>陽=볕 · 至=이르다 · 商=장사하다 · 樓=다락</t>
  </si>
  <si>
    <t>溫伯</t>
  </si>
  <si>
    <t>獨=홀로 · 出=나가다</t>
  </si>
  <si>
    <t>穩睡一頓</t>
  </si>
  <si>
    <t>精神始淸</t>
  </si>
  <si>
    <t>物色倍新</t>
  </si>
  <si>
    <t>神=신령 · 始=처음 · 淸=맑다</t>
  </si>
  <si>
    <t>張福曰</t>
  </si>
  <si>
    <t>物=물건 · 色=빛깔 · 倍=갑절 · 新=새롭다</t>
  </si>
  <si>
    <t>俄</t>
  </si>
  <si>
    <t>召父鼎</t>
  </si>
  <si>
    <t>亞虎父鼎</t>
  </si>
  <si>
    <t>此商周上賞</t>
  </si>
  <si>
    <t>鼎=솥</t>
  </si>
  <si>
    <t>周王伯鼎</t>
  </si>
  <si>
    <t>此=이것 · 商=장사하다 · 周=두루 · 上=위쪽</t>
  </si>
  <si>
    <t>單徒鼎</t>
  </si>
  <si>
    <t>周=두루 · 王=임금 · 鼎=솥</t>
  </si>
  <si>
    <t>最宜書齋</t>
  </si>
  <si>
    <t>薰燎</t>
  </si>
  <si>
    <t>商父乙鼎</t>
  </si>
  <si>
    <t>父已鼎</t>
  </si>
  <si>
    <t>商=장사하다 · 鼎=솥</t>
  </si>
  <si>
    <t>父癸鼎</t>
  </si>
  <si>
    <t>已=이미 · 鼎=솥</t>
  </si>
  <si>
    <t>商子鼎</t>
  </si>
  <si>
    <t>秉仲鼎</t>
  </si>
  <si>
    <t>商=장사하다 · 子=아들 · 鼎=솥</t>
  </si>
  <si>
    <t>饕餮鼎</t>
  </si>
  <si>
    <t>李婦鼎</t>
  </si>
  <si>
    <t>商魚鼎</t>
  </si>
  <si>
    <t>周益鼎</t>
  </si>
  <si>
    <t>商=장사하다 · 魚=물고기 · 鼎=솥</t>
  </si>
  <si>
    <t>商乙毛鼎</t>
  </si>
  <si>
    <t>周=두루 · 益=더하다 · 鼎=솥</t>
  </si>
  <si>
    <t>父甲鼎</t>
  </si>
  <si>
    <t>此皆元時姜娘子倣鑄</t>
  </si>
  <si>
    <t>兕敦</t>
  </si>
  <si>
    <t>翼敦</t>
  </si>
  <si>
    <t>商母乙鬲</t>
  </si>
  <si>
    <t>周蔑敖鬲</t>
  </si>
  <si>
    <t>商=장사하다</t>
  </si>
  <si>
    <t>商虎首彛</t>
  </si>
  <si>
    <t>周辛彛</t>
  </si>
  <si>
    <t>已上俱載博古圖中</t>
  </si>
  <si>
    <t>蝨緣蚤跳</t>
  </si>
  <si>
    <t>闖處廠間</t>
  </si>
  <si>
    <t>濫呼湧價</t>
  </si>
  <si>
    <t>處=곳</t>
  </si>
  <si>
    <t>不翅十倍</t>
  </si>
  <si>
    <t>湧=물이 솟다 · 價=값</t>
  </si>
  <si>
    <t>湧價</t>
  </si>
  <si>
    <t>가격 폭등</t>
  </si>
  <si>
    <t>물이 솟구침이 값의 급등으로 옮겨감</t>
  </si>
  <si>
    <t>甘言利口</t>
  </si>
  <si>
    <t>不=아니다 · 十=열 · 倍=갑절</t>
  </si>
  <si>
    <t>배수 표현으로 값을 부풀림</t>
  </si>
  <si>
    <t>鎔人鐵膓</t>
  </si>
  <si>
    <t>甘=맛이 달다 · 言=말하다 · 利=날이 날카롭다 → 이롭다 · 口=입</t>
  </si>
  <si>
    <t>甘言</t>
  </si>
  <si>
    <t>감언</t>
  </si>
  <si>
    <t>맛의 달콤함이 말의 회유로 옮겨감</t>
  </si>
  <si>
    <t>僕這一路</t>
  </si>
  <si>
    <t>鎔=쇠를 녹이다 · 人=사람 · 鐵=무쇠 · 膓=창자</t>
  </si>
  <si>
    <t>마음의 동요</t>
  </si>
  <si>
    <t>쇠가 녹음이 굳은 마음의 무너짐으로 옮겨감</t>
  </si>
  <si>
    <t>其勢則然</t>
  </si>
  <si>
    <t>所可恨者</t>
  </si>
  <si>
    <t>兼輸買笑之直</t>
  </si>
  <si>
    <t>所=바·곳 · 可=옳다·가하다 · 者=~하는 것·사람</t>
  </si>
  <si>
    <t>是所謂重利盜跖也</t>
  </si>
  <si>
    <t>輸=실어 보내다 · 買=사다 · 笑=웃다 · 之=가다 (조사로도 쓰임)</t>
  </si>
  <si>
    <t>買笑</t>
  </si>
  <si>
    <t>기방 유흥</t>
  </si>
  <si>
    <t>상거래가 웃음의 매매로 옮겨감</t>
  </si>
  <si>
    <t>今送足下入都</t>
  </si>
  <si>
    <t>是=옳다·이것 · 所=바·곳 · 謂=이르다 · 重=무겁다 · 利=날이 날카롭다 → 이롭다 · 也=단정하는 조사</t>
  </si>
  <si>
    <t>盜跖</t>
  </si>
  <si>
    <t>폭리</t>
  </si>
  <si>
    <t>역사 인물의 전거가 폭리의 지탄으로 옮겨감</t>
  </si>
  <si>
    <t>所以眷眷貢愚者</t>
  </si>
  <si>
    <t>今=이제 · 送=보내다 · 足=발 · 下=아래쪽 · 入=들다 · 都=도읍</t>
  </si>
  <si>
    <t>誠爲異邦君子</t>
  </si>
  <si>
    <t>所=바·곳 · 以=~로써 · 貢=바치는 물건 · 者=~하는 것·사람</t>
  </si>
  <si>
    <t>他日東還</t>
  </si>
  <si>
    <t>爲=하다·되다 · 君=임금·그대 · 子=아들</t>
  </si>
  <si>
    <t>時必不見外</t>
  </si>
  <si>
    <t>並囑台村爲人磊落</t>
  </si>
  <si>
    <t>一見可契</t>
  </si>
  <si>
    <t>爲=하다·되다 · 人=사람 · 落=잎이 지다</t>
  </si>
  <si>
    <t>庶無誤薦之辜</t>
  </si>
  <si>
    <t>一=하나 · 見=보다 · 可=옳다·가하다 · 契=새긴 문서</t>
  </si>
  <si>
    <t>並希朴公老爺</t>
  </si>
  <si>
    <t>無=없다 · 之=가다 (조사로도 쓰임)</t>
  </si>
  <si>
    <t>行不數里</t>
  </si>
  <si>
    <t>白霧漫漫</t>
  </si>
  <si>
    <t>大野浸成水銀</t>
  </si>
  <si>
    <t>霧=안개</t>
  </si>
  <si>
    <t>海</t>
  </si>
  <si>
    <t>大=크다 · 浸=물에 잠기다 · 成=이루다 · 水=물 · 銀=은</t>
  </si>
  <si>
    <t>水銀海</t>
  </si>
  <si>
    <t>안개 덮인 벌판</t>
  </si>
  <si>
    <t>수은의 바다가 안개 덮인 벌판으로 옮겨감</t>
  </si>
  <si>
    <t>一隊灣商相語而行</t>
  </si>
  <si>
    <t>海=바다</t>
  </si>
  <si>
    <t>矇矓如夢中讀奇書</t>
  </si>
  <si>
    <t>一=하나 · 商=장사하다 · 相=서로 · 語=말하다 · 而=말 잇는 조사 · 行=걸어가다</t>
  </si>
  <si>
    <t>不甚了了</t>
  </si>
  <si>
    <t>如=같다 · 中=가운데 · 奇=기이하다 · 書=글</t>
  </si>
  <si>
    <t>市肆閭閻</t>
  </si>
  <si>
    <t>不减遼東</t>
  </si>
  <si>
    <t>入一典當舖</t>
  </si>
  <si>
    <t>不=아니다 · 東=동쪽</t>
  </si>
  <si>
    <t>滿庭葡萄架</t>
  </si>
  <si>
    <t>入=들다 · 一=하나 · 當=마땅하다 · 舖=가게</t>
  </si>
  <si>
    <t>綠陰玲瓏</t>
  </si>
  <si>
    <t>每見欺霜賽雪四個字揭在門楣上</t>
  </si>
  <si>
    <t>意內以爲</t>
  </si>
  <si>
    <t>做個賣買的</t>
  </si>
  <si>
    <t>內=안 · 以=~로써 · 爲=하다·되다</t>
  </si>
  <si>
    <t>自衒其本分心地皎潔</t>
  </si>
  <si>
    <t>做=하다 (백화) · 個=낱 · 賣=팔다 · 買=사다 · 的=~의 (백화)</t>
  </si>
  <si>
    <t>與秋霜一般</t>
  </si>
  <si>
    <t>自=스스로 · 其=그 · 本=나무의 뿌리 · 分=나누다 · 心=마음 · 地=땅</t>
  </si>
  <si>
    <t>인접 절 「與秋霜一般」에 은유가 있으나 판정 대상 범위 밖이므로 계수하지 않음</t>
  </si>
  <si>
    <t>余遂道再看兒</t>
  </si>
  <si>
    <t>起身出</t>
  </si>
  <si>
    <t>默罵道小去處做賣買的</t>
  </si>
  <si>
    <t>起=몸을 일으키다 · 身=몸 · 出=나가다</t>
  </si>
  <si>
    <t>惡能及瀋陽諸人</t>
  </si>
  <si>
    <t>道=길 · 小=작다 · 去=가다 · 處=곳 · 做=하다 (백화) · 賣=팔다 · 買=사다 · 的=~의 (백화)</t>
  </si>
  <si>
    <t>這個麤莽漢</t>
  </si>
  <si>
    <t>惡=모질다 · 能=능하다 · 及=미치다 · 陽=볕 · 諸=여러 · 人=사람</t>
  </si>
  <si>
    <t>而自鳳城以來</t>
  </si>
  <si>
    <t>奢儉不同</t>
  </si>
  <si>
    <t>摠是一樣規模</t>
  </si>
  <si>
    <t>奢=사치하다 · 儉=검소하다 · 不=아니다 · 同=같다</t>
  </si>
  <si>
    <t>有時瞢騰過眼者</t>
  </si>
  <si>
    <t>是=옳다·이것 · 一=하나</t>
  </si>
  <si>
    <t>指着三五間獨戶老屋</t>
  </si>
  <si>
    <t>道俺老身一口兒</t>
  </si>
  <si>
    <t>路傍賣些甛瓜資生</t>
  </si>
  <si>
    <t>道=길 · 老=늙다 · 身=몸 · 一=하나 · 口=입</t>
  </si>
  <si>
    <t>你們高麗人三</t>
  </si>
  <si>
    <t>賣 資</t>
  </si>
  <si>
    <t>路=길 · 賣=팔다 · 資=밑천 · 生=낳다·살다</t>
  </si>
  <si>
    <t>五十</t>
  </si>
  <si>
    <t>高=높다 · 麗=곱다 · 人=사람 · 三=셋</t>
  </si>
  <si>
    <t>俄刻過去時</t>
  </si>
  <si>
    <t>暫停此中</t>
  </si>
  <si>
    <t>初則出價賣喫</t>
  </si>
  <si>
    <t>此=이것 · 中=가운데</t>
  </si>
  <si>
    <t>臨起一個個各手執蓏</t>
  </si>
  <si>
    <t>賣 價</t>
  </si>
  <si>
    <t>初=처음 · 則=곧 · 出=나가다 · 價=값 · 賣=팔다</t>
  </si>
  <si>
    <t>鬨堂都走了</t>
  </si>
  <si>
    <t>起=몸을 일으키다 · 一=하나 · 個=낱 · 手=손</t>
  </si>
  <si>
    <t>以無爲答</t>
  </si>
  <si>
    <t>則緊抱昌大之腰</t>
  </si>
  <si>
    <t>强要買蓏</t>
  </si>
  <si>
    <t>則=곧 · 大=크다 · 之=가다 (조사로도 쓰임)</t>
  </si>
  <si>
    <t>因將五顆甘蓏來置面前</t>
  </si>
  <si>
    <t>强=굳세다 · 要=구하다 · 買=사다</t>
  </si>
  <si>
    <t>余亦欲解渴</t>
  </si>
  <si>
    <t>因=말미암다 · 五=다섯 · 甘=맛이 달다 · 來=오다 · 置=두다 · 面=얼굴 · 前=앞</t>
  </si>
  <si>
    <t>始見其垂淚而哀之</t>
  </si>
  <si>
    <t>末乃勒</t>
  </si>
  <si>
    <t>賣九蓏</t>
  </si>
  <si>
    <t>末=끝 · 乃=이에</t>
  </si>
  <si>
    <t>堅討近百高價</t>
  </si>
  <si>
    <t>賣=팔다 · 九=아홉</t>
  </si>
  <si>
    <t>殊可痛歎</t>
  </si>
  <si>
    <t>百=일백 · 高=높다 · 價=값</t>
  </si>
  <si>
    <t>然我隷沿路行刦</t>
  </si>
  <si>
    <t>可=옳다·가하다 · 痛=아프다</t>
  </si>
  <si>
    <t>下隷刦蓏事</t>
  </si>
  <si>
    <t>諸馬頭皆言元無是事</t>
  </si>
  <si>
    <t>獨戶賣蓏的老漢</t>
  </si>
  <si>
    <t>諸=여러 · 馬=말 · 頭=머리 · 皆=모두 · 言=말하다 · 無=없다 · 是=옳다·이것 · 事=일</t>
  </si>
  <si>
    <t>元來姦巧無雙</t>
  </si>
  <si>
    <t>獨=홀로 · 賣=팔다 · 的=~의 (백화) · 老=늙다 · 漢=한나라·사내</t>
  </si>
  <si>
    <t>見書房主落</t>
  </si>
  <si>
    <t>來=오다 · 無=없다</t>
  </si>
  <si>
    <t>故作可憐之態</t>
  </si>
  <si>
    <t>要得淸心丸也</t>
  </si>
  <si>
    <t>余始覺其見賣</t>
  </si>
  <si>
    <t>要=구하다 · 得=얻다 · 淸=맑다 · 心=마음 · 也=단정하는 조사</t>
  </si>
  <si>
    <t>念其賣蓏事</t>
  </si>
  <si>
    <t>余=나 · 始=처음 · 其=그 · 見=보다 · 賣=팔다</t>
  </si>
  <si>
    <t>尤可切痛</t>
  </si>
  <si>
    <t>其=그 · 賣=팔다 · 事=일</t>
  </si>
  <si>
    <t>况其副急淚</t>
  </si>
  <si>
    <t>咫尺難救</t>
  </si>
  <si>
    <t>昨年春</t>
  </si>
  <si>
    <t>山西賈客二十餘人</t>
  </si>
  <si>
    <t>年=해 · 春=봄</t>
  </si>
  <si>
    <t>皆乘健</t>
  </si>
  <si>
    <t>山=산 · 西=서쪽 · 賈=장사하다 · 客=손님 · 二=둘 · 十=열 · 餘=남다 · 人=사람</t>
  </si>
  <si>
    <t>騾至一板門</t>
  </si>
  <si>
    <t>二百餘里之間</t>
  </si>
  <si>
    <t>一梁爲路</t>
  </si>
  <si>
    <t>非但物力之富壯</t>
  </si>
  <si>
    <t>一=하나 · 爲=하다·되다 · 路=길</t>
  </si>
  <si>
    <t>木頭無一參</t>
  </si>
  <si>
    <t>非=아니다 · 物=물건 · 力=힘 · 之=가다 (조사로도 쓰임) · 富=재물이 넉넉하다</t>
  </si>
  <si>
    <t>差</t>
  </si>
  <si>
    <t>頭=머리 · 無=없다 · 一=하나</t>
  </si>
  <si>
    <t>此亡</t>
  </si>
  <si>
    <t>者之少女</t>
  </si>
  <si>
    <t>嫁爲山海關富商之妻</t>
  </si>
  <si>
    <t>者=~하는 것·사람 · 之=가다 (조사로도 쓰임) · 少=적다</t>
  </si>
  <si>
    <t>良久</t>
  </si>
  <si>
    <t>富 商</t>
  </si>
  <si>
    <t>爲=하다·되다 · 山=산 · 海=바다 · 關=빗장·관문 · 富=재물이 넉넉하다 · 商=장사하다 · 之=가다 (조사로도 쓰임)</t>
  </si>
  <si>
    <t>喪人自簟屋出坐椅上</t>
  </si>
  <si>
    <t>久=오래되다</t>
  </si>
  <si>
    <t>不敢對頭坐</t>
  </si>
  <si>
    <t>著</t>
  </si>
  <si>
    <t>因出外持白紙一卷錢一鈔而來</t>
  </si>
  <si>
    <t>置主人面前</t>
  </si>
  <si>
    <t>因=말미암다 · 出=나가다 · 外=바깥 · 一=하나 · 錢=엽전 · 而=말 잇는 조사 · 來=오다</t>
  </si>
  <si>
    <t>爲道余致賻</t>
  </si>
  <si>
    <t>置=두다 · 主=주인 · 人=사람 · 面=얼굴 · 前=앞</t>
  </si>
  <si>
    <t>大而頗破敗</t>
  </si>
  <si>
    <t>碑有朝鮮人施主姓名</t>
  </si>
  <si>
    <t>似皆灣商也</t>
  </si>
  <si>
    <t>有=있다 · 朝=아침·조정 · 人=사람 · 主=주인 · 名=이름</t>
  </si>
  <si>
    <t>自此始見醫巫閭山</t>
  </si>
  <si>
    <t>皆=모두 · 商=장사하다 · 也=단정하는 조사</t>
  </si>
  <si>
    <t>橫障西北天際</t>
  </si>
  <si>
    <t>自=스스로 · 此=이것 · 始=처음 · 見=보다 · 山=산</t>
  </si>
  <si>
    <t>去歲來此</t>
  </si>
  <si>
    <t>新開首飾舖</t>
  </si>
  <si>
    <t>收買釵釧簪珥彄環等物</t>
  </si>
  <si>
    <t>起號晩翠堂</t>
  </si>
  <si>
    <t>收=거두다 · 買=사다 · 等=무리 · 物=물건</t>
  </si>
  <si>
    <t>三人俱姓崔</t>
  </si>
  <si>
    <t>舖主道是也</t>
  </si>
  <si>
    <t>霍生曰</t>
  </si>
  <si>
    <t>俺舖專一收賣婦人的首飾</t>
  </si>
  <si>
    <t>不是麪家</t>
  </si>
  <si>
    <t>舖=가게 · 一=하나 · 收=거두다 · 賣=팔다 · 人=사람 · 的=~의 (백화)</t>
  </si>
  <si>
    <t>余始覺其誤</t>
  </si>
  <si>
    <t>不=아니다 · 是=옳다·이것 · 家=집</t>
  </si>
  <si>
    <t>霍生問此號何義</t>
  </si>
  <si>
    <t>今貴舖是收賣婦人的首飾</t>
  </si>
  <si>
    <t>詩所稱副笄六珈者是也</t>
  </si>
  <si>
    <t>今=이제 · 貴=귀하다 · 舖=가게 · 是=옳다·이것 · 收=거두다 · 賣=팔다 · 人=사람 · 的=~의 (백화)</t>
  </si>
  <si>
    <t>霍生謝曰</t>
  </si>
  <si>
    <t>所=바·곳 · 稱=일컫다 · 六=여섯 · 者=~하는 것·사람 · 是=옳다·이것 · 也=단정하는 조사</t>
  </si>
  <si>
    <t>在承德南</t>
  </si>
  <si>
    <t>一名蓒芋濼水</t>
  </si>
  <si>
    <t>發源長白山</t>
  </si>
  <si>
    <t>一=하나 · 名=이름 · 水=물</t>
  </si>
  <si>
    <t>吾今疾書至此</t>
  </si>
  <si>
    <t>而一墨之頃</t>
  </si>
  <si>
    <t>不過瞬息</t>
  </si>
  <si>
    <t>而=말 잇는 조사 · 一=하나 · 之=가다 (조사로도 쓰임)</t>
  </si>
  <si>
    <t>一瞬一息之頃</t>
  </si>
  <si>
    <t>不=아니다 · 過=지나다 · 瞬=눈을 깜빡이다 · 息=숨쉬다</t>
  </si>
  <si>
    <t>瞬息</t>
  </si>
  <si>
    <t>시간의 체감</t>
  </si>
  <si>
    <t>눈 깜빡임과 숨이 시간의 단위로 옮겨감</t>
  </si>
  <si>
    <t>奄成小古小今</t>
  </si>
  <si>
    <t>一=하나 · 瞬=눈을 깜빡이다 · 息=숨쉬다 · 之=가다 (조사로도 쓰임)</t>
  </si>
  <si>
    <t>一瞬一息</t>
  </si>
  <si>
    <t>則一古一今</t>
  </si>
  <si>
    <t>成=이루다 · 小=작다 · 古=옛 · 今=이제</t>
  </si>
  <si>
    <t>亦可謂大瞬</t>
  </si>
  <si>
    <t>大息矣</t>
  </si>
  <si>
    <t>亦=또한 · 可=옳다·가하다 · 謂=이르다 · 大=크다 · 瞬=눈을 깜빡이다</t>
  </si>
  <si>
    <t>大瞬</t>
  </si>
  <si>
    <t>눈 깜빡임이 확대되어 큰 시간 단위로 옮겨감</t>
  </si>
  <si>
    <t>乃欲立名立事於其間</t>
  </si>
  <si>
    <t>大=크다 · 息=숨쉬다 · 矣=마치는 조사</t>
  </si>
  <si>
    <t>豈不哀哉</t>
  </si>
  <si>
    <t>乃=이에 · 欲=하고자 하다 · 立=서다 · 名=이름 · 事=일 · 於=~에 · 其=그</t>
  </si>
  <si>
    <t>霧漫漫</t>
  </si>
  <si>
    <t>上承月光</t>
  </si>
  <si>
    <t>如水銀海</t>
  </si>
  <si>
    <t>上=위쪽 · 月=달 · 光=빛</t>
  </si>
  <si>
    <t>海底殷殷有聲如鼾鼻</t>
  </si>
  <si>
    <t>如=같다 · 水=물 · 銀=은 · 海=바다</t>
  </si>
  <si>
    <t>달빛 어린 물결</t>
  </si>
  <si>
    <t>수은의 바다가 달빛 어린 물결로 옮겨감(직유)</t>
  </si>
  <si>
    <t>寺僧相語曰</t>
  </si>
  <si>
    <t>海=바다 · 有=있다 · 聲=소리 · 如=같다</t>
  </si>
  <si>
    <t>如鼾鼻</t>
  </si>
  <si>
    <t>물소리</t>
  </si>
  <si>
    <t>코 고는 소리가 물소리로 옮겨감(직유)</t>
  </si>
  <si>
    <t>士庶人也薙髮</t>
  </si>
  <si>
    <t>雖功德侔殷周</t>
  </si>
  <si>
    <t>富强邁秦漢</t>
  </si>
  <si>
    <t>雖=비록 · 德=덕 · 周=두루</t>
  </si>
  <si>
    <t>自生民以來</t>
  </si>
  <si>
    <t>富=재물이 넉넉하다 · 强=굳세다 · 邁=멀리 나아가다 · 漢=한나라·사내</t>
  </si>
  <si>
    <t>邁</t>
  </si>
  <si>
    <t>능가</t>
  </si>
  <si>
    <t>앞질러 감이 국력의 우월로 옮겨감</t>
  </si>
  <si>
    <t>未有薙髮之天子也</t>
  </si>
  <si>
    <t>自=스스로 · 生=낳다·살다 · 民=백성 · 以=~로써 · 來=오다</t>
  </si>
  <si>
    <t>固自</t>
  </si>
  <si>
    <t>在也</t>
  </si>
  <si>
    <t>正德利用厚生之具</t>
  </si>
  <si>
    <t>在=있다 · 也=단정하는 조사</t>
  </si>
  <si>
    <t>固自如也</t>
  </si>
  <si>
    <t>正=바르다 · 德=덕 · 利=날이 날카롭다 → 이롭다 · 用=쓰다 · 厚=두껍다 · 生=낳다·살다 · 之=가다 (조사로도 쓰임)</t>
  </si>
  <si>
    <t>崔盧王謝之氏族固不廢也</t>
  </si>
  <si>
    <t>自=스스로 · 如=같다 · 也=단정하는 조사</t>
  </si>
  <si>
    <t>固不變也</t>
  </si>
  <si>
    <t>彼胡虜者</t>
  </si>
  <si>
    <t>誠知中國之可利</t>
  </si>
  <si>
    <t>彼=저 · 者=~하는 것·사람</t>
  </si>
  <si>
    <t>而足以久享</t>
  </si>
  <si>
    <t>知=알다 · 中=가운데 · 國=나라 · 之=가다 (조사로도 쓰임) · 可=옳다·가하다 · 利=날이 날카롭다 → 이롭다</t>
  </si>
  <si>
    <t>則至於奪而據</t>
  </si>
  <si>
    <t>而=말 잇는 조사 · 足=발 · 以=~로써 · 久=오래되다</t>
  </si>
  <si>
    <t>若固有之</t>
  </si>
  <si>
    <t>爲天下者</t>
  </si>
  <si>
    <t>苟利於民而厚於國</t>
  </si>
  <si>
    <t>爲=하다·되다 · 天=하늘 · 下=아래쪽 · 者=~하는 것·사람</t>
  </si>
  <si>
    <t>雖其法之或出於夷狄</t>
  </si>
  <si>
    <t>利=날이 날카롭다 → 이롭다 · 於=~에 · 民=백성 · 而=말 잇는 조사 · 厚=두껍다 · 國=나라</t>
  </si>
  <si>
    <t>厚於國</t>
  </si>
  <si>
    <t>국익</t>
  </si>
  <si>
    <t>두께가 나라의 이로움으로 옮겨감</t>
  </si>
  <si>
    <t>固將取而則之</t>
  </si>
  <si>
    <t>雖=비록 · 其=그 · 法=법 · 之=가다 (조사로도 쓰임) · 或=혹 · 出=나가다 · 於=~에</t>
  </si>
  <si>
    <t>自耕蠶陶冶</t>
  </si>
  <si>
    <t>以至通</t>
  </si>
  <si>
    <t>工惠商</t>
  </si>
  <si>
    <t>以=~로써 · 至=이르다 · 通=통하다</t>
  </si>
  <si>
    <t>莫不學焉</t>
  </si>
  <si>
    <t>工=장인 · 商=장사하다</t>
  </si>
  <si>
    <t>人十己百</t>
  </si>
  <si>
    <t>莫=없다 · 不=아니다 · 學=배우다 · 焉=어찌</t>
  </si>
  <si>
    <t>先利吾民</t>
  </si>
  <si>
    <t>人=사람 · 十=열 · 百=일백</t>
  </si>
  <si>
    <t>使吾民制梃</t>
  </si>
  <si>
    <t>先=먼저 · 利=날이 날카롭다 → 이롭다 · 吾=나 · 民=백성</t>
  </si>
  <si>
    <t>而足以撻彼之堅甲利兵</t>
  </si>
  <si>
    <t>使=시키다 · 吾=나 · 民=백성 · 制=만들다·제도</t>
  </si>
  <si>
    <t>然後謂中國無可觀可</t>
  </si>
  <si>
    <t>而=말 잇는 조사 · 足=발 · 以=~로써 · 彼=저 · 之=가다 (조사로도 쓰임) · 利=날이 날카롭다 → 이롭다 · 兵=무기</t>
  </si>
  <si>
    <t>然=그러하다 · 後=뒤 · 謂=이르다 · 中=가운데 · 國=나라 · 無=없다 · 可=옳다·가하다</t>
  </si>
  <si>
    <t>爲波濤之紋</t>
  </si>
  <si>
    <t>四合而成連環之形</t>
  </si>
  <si>
    <t>四背而成古魯錢</t>
  </si>
  <si>
    <t>四=넷 · 而=말 잇는 조사 · 成=이루다 · 連=잇다 · 之=가다 (조사로도 쓰임) · 形=모양</t>
  </si>
  <si>
    <t>嵌空玲瓏</t>
  </si>
  <si>
    <t>四=넷 · 而=말 잇는 조사 · 成=이루다 · 古=옛 · 錢=엽전</t>
  </si>
  <si>
    <t>外內交映</t>
  </si>
  <si>
    <t>之文章斯在矣</t>
  </si>
  <si>
    <t>民家門庭</t>
  </si>
  <si>
    <t>貧不能鋪甎</t>
  </si>
  <si>
    <t>民=백성 · 家=집 · 門=문</t>
  </si>
  <si>
    <t>則聚諸色琉璃碎瓦及水邊小礫之磨圓者</t>
  </si>
  <si>
    <t>貧=재물이 모자라다 · 不=아니다 · 能=능하다</t>
  </si>
  <si>
    <t>錯成花樹鳥獸之形</t>
  </si>
  <si>
    <t>則=곧 · 諸=여러 · 色=빛깔 · 瓦=기와 · 及=미치다 · 水=물 · 邊=가장자리 · 小=작다 · 之=가다 (조사로도 쓰임) · 者=~하는 것·사람</t>
  </si>
  <si>
    <t>舜封十有二山</t>
  </si>
  <si>
    <t>以醫巫閭爲幽州之鎭</t>
  </si>
  <si>
    <t>夏商周秦皆因之</t>
  </si>
  <si>
    <t>以=~로써 · 爲=하다·되다 · 州=고을 · 之=가다 (조사로도 쓰임)</t>
  </si>
  <si>
    <t>禮視嶽瀆</t>
  </si>
  <si>
    <t>商=장사하다 · 周=두루 · 皆=모두 · 因=말미암다 · 之=가다 (조사로도 쓰임)</t>
  </si>
  <si>
    <t>雖未知廟刱何代</t>
  </si>
  <si>
    <t>禮=예</t>
  </si>
  <si>
    <t>純石架</t>
  </si>
  <si>
    <t>起棟椽甍檐</t>
  </si>
  <si>
    <t>不資一</t>
  </si>
  <si>
    <t>木</t>
  </si>
  <si>
    <t>不=아니다 · 資=밑천 · 一=하나</t>
  </si>
  <si>
    <t>高四五丈</t>
  </si>
  <si>
    <t>或綾緞或羽緞爲帳</t>
  </si>
  <si>
    <t>或垂緗</t>
  </si>
  <si>
    <t>簾用銀鈕</t>
  </si>
  <si>
    <t>或=혹</t>
  </si>
  <si>
    <t>開閉左右</t>
  </si>
  <si>
    <t>用=쓰다 · 銀=은</t>
  </si>
  <si>
    <t>傅玻瓈爲窓</t>
  </si>
  <si>
    <t>開=열다 · 閉=닫다</t>
  </si>
  <si>
    <t>撑柱</t>
  </si>
  <si>
    <t>使不傾翻也</t>
  </si>
  <si>
    <t>沿路賣餠餌菓蓏者</t>
  </si>
  <si>
    <t>使=시키다 · 不=아니다 · 傾=한쪽으로 기울다 · 也=단정하는 조사</t>
  </si>
  <si>
    <t>皆用獨輪車</t>
  </si>
  <si>
    <t>路=길 · 賣=팔다 · 者=~하는 것·사람</t>
  </si>
  <si>
    <t>尤便於田中輸糞</t>
  </si>
  <si>
    <t>皆=모두 · 用=쓰다 · 獨=홀로 · 車=수레</t>
  </si>
  <si>
    <t>用旱之舟而能行之屋也</t>
  </si>
  <si>
    <t>有國之大用莫如車</t>
  </si>
  <si>
    <t>故周禮問國君之富</t>
  </si>
  <si>
    <t>有=있다 · 國=나라 · 之=가다 (조사로도 쓰임) · 大=크다 · 用=쓰다 · 莫=없다 · 如=같다 · 車=수레</t>
  </si>
  <si>
    <t>數車以</t>
  </si>
  <si>
    <t>故=까닭 · 周=두루 · 禮=예 · 問=묻다 · 國=나라 · 君=임금·그대 · 之=가다 (조사로도 쓰임) · 富=재물이 넉넉하다</t>
  </si>
  <si>
    <t>對</t>
  </si>
  <si>
    <t>數=세다·수 · 車=수레 · 以=~로써</t>
  </si>
  <si>
    <t>而亦莫不叱馭而過之</t>
  </si>
  <si>
    <t>是以關陜川蜀江淛閩廣之遠</t>
  </si>
  <si>
    <t>巨商大賈及絜眷赴官</t>
  </si>
  <si>
    <t>是=옳다·이것 · 以=~로써 · 關=빗장·관문 · 江=큰 강 · 廣=넓다 · 之=가다 (조사로도 쓰임) · 遠=멀다</t>
  </si>
  <si>
    <t>商=장사하다 · 大=크다 · 賈=장사하다 · 及=미치다 · 官=벼슬</t>
  </si>
  <si>
    <t>車轂相擊</t>
  </si>
  <si>
    <t>者=~하는 것·사람</t>
  </si>
  <si>
    <t>皆我人之所目擊</t>
  </si>
  <si>
    <t>亦有廢車而不行者乎</t>
  </si>
  <si>
    <t>所以中國之貨財殷富</t>
  </si>
  <si>
    <t>亦=또한 · 有=있다 · 廢=그만두다 · 車=수레 · 而=말 잇는 조사 · 不=아니다 · 行=걸어가다 · 者=~하는 것·사람 · 乎=의문의 조사</t>
  </si>
  <si>
    <t>不滯一方</t>
  </si>
  <si>
    <t>財 貨 富</t>
  </si>
  <si>
    <t>所=바·곳 · 以=~로써 · 中=가운데 · 國=나라 · 之=가다 (조사로도 쓰임) · 貨=사고파는 물건 · 財=재물 · 富=재물이 넉넉하다</t>
  </si>
  <si>
    <t>流行貿</t>
  </si>
  <si>
    <t>不=아니다 · 滯=물이 막혀 고이다 · 一=하나 · 方=모나다·바야흐로</t>
  </si>
  <si>
    <t>물이 막히지 않음이 재화의 순환으로 옮겨감</t>
  </si>
  <si>
    <t>遷</t>
  </si>
  <si>
    <t>皆用車之利也</t>
  </si>
  <si>
    <t>遷=옮겨 가다</t>
  </si>
  <si>
    <t>今以近效論之</t>
  </si>
  <si>
    <t>皆=모두 · 用=쓰다 · 車=수레 · 之=가다 (조사로도 쓰임) · 利=날이 날카롭다 → 이롭다 · 也=단정하는 조사</t>
  </si>
  <si>
    <t>我使之行</t>
  </si>
  <si>
    <t>今=이제 · 以=~로써 · 之=가다 (조사로도 쓰임)</t>
  </si>
  <si>
    <t>關東之千筒蠭蜜</t>
  </si>
  <si>
    <t>爲民生日用</t>
  </si>
  <si>
    <t>而莫不欲相資而相生也</t>
  </si>
  <si>
    <t>爲=하다·되다 · 民=백성 · 生=낳다·살다 · 日=해·날 · 用=쓰다</t>
  </si>
  <si>
    <t>然而此賤而彼貴</t>
  </si>
  <si>
    <t>而=말 잇는 조사 · 莫=없다 · 不=아니다 · 欲=하고자 하다 · 相=서로 · 資=밑천 · 生=낳다·살다 · 也=단정하는 조사</t>
  </si>
  <si>
    <t>聞名而不見者</t>
  </si>
  <si>
    <t>然=그러하다 · 而=말 잇는 조사 · 此=이것 · 賤=천하다 · 彼=저 · 貴=귀하다</t>
  </si>
  <si>
    <t>由無力而致之耳</t>
  </si>
  <si>
    <t>方數千里之國</t>
  </si>
  <si>
    <t>民萌產業</t>
  </si>
  <si>
    <t>方=모나다·바야흐로 · 數=세다·수 · 千=일천 · 之=가다 (조사로도 쓰임) · 國=나라</t>
  </si>
  <si>
    <t>若是其貧</t>
  </si>
  <si>
    <t>民=백성 · 萌=싹이 트다 · 業=생업</t>
  </si>
  <si>
    <t>民萌</t>
  </si>
  <si>
    <t>백성</t>
  </si>
  <si>
    <t>초목의 싹이 백성으로 옮겨감</t>
  </si>
  <si>
    <t>一言而蔽之曰車不行域中</t>
  </si>
  <si>
    <t>若=같다 · 是=옳다·이것 · 其=그 · 貧=재물이 모자라다</t>
  </si>
  <si>
    <t>請問其故</t>
  </si>
  <si>
    <t>一=하나 · 言=말하다 · 而=말 잇는 조사 · 之=가다 (조사로도 쓰임) · 曰=말하다 · 車=수레 · 不=아니다 · 行=걸어가다 · 中=가운데</t>
  </si>
  <si>
    <t>竭其心思目力手技</t>
  </si>
  <si>
    <t>而又經幾工倕</t>
  </si>
  <si>
    <t>又經商鞅</t>
  </si>
  <si>
    <t>而=말 잇는 조사 · 又=또 · 經=베의 날실 · 幾=몇 · 工=장인</t>
  </si>
  <si>
    <t>李斯一制度</t>
  </si>
  <si>
    <t>又=또 · 經=베의 날실 · 商=장사하다</t>
  </si>
  <si>
    <t>信縣官之學術</t>
  </si>
  <si>
    <t>一=하나 · 制=만들다·제도</t>
  </si>
  <si>
    <t>其講之熟而行之要</t>
  </si>
  <si>
    <t>豈徒然哉</t>
  </si>
  <si>
    <t>誠以利生民之日用</t>
  </si>
  <si>
    <t>而有國</t>
  </si>
  <si>
    <t>以=~로써 · 利=날이 날카롭다 → 이롭다 · 生=낳다·살다 · 民=백성 · 之=가다 (조사로도 쓰임) · 日=해·날 · 用=쓰다</t>
  </si>
  <si>
    <t>之大器也</t>
  </si>
  <si>
    <t>而=말 잇는 조사 · 有=있다 · 國=나라</t>
  </si>
  <si>
    <t>農政全書</t>
  </si>
  <si>
    <t>有心人可取而細攷焉</t>
  </si>
  <si>
    <t>則吾東生民之貧瘁欲死</t>
  </si>
  <si>
    <t>有=있다 · 心=마음 · 人=사람 · 可=옳다·가하다 · 取=가지다 · 而=말 잇는 조사 · 焉=어찌</t>
  </si>
  <si>
    <t>庶幾有瘳耳</t>
  </si>
  <si>
    <t>則=곧 · 吾=나 · 東=동쪽 · 生=낳다·살다 · 民=백성 · 之=가다 (조사로도 쓰임) · 貧=재물이 모자라다 · 瘁=병들어 야위다 · 欲=하고자 하다 · 死=죽다</t>
  </si>
  <si>
    <t>今以吾所目見救火之車</t>
  </si>
  <si>
    <t>幾=몇 · 有=있다 · 瘳=병이 낫다 · 耳=귀</t>
  </si>
  <si>
    <t>貧瘁</t>
  </si>
  <si>
    <t>피폐</t>
  </si>
  <si>
    <t>신체의 병듦이 민생의 피폐로 옮겨감</t>
  </si>
  <si>
    <t>繅車兩頭</t>
  </si>
  <si>
    <t>亦爲牙輪齟齬互當</t>
  </si>
  <si>
    <t>不息自轉</t>
  </si>
  <si>
    <t>亦=또한 · 爲=하다·되다 · 牙=어금니 · 當=마땅하다</t>
  </si>
  <si>
    <t>繅車者</t>
  </si>
  <si>
    <t>不=아니다 · 息=숨쉬다 · 自=스스로 · 轉=굴러 돌다</t>
  </si>
  <si>
    <t>계속 돎</t>
  </si>
  <si>
    <t>숨이 그치지 않음이 기계의 연속 회전으로 옮겨감</t>
  </si>
  <si>
    <t>大籰</t>
  </si>
  <si>
    <t>車=수레 · 者=~하는 것·사람</t>
  </si>
  <si>
    <t>雜畵雲物</t>
  </si>
  <si>
    <t>雉雀亭頂</t>
  </si>
  <si>
    <t>或爛銀</t>
  </si>
  <si>
    <t>或結五色絲爲紐</t>
  </si>
  <si>
    <t>或=혹 · 銀=은</t>
  </si>
  <si>
    <t>雙轅長幾七八丈</t>
  </si>
  <si>
    <t>或=혹 · 五=다섯 · 色=빛깔 · 絲=실 · 爲=하다·되다</t>
  </si>
  <si>
    <t>今行千餘里之間</t>
  </si>
  <si>
    <t>所經市舖若鳳城遼東盛京新民屯小黑山廣寧等處</t>
  </si>
  <si>
    <t>不無大小奢儉之別</t>
  </si>
  <si>
    <t>所=바·곳 · 經=베의 날실 · 市=저자 · 舖=가게 · 若=같다 · 城=성 · 東=동쪽 · 京=서울 · 新=새롭다 · 民=백성</t>
  </si>
  <si>
    <t>而盛京爲最</t>
  </si>
  <si>
    <t>不=아니다 · 無=없다 · 大=크다 · 小=작다 · 奢=사치하다 · 儉=검소하다 · 之=가다 (조사로도 쓰임)</t>
  </si>
  <si>
    <t>皆紋窓繡戶</t>
  </si>
  <si>
    <t>而=말 잇는 조사 · 京=서울 · 爲=하다·되다</t>
  </si>
  <si>
    <t>更無進步之地</t>
  </si>
  <si>
    <t>而不特椅卓簾帷毡毯器什花草</t>
  </si>
  <si>
    <t>無=없다 · 進=나아가다 · 之=가다 (조사로도 쓰임) · 地=땅</t>
  </si>
  <si>
    <t>俱是刱覩</t>
  </si>
  <si>
    <t>而=말 잇는 조사 · 不=아니다 · 器=그릇 · 什=열</t>
  </si>
  <si>
    <t>其招牌認榜</t>
  </si>
  <si>
    <t>俱=함께 · 是=옳다·이것</t>
  </si>
  <si>
    <t>卽其觀</t>
  </si>
  <si>
    <t>美</t>
  </si>
  <si>
    <t>浪費不啻千金</t>
  </si>
  <si>
    <t>盖不若是則賣買不旺</t>
  </si>
  <si>
    <t>浪=물결 · 不=아니다 · 千=일천 · 金=쇠붙이</t>
  </si>
  <si>
    <t>浪費</t>
  </si>
  <si>
    <t>낭비</t>
  </si>
  <si>
    <t>물결의 일렁임이 무분별한 지출로 옮겨감</t>
  </si>
  <si>
    <t>財神不祐</t>
  </si>
  <si>
    <t>不=아니다 · 若=같다 · 是=옳다·이것 · 則=곧 · 賣=팔다 · 買=사다</t>
  </si>
  <si>
    <t>賣買不旺</t>
  </si>
  <si>
    <t>장사의 부진</t>
  </si>
  <si>
    <t>불길의 성함이 매매의 번성으로 옮겨감</t>
  </si>
  <si>
    <t>其所敬財神</t>
  </si>
  <si>
    <t>財=재물 · 神=신령 · 不=아니다</t>
  </si>
  <si>
    <t>상업의 성쇠</t>
  </si>
  <si>
    <t>신의 가호 관념이 장사의 흥망으로 옮겨감</t>
  </si>
  <si>
    <t>多關公像</t>
  </si>
  <si>
    <t>其=그 · 所=바·곳 · 財=재물 · 神=신령</t>
  </si>
  <si>
    <t>供卓香火</t>
  </si>
  <si>
    <t>多=많다 · 關=빗장·관문 · 公=공변되다·귀인</t>
  </si>
  <si>
    <t>推此則山海關以內</t>
  </si>
  <si>
    <t>可以預想矣</t>
  </si>
  <si>
    <t>可=옳다·가하다 · 以=~로써 · 矣=마치는 조사</t>
  </si>
  <si>
    <t>小賈之行于道路者</t>
  </si>
  <si>
    <t>或高聲叫賣</t>
  </si>
  <si>
    <t>小=작다 · 賈=장사하다 · 之=가다 (조사로도 쓰임) · 行=걸어가다 · 道=길 · 路=길 · 者=~하는 것·사람</t>
  </si>
  <si>
    <t>而如賣靑布者</t>
  </si>
  <si>
    <t>或=혹 · 高=높다 · 聲=소리 · 賣=팔다</t>
  </si>
  <si>
    <t>搖手中小鼗</t>
  </si>
  <si>
    <t>而=말 잇는 조사 · 如=같다 · 賣=팔다 · 布=베 · 者=~하는 것·사람</t>
  </si>
  <si>
    <t>爲人開剃者</t>
  </si>
  <si>
    <t>手=손 · 中=가운데 · 小=작다</t>
  </si>
  <si>
    <t>彈手中鐵簡</t>
  </si>
  <si>
    <t>賣油者敲鉢</t>
  </si>
  <si>
    <t>手=손 · 中=가운데 · 鐵=무쇠</t>
  </si>
  <si>
    <t>或有持金鉦竹箆木鐸而行者</t>
  </si>
  <si>
    <t>賣=팔다 · 者=~하는 것·사람</t>
  </si>
  <si>
    <t>周回街坊</t>
  </si>
  <si>
    <t>或=혹 · 有=있다 · 金=쇠붙이 · 而=말 잇는 조사 · 行=걸어가다 · 者=~하는 것·사람</t>
  </si>
  <si>
    <t>則人家門裏</t>
  </si>
  <si>
    <t>走出小孩子叫之</t>
  </si>
  <si>
    <t>未甞見大聲叫賣者</t>
  </si>
  <si>
    <t>出=나가다 · 小=작다 · 子=아들 · 之=가다 (조사로도 쓰임)</t>
  </si>
  <si>
    <t>但聞敲響</t>
  </si>
  <si>
    <t>未=아직 ~않다 · 見=보다 · 大=크다 · 聲=소리 · 賣=팔다 · 者=~하는 것·사람</t>
  </si>
  <si>
    <t>則已辨其貨物</t>
  </si>
  <si>
    <t>聞=듣다</t>
  </si>
  <si>
    <t>則=곧 · 已=이미 · 其=그 · 貨=사고파는 물건 · 物=물건</t>
  </si>
  <si>
    <t>店舍庭廣</t>
  </si>
  <si>
    <t>必不下數百步</t>
  </si>
  <si>
    <t>廣=넓다</t>
  </si>
  <si>
    <t>蒼凉完完</t>
  </si>
  <si>
    <t>桂影扶踈</t>
  </si>
  <si>
    <t>玉兎銀蟾</t>
  </si>
  <si>
    <t>如可撫弄</t>
  </si>
  <si>
    <t>玉=옥 · 銀=은</t>
  </si>
  <si>
    <t>달의 모습</t>
  </si>
  <si>
    <t>옥토끼와 은두꺼비가 달의 별칭으로 옮겨감</t>
  </si>
  <si>
    <t>而姮娥氷紈</t>
  </si>
  <si>
    <t>如=같다 · 可=옳다·가하다</t>
  </si>
  <si>
    <t>此</t>
  </si>
  <si>
    <t>何也</t>
  </si>
  <si>
    <t>灣商林景贊曰</t>
  </si>
  <si>
    <t>何=무엇 · 也=단정하는 조사</t>
  </si>
  <si>
    <t>薊門雖遠</t>
  </si>
  <si>
    <t>商=장사하다 · 曰=말하다</t>
  </si>
  <si>
    <t>統稱薊門烟樹</t>
  </si>
  <si>
    <t>門=문 · 雖=비록 · 遠=멀다</t>
  </si>
  <si>
    <t>適値閭陽市日</t>
  </si>
  <si>
    <t>百</t>
  </si>
  <si>
    <t>貨湊集</t>
  </si>
  <si>
    <t>百=일백</t>
  </si>
  <si>
    <t>車馬塡咽</t>
  </si>
  <si>
    <t>貨=사고파는 물건 · 湊=모여들다</t>
  </si>
  <si>
    <t>물화의 집중</t>
  </si>
  <si>
    <t>물이 모여듦이 재화의 집산으로 옮겨감</t>
  </si>
  <si>
    <t>而雕籠中各置一禽</t>
  </si>
  <si>
    <t>車=수레 · 馬=말 · 塡=메워 채우다 · 咽=목구멍</t>
  </si>
  <si>
    <t>塡咽</t>
  </si>
  <si>
    <t>거리의 혼잡</t>
  </si>
  <si>
    <t>목구멍이 막힘이 거리의 혼잡으로 옮겨감</t>
  </si>
  <si>
    <t>形形</t>
  </si>
  <si>
    <t>色色</t>
  </si>
  <si>
    <t>賣鳥者車六</t>
  </si>
  <si>
    <t>色=빛깔</t>
  </si>
  <si>
    <t>載鳴蟲者車二</t>
  </si>
  <si>
    <t>賣=팔다 · 者=~하는 것·사람 · 車=수레 · 六=여섯</t>
  </si>
  <si>
    <t>啾喞遍市</t>
  </si>
  <si>
    <t>者=~하는 것·사람 · 車=수레 · 二=둘</t>
  </si>
  <si>
    <t>不得轉動</t>
  </si>
  <si>
    <t>趙不得已笑而還坐</t>
  </si>
  <si>
    <t>買一盤猪炒</t>
  </si>
  <si>
    <t>不=아니다 · 得=얻다 · 已=이미 · 笑=웃다 · 而=말 잇는 조사 · 還=돌아오다 · 坐=앉다</t>
  </si>
  <si>
    <t>一盤卵炒</t>
  </si>
  <si>
    <t>二觶酒飽喫而行</t>
  </si>
  <si>
    <t>身被一領醬色雲紋杭</t>
  </si>
  <si>
    <t>紗袍</t>
  </si>
  <si>
    <t>足穿貢緞烏靴</t>
  </si>
  <si>
    <t>跬步娉婷</t>
  </si>
  <si>
    <t>顔色白雪</t>
  </si>
  <si>
    <t>伊兩羽泉的</t>
  </si>
  <si>
    <t>伊兩羽泉者</t>
  </si>
  <si>
    <t>漢音一兩五錢也</t>
  </si>
  <si>
    <t>兩=두 개·무게 단위 · 者=~하는 것·사람</t>
  </si>
  <si>
    <t>一兩五錢</t>
  </si>
  <si>
    <t>漢=한나라·사내 · 一=하나 · 兩=두 개·무게 단위 · 五=다섯 · 錢=엽전 · 也=단정하는 조사</t>
  </si>
  <si>
    <t>爲兩半</t>
  </si>
  <si>
    <t>一=하나 · 兩=두 개·무게 단위 · 五=다섯 · 錢=엽전</t>
  </si>
  <si>
    <t>東方士族稱兩班</t>
  </si>
  <si>
    <t>爲=하다·되다 · 兩=두 개·무게 단위</t>
  </si>
  <si>
    <t>兩半與兩班音似</t>
  </si>
  <si>
    <t>故雙林以一兩五錢</t>
  </si>
  <si>
    <t>兩=두 개·무게 단위 · 與=주다</t>
  </si>
  <si>
    <t>爲隱語也</t>
  </si>
  <si>
    <t>故=까닭 · 以=~로써 · 一=하나 · 兩=두 개·무게 단위 · 五=다섯 · 錢=엽전</t>
  </si>
  <si>
    <t>四點者</t>
  </si>
  <si>
    <t>爲=하다·되다 · 語=말하다 · 也=단정하는 조사</t>
  </si>
  <si>
    <t>每行</t>
  </si>
  <si>
    <t>任譯持公</t>
  </si>
  <si>
    <t>費銀四千兩</t>
  </si>
  <si>
    <t>任=맡기다 · 譯=통역하다 · 公=공변되다·귀인</t>
  </si>
  <si>
    <t>而五百兩例給護行章京</t>
  </si>
  <si>
    <t>銀=은 · 四=넷 · 千=일천 · 兩=두 개·무게 단위</t>
  </si>
  <si>
    <t>七百兩給護行通官</t>
  </si>
  <si>
    <t>而=말 잇는 조사 · 五=다섯 · 百=일백 · 兩=두 개·무게 단위 · 給=주다 · 行=걸어가다 · 京=서울</t>
  </si>
  <si>
    <t>爲雇車及盤纏之資</t>
  </si>
  <si>
    <t>七=일곱 · 百=일백 · 兩=두 개·무게 단위 · 給=주다 · 行=걸어가다 · 通=통하다 · 官=벼슬</t>
  </si>
  <si>
    <t>而其實未甞費一錢銀</t>
  </si>
  <si>
    <t>爲=하다·되다 · 車=수레 · 及=미치다 · 之=가다 (조사로도 쓰임) · 資=밑천</t>
  </si>
  <si>
    <t>子</t>
  </si>
  <si>
    <t>銀 錢</t>
  </si>
  <si>
    <t>而=말 잇는 조사 · 其=그 · 實=차다 · 未=아직 ~않다 · 一=하나 · 錢=엽전 · 銀=은</t>
  </si>
  <si>
    <t>自上副廚房</t>
  </si>
  <si>
    <t>子=아들</t>
  </si>
  <si>
    <t>急則還使官話</t>
  </si>
  <si>
    <t>公然乾</t>
  </si>
  <si>
    <t>沒七百兩銀子</t>
  </si>
  <si>
    <t>公=공변되다·귀인 · 然=그러하다</t>
  </si>
  <si>
    <t>誠爲可惜</t>
  </si>
  <si>
    <t>沒=물에 빠져 가라앉다 · 七=일곱 · 百=일백 · 兩=두 개·무게 단위 · 銀=은 · 子=아들</t>
  </si>
  <si>
    <t>乾沒</t>
  </si>
  <si>
    <t>횡령</t>
  </si>
  <si>
    <t>물에 가라앉아 사라짐이 재물의 착복으로 옮겨감</t>
  </si>
  <si>
    <t>乾沒이 저본 띄어쓰기로 「公然乾」과 「沒七百兩銀子」에 걸쳐 나뉨</t>
  </si>
  <si>
    <t>余時擦紙爲鼻針</t>
  </si>
  <si>
    <t>爲=하다·되다 · 可=옳다·가하다</t>
  </si>
  <si>
    <t>家</t>
  </si>
  <si>
    <t>貧未聘</t>
  </si>
  <si>
    <t>家=집</t>
  </si>
  <si>
    <t>雙林連道不祥</t>
  </si>
  <si>
    <t>貧=재물이 모자라다 · 未=아직 ~않다</t>
  </si>
  <si>
    <t>不祥者</t>
  </si>
  <si>
    <t>連=잇다 · 道=길 · 不=아니다</t>
  </si>
  <si>
    <t>多有美的麽</t>
  </si>
  <si>
    <t>奢遮的</t>
  </si>
  <si>
    <t>道甚麽</t>
  </si>
  <si>
    <t>奢=사치하다 · 的=~의 (백화)</t>
  </si>
  <si>
    <t>也有楊貴妃等物也</t>
  </si>
  <si>
    <t>道=길</t>
  </si>
  <si>
    <t>若一看見時</t>
  </si>
  <si>
    <t>大監們魂飛九霄雲外</t>
  </si>
  <si>
    <t>手裡自丟了萬兩紋銀子</t>
  </si>
  <si>
    <t>大=크다 · 九=아홉 · 雲=구름 · 外=바깥</t>
  </si>
  <si>
    <t>魂飛九霄雲外</t>
  </si>
  <si>
    <t>경악</t>
  </si>
  <si>
    <t>혼이 구천으로 날아간다는 과장</t>
  </si>
  <si>
    <t>渡不得這鴨綠江來哩</t>
  </si>
  <si>
    <t>手=손 · 自=스스로 · 萬=일만 · 兩=두 개·무게 단위 · 銀=은 · 子=아들</t>
  </si>
  <si>
    <t>雙林拍掌胡盧道</t>
  </si>
  <si>
    <t>不=아니다 · 得=얻다 · 江=큰 강 · 來=오다</t>
  </si>
  <si>
    <t>以綠毡爲帳而卷之</t>
  </si>
  <si>
    <t>東西垂緗簾</t>
  </si>
  <si>
    <t>前面以貢緞爲遮日</t>
  </si>
  <si>
    <t>東=동쪽 · 西=서쪽</t>
  </si>
  <si>
    <t>車中置舖</t>
  </si>
  <si>
    <t>前=앞 · 面=얼굴 · 以=~로써 · 貢=바치는 물건 · 爲=하다·되다 · 日=해·날</t>
  </si>
  <si>
    <t>葢有東諺劉</t>
  </si>
  <si>
    <t>車=수레 · 中=가운데 · 置=두다 · 舖=가게</t>
  </si>
  <si>
    <t>松杏高塔之間百餘里</t>
  </si>
  <si>
    <t>雖有村閭市舖</t>
  </si>
  <si>
    <t>貧儉凋殘</t>
  </si>
  <si>
    <t>雖=비록 · 有=있다 · 市=저자 · 舖=가게</t>
  </si>
  <si>
    <t>頓無樂業之意</t>
  </si>
  <si>
    <t>貧 儉</t>
  </si>
  <si>
    <t>貧=재물이 모자라다 · 儉=검소하다 · 凋=초목이 시들다</t>
  </si>
  <si>
    <t>쇠락</t>
  </si>
  <si>
    <t>초목이 시듦이 고을의 피폐로 옮겨감</t>
  </si>
  <si>
    <t>嗚呼</t>
  </si>
  <si>
    <t>無=없다 · 業=생업 · 之=가다 (조사로도 쓰임)</t>
  </si>
  <si>
    <t>魚肉之塲也</t>
  </si>
  <si>
    <t>至今百餘年間</t>
  </si>
  <si>
    <t>尙未蘇息</t>
  </si>
  <si>
    <t>至=이르다 · 今=이제 · 百=일백 · 餘=남다 · 年=해</t>
  </si>
  <si>
    <t>足想當時龍爭虎鬪之跡矣</t>
  </si>
  <si>
    <t>未=아직 ~않다 · 蘇=풀이 되살아나다 · 息=숨쉬다</t>
  </si>
  <si>
    <t>蘇息</t>
  </si>
  <si>
    <t>회복</t>
  </si>
  <si>
    <t>초목이 되살아남이 지역의 회복으로 옮겨감</t>
  </si>
  <si>
    <t>按今皇帝全韻詩註曰</t>
  </si>
  <si>
    <t>足=발 · 當=마땅하다 · 時=때 · 爭=다투다 · 之=가다 (조사로도 쓰임) · 矣=마치는 조사</t>
  </si>
  <si>
    <t>龍爭虎鬪</t>
  </si>
  <si>
    <t>격전</t>
  </si>
  <si>
    <t>용과 범의 싸움이 전쟁의 격렬함으로 옮겨감</t>
  </si>
  <si>
    <t>諭曰</t>
  </si>
  <si>
    <t>行軍制勝</t>
  </si>
  <si>
    <t>利在神速</t>
  </si>
  <si>
    <t>行=걸어가다 · 制=만들다·제도 · 勝=싸움에 이기다</t>
  </si>
  <si>
    <t>疾馳六日</t>
  </si>
  <si>
    <t>利=날이 날카롭다 → 이롭다 · 在=있다 · 神=신령</t>
  </si>
  <si>
    <t>抵松山</t>
  </si>
  <si>
    <t>六=여섯 · 日=해·날</t>
  </si>
  <si>
    <t>額眞思格圖等</t>
  </si>
  <si>
    <t>追擊逃兵</t>
  </si>
  <si>
    <t>又命國舅阿什達尒漢等</t>
  </si>
  <si>
    <t>兵=무기</t>
  </si>
  <si>
    <t>往視杏山駐營處</t>
  </si>
  <si>
    <t>又=또 · 國=나라 · 什=열 · 漢=한나라·사내 · 等=무리</t>
  </si>
  <si>
    <t>如其地未善</t>
  </si>
  <si>
    <t>往=가다 · 山=산 · 處=곳</t>
  </si>
  <si>
    <t>天地同力之明驗乎</t>
  </si>
  <si>
    <t>夕宿高橋堡</t>
  </si>
  <si>
    <t>此往歲使行失銀處也</t>
  </si>
  <si>
    <t>高=높다</t>
  </si>
  <si>
    <t>地方官因此革職</t>
  </si>
  <si>
    <t>此=이것 · 往=가다 · 歲=한 해 · 使=시키다 · 行=걸어가다 · 失=잃다 · 銀=은 · 處=곳 · 也=단정하는 조사</t>
  </si>
  <si>
    <t>而附近站舖</t>
  </si>
  <si>
    <t>地=땅 · 方=모나다·바야흐로 · 官=벼슬 · 因=말미암다 · 此=이것</t>
  </si>
  <si>
    <t>高麗</t>
  </si>
  <si>
    <t>高麗怖殺了居停主人</t>
  </si>
  <si>
    <t>一千兩銀子</t>
  </si>
  <si>
    <t>高=높다 · 麗=곱다 · 居=머물러 살다 · 主=주인 · 人=사람</t>
  </si>
  <si>
    <t>怖殺</t>
  </si>
  <si>
    <t>공포</t>
  </si>
  <si>
    <t>두려움을 죽음에 이를 정도로 부풀림</t>
  </si>
  <si>
    <t>怎賞得四五個人命</t>
  </si>
  <si>
    <t>一=하나 · 千=일천 · 兩=두 개·무게 단위 · 銀=은 · 子=아들</t>
  </si>
  <si>
    <t>吾們的固多歹人</t>
  </si>
  <si>
    <t>得=얻다 · 四=넷 · 五=다섯 · 個=낱 · 人=사람</t>
  </si>
  <si>
    <t>回</t>
  </si>
  <si>
    <t>還到此站</t>
  </si>
  <si>
    <t>失公費銀一千兩</t>
  </si>
  <si>
    <t>還=돌아오다 · 此=이것</t>
  </si>
  <si>
    <t>使臣議謂</t>
  </si>
  <si>
    <t>失=잃다 · 公=공변되다·귀인 · 銀=은 · 一=하나 · 千=일천 · 兩=두 개·무게 단위</t>
  </si>
  <si>
    <t>此銀乃公貨</t>
  </si>
  <si>
    <t>使=시키다 · 臣=신하 · 謂=이르다</t>
  </si>
  <si>
    <t>苟無明白用處</t>
  </si>
  <si>
    <t>貨 銀</t>
  </si>
  <si>
    <t>此=이것 · 銀=은 · 乃=이에 · 公=공변되다·귀인 · 貨=사고파는 물건</t>
  </si>
  <si>
    <t>則照數還納</t>
  </si>
  <si>
    <t>無=없다 · 明=밝다 · 用=쓰다 · 處=곳</t>
  </si>
  <si>
    <t>敕以</t>
  </si>
  <si>
    <t>所在地方</t>
  </si>
  <si>
    <t>以官銀備償該使所失</t>
  </si>
  <si>
    <t>所=바·곳 · 在=있다 · 地=땅 · 方=모나다·바야흐로</t>
  </si>
  <si>
    <t>該地方不能常時着意巡緝</t>
  </si>
  <si>
    <t>銀 償</t>
  </si>
  <si>
    <t>以=~로써 · 官=벼슬 · 銀=은 · 償=갚다 · 使=시키다 · 所=바·곳 · 失=잃다</t>
  </si>
  <si>
    <t>致有遠人負屈鳴寃</t>
  </si>
  <si>
    <t>地=땅 · 方=모나다·바야흐로 · 不=아니다 · 能=능하다 · 時=때</t>
  </si>
  <si>
    <t>大抵義州刷驅輩</t>
  </si>
  <si>
    <t>太半歹人</t>
  </si>
  <si>
    <t>專以燕行資生</t>
  </si>
  <si>
    <t>年年赴行</t>
  </si>
  <si>
    <t>以=~로써 · 燕=제비·연나라 · 行=걸어가다 · 資=밑천 · 生=낳다·살다</t>
  </si>
  <si>
    <t>如履門庭</t>
  </si>
  <si>
    <t>年=해 · 行=걸어가다</t>
  </si>
  <si>
    <t>인접 절 「如履門庭」에 은유가 있으나 판정 대상 범위 밖이므로 계수하지 않음</t>
  </si>
  <si>
    <t>灣府所以給</t>
  </si>
  <si>
    <t>資者</t>
  </si>
  <si>
    <t>所=바·곳 · 以=~로써 · 給=주다</t>
  </si>
  <si>
    <t>不過人給六十卷白紙</t>
  </si>
  <si>
    <t>資=밑천 · 者=~하는 것·사람</t>
  </si>
  <si>
    <t>百餘刷驅</t>
  </si>
  <si>
    <t>不=아니다 · 過=지나다 · 人=사람 · 給=주다 · 六=여섯 · 十=열</t>
  </si>
  <si>
    <t>去年冬至</t>
  </si>
  <si>
    <t>有一灣賈</t>
  </si>
  <si>
    <t>潛越銀貨</t>
  </si>
  <si>
    <t>有=있다 · 一=하나 · 賈=장사하다</t>
  </si>
  <si>
    <t>爲刷驅所殺</t>
  </si>
  <si>
    <t>潛=물속에 잠기다 · 銀=은 · 貨=사고파는 물건</t>
  </si>
  <si>
    <t>兩馬皆縱鞚還渡</t>
  </si>
  <si>
    <t>爲=하다·되다 · 所=바·곳</t>
  </si>
  <si>
    <t>其</t>
  </si>
  <si>
    <t>凶險若此</t>
  </si>
  <si>
    <t>今此失銀</t>
  </si>
  <si>
    <t>若=같다 · 此=이것</t>
  </si>
  <si>
    <t>安知非此輩所爲乎</t>
  </si>
  <si>
    <t>今=이제 · 此=이것 · 失=잃다 · 銀=은</t>
  </si>
  <si>
    <t>此猶細事</t>
  </si>
  <si>
    <t>安=편안하다 · 知=알다 · 非=아니다 · 此=이것 · 輩=무리 · 所=바·곳 · 爲=하다·되다 · 乎=의문의 조사</t>
  </si>
  <si>
    <t>日高三竿矣</t>
  </si>
  <si>
    <t>東南大海連天</t>
  </si>
  <si>
    <t>數萬商船</t>
  </si>
  <si>
    <t>東=동쪽 · 南=남쪽 · 大=크다 · 海=바다 · 連=잇다 · 天=하늘</t>
  </si>
  <si>
    <t>爲夜風所驅</t>
  </si>
  <si>
    <t>數=세다·수 · 萬=일만 · 商=장사하다</t>
  </si>
  <si>
    <t>入倚小島</t>
  </si>
  <si>
    <t>爲=하다·되다 · 風=바람 · 所=바·곳</t>
  </si>
  <si>
    <t>榱桷樑椽</t>
  </si>
  <si>
    <t>甍簷窓楹</t>
  </si>
  <si>
    <t>不資寸木</t>
  </si>
  <si>
    <t>大樂樓</t>
  </si>
  <si>
    <t>不=아니다 · 資=밑천</t>
  </si>
  <si>
    <t>以五色文石</t>
  </si>
  <si>
    <t>大=크다 · 樓=다락</t>
  </si>
  <si>
    <t>者弛鏡停筆曰</t>
  </si>
  <si>
    <t>尊客遠臨</t>
  </si>
  <si>
    <t>沿道奚囊必富</t>
  </si>
  <si>
    <t>客=손님 · 遠=멀다</t>
  </si>
  <si>
    <t>願留一二佳句</t>
  </si>
  <si>
    <t>道=길 · 必=반드시 · 富=재물이 넉넉하다</t>
  </si>
  <si>
    <t>奚囊</t>
  </si>
  <si>
    <t>시문 주머니</t>
  </si>
  <si>
    <t>주머니가 시작(詩作)의 축적으로 옮겨감</t>
  </si>
  <si>
    <t>所抄筆法雖拙</t>
  </si>
  <si>
    <t>留=머무르다 · 一=하나 · 二=둘</t>
  </si>
  <si>
    <t>有髻無笄</t>
  </si>
  <si>
    <t>論貧富</t>
  </si>
  <si>
    <t>民婦無冠</t>
  </si>
  <si>
    <t>惟命婦有冠</t>
  </si>
  <si>
    <t>民=백성 · 無=없다 · 冠=갓</t>
  </si>
  <si>
    <t>旱路距皇京一千五百里</t>
  </si>
  <si>
    <t>今俺們舟往金州</t>
  </si>
  <si>
    <t>買綿花住此</t>
  </si>
  <si>
    <t>今=이제 · 舟=배 · 往=가다 · 金=쇠붙이 · 州=고을</t>
  </si>
  <si>
    <t>買=사다 · 此=이것</t>
  </si>
  <si>
    <t>所抄</t>
  </si>
  <si>
    <t>其=그</t>
  </si>
  <si>
    <t>手中猶餘半紙</t>
  </si>
  <si>
    <t>王舒公辛酉十一月十一日時生</t>
  </si>
  <si>
    <t>富鄭公甲正月二十日巳時生</t>
  </si>
  <si>
    <t>王=임금 · 公=공변되다·귀인 · 十=열 · 一=하나 · 月=달 · 日=해·날 · 時=때 · 生=낳다·살다</t>
  </si>
  <si>
    <t>蘇子容庚申</t>
  </si>
  <si>
    <t>富=재물이 넉넉하다 · 公=공변되다·귀인 · 正=바르다 · 月=달 · 二=둘 · 十=열 · 日=해·날 · 時=때 · 生=낳다·살다</t>
  </si>
  <si>
    <t>二月二十二日巳時生</t>
  </si>
  <si>
    <t>蘇=풀이 되살아나다 · 子=아들</t>
  </si>
  <si>
    <t>石後有丈餘芭蕉</t>
  </si>
  <si>
    <t>雨餘物色</t>
  </si>
  <si>
    <t>倍新欄邊</t>
  </si>
  <si>
    <t>餘=남다 · 物=물건 · 色=빛깔</t>
  </si>
  <si>
    <t>獨有一人倚坐卓上</t>
  </si>
  <si>
    <t>倍=갑절 · 新=새롭다 · 邊=가장자리</t>
  </si>
  <si>
    <t>筆硯俱佳</t>
  </si>
  <si>
    <t>獨=홀로 · 有=있다 · 一=하나 · 人=사람 · 坐=앉다 · 上=위쪽</t>
  </si>
  <si>
    <t>合盥盆</t>
  </si>
  <si>
    <t>而重不可遠致</t>
  </si>
  <si>
    <t>問其價</t>
  </si>
  <si>
    <t>而=말 잇는 조사 · 重=무겁다 · 不=아니다 · 可=옳다·가하다 · 遠=멀다 · 致=이르게 하다</t>
  </si>
  <si>
    <t>爲一鈔</t>
  </si>
  <si>
    <t>問=묻다 · 其=그 · 價=값</t>
  </si>
  <si>
    <t>一鈔爲一百六十三分</t>
  </si>
  <si>
    <t>爲=하다·되다 · 一=하나</t>
  </si>
  <si>
    <t>爲銀不過三錢矣</t>
  </si>
  <si>
    <t>一=하나 · 爲=하다·되다 · 百=일백 · 六=여섯 · 十=열 · 三=셋 · 分=나누다</t>
  </si>
  <si>
    <t>象三言此在皇京</t>
  </si>
  <si>
    <t>爲=하다·되다 · 銀=은 · 不=아니다 · 過=지나다 · 三=셋 · 錢=엽전 · 矣=마치는 조사</t>
  </si>
  <si>
    <t>不</t>
  </si>
  <si>
    <t>三=셋 · 言=말하다 · 此=이것 · 在=있다 · 京=서울</t>
  </si>
  <si>
    <t>過售銀二錢</t>
  </si>
  <si>
    <t>而肉重難輸</t>
  </si>
  <si>
    <t>過=지나다 · 銀=은 · 二=둘 · 錢=엽전</t>
  </si>
  <si>
    <t>明知其出境爲希寶</t>
  </si>
  <si>
    <t>而=말 잇는 조사 · 重=무겁다 · 難=어렵다 · 輸=실어 보내다</t>
  </si>
  <si>
    <t>又至一舖</t>
  </si>
  <si>
    <t>亦有三個登</t>
  </si>
  <si>
    <t>州客商</t>
  </si>
  <si>
    <t>亦=또한 · 有=있다 · 三=셋 · 個=낱</t>
  </si>
  <si>
    <t>爲榨綿繅繭船</t>
  </si>
  <si>
    <t>州=고을 · 客=손님 · 商=장사하다</t>
  </si>
  <si>
    <t>往金州</t>
  </si>
  <si>
    <t>爲=하다·되다</t>
  </si>
  <si>
    <t>未知默禱者何等</t>
  </si>
  <si>
    <t>而可謂所持者狹</t>
  </si>
  <si>
    <t>而所欲者奢矣</t>
  </si>
  <si>
    <t>而=말 잇는 조사 · 可=옳다·가하다 · 謂=이르다 · 所=바·곳 · 者=~하는 것·사람 · 狹=좁다</t>
  </si>
  <si>
    <t>所持者狹</t>
  </si>
  <si>
    <t>역량의 좁음</t>
  </si>
  <si>
    <t>공간의 좁음이 그릇의 작음으로 옮겨감</t>
  </si>
  <si>
    <t>門內</t>
  </si>
  <si>
    <t>而=말 잇는 조사 · 所=바·곳 · 欲=하고자 하다 · 者=~하는 것·사람 · 奢=사치하다 · 矣=마치는 조사</t>
  </si>
  <si>
    <t>響墻所畵靑獅可觀</t>
  </si>
  <si>
    <t>門=문 · 內=안</t>
  </si>
  <si>
    <t>舖中所造工人</t>
  </si>
  <si>
    <t>不下百人</t>
  </si>
  <si>
    <t>灣商已充斥其中</t>
  </si>
  <si>
    <t>不=아니다 · 下=아래쪽 · 百=일백 · 人=사람</t>
  </si>
  <si>
    <t>爲約帽</t>
  </si>
  <si>
    <t>商=장사하다 · 已=이미 · 充=가득 채우다 · 其=그 · 中=가운데</t>
  </si>
  <si>
    <t>百萬口</t>
  </si>
  <si>
    <t>人着一帽</t>
  </si>
  <si>
    <t>然後爲禦冬之資</t>
  </si>
  <si>
    <t>人=사람 · 一=하나</t>
  </si>
  <si>
    <t>計冬至使行</t>
  </si>
  <si>
    <t>然=그러하다 · 後=뒤 · 爲=하다·되다 · 禦=막아내다 · 之=가다 (조사로도 쓰임) · 資=밑천</t>
  </si>
  <si>
    <t>黃曆賫咨所帶銀貨</t>
  </si>
  <si>
    <t>至=이르다 · 使=시키다 · 行=걸어가다</t>
  </si>
  <si>
    <t>不下十萬兩</t>
  </si>
  <si>
    <t>所=바·곳 · 銀=은 · 貨=사고파는 물건</t>
  </si>
  <si>
    <t>通計十年</t>
  </si>
  <si>
    <t>不=아니다 · 下=아래쪽 · 十=열 · 萬=일만 · 兩=두 개·무게 단위</t>
  </si>
  <si>
    <t>則爲百</t>
  </si>
  <si>
    <t>萬兩</t>
  </si>
  <si>
    <t>帽爲一人三冬之資</t>
  </si>
  <si>
    <t>萬=일만 · 兩=두 개·무게 단위</t>
  </si>
  <si>
    <t>春後弊落則棄之耳</t>
  </si>
  <si>
    <t>爲=하다·되다 · 一=하나 · 人=사람 · 三=셋 · 之=가다 (조사로도 쓰임) · 資=밑천</t>
  </si>
  <si>
    <t>以千年不壞之銀</t>
  </si>
  <si>
    <t>春=봄 · 後=뒤 · 落=잎이 지다 · 則=곧 · 之=가다 (조사로도 쓰임) · 耳=귀</t>
  </si>
  <si>
    <t>易三冬弊棄之帽</t>
  </si>
  <si>
    <t>以=~로써 · 千=일천 · 年=해 · 不=아니다 · 之=가다 (조사로도 쓰임) · 銀=은</t>
  </si>
  <si>
    <t>千年不壞之銀</t>
  </si>
  <si>
    <t>대조</t>
  </si>
  <si>
    <t>영구한 은과 삼동에 버리는 갓의 대조</t>
  </si>
  <si>
    <t>以採山有限之物</t>
  </si>
  <si>
    <t>易=쉽다 · 三=셋 · 之=가다 (조사로도 쓰임)</t>
  </si>
  <si>
    <t>皆脫衣工作</t>
  </si>
  <si>
    <t>手若風雨</t>
  </si>
  <si>
    <t>我東銀貨</t>
  </si>
  <si>
    <t>手=손 · 若=같다 · 風=바람</t>
  </si>
  <si>
    <t>半消此舖</t>
  </si>
  <si>
    <t>我=나 · 東=동쪽 · 銀=은 · 貨=사고파는 물건</t>
  </si>
  <si>
    <t>則舖人各定</t>
  </si>
  <si>
    <t>消=녹아 없어지다 · 此=이것 · 舖=가게</t>
  </si>
  <si>
    <t>소진</t>
  </si>
  <si>
    <t>금속이 녹아 사라짐이 은화의 유출로 옮겨감</t>
  </si>
  <si>
    <t>主顧</t>
  </si>
  <si>
    <t>灣商之來</t>
  </si>
  <si>
    <t>主=주인</t>
  </si>
  <si>
    <t>必大治酒食以接云</t>
  </si>
  <si>
    <t>商=장사하다 · 之=가다 (조사로도 쓰임) · 來=오다</t>
  </si>
  <si>
    <t>路中有道士三人</t>
  </si>
  <si>
    <t>必=반드시 · 大=크다 · 治=다스리다 · 酒=술 · 食=먹다 · 以=~로써 · 云=이르다</t>
  </si>
  <si>
    <t>一人卷髮披肩</t>
  </si>
  <si>
    <t>以金環箍頭</t>
  </si>
  <si>
    <t>身披黑貢緞濶袖長衫</t>
  </si>
  <si>
    <t>以=~로써 · 金=쇠붙이 · 頭=머리</t>
  </si>
  <si>
    <t>跣足而行</t>
  </si>
  <si>
    <t>身=몸 · 貢=바치는 물건 · 長=길다·자라다</t>
  </si>
  <si>
    <t>手持紅胡盧</t>
  </si>
  <si>
    <t>足=발 · 而=말 잇는 조사 · 行=걸어가다</t>
  </si>
  <si>
    <t>墮水</t>
  </si>
  <si>
    <t>幾死驚極</t>
  </si>
  <si>
    <t>灣商有溺其銀帒者</t>
  </si>
  <si>
    <t>幾=몇 · 死=죽다</t>
  </si>
  <si>
    <t>臨河呼母而哭云</t>
  </si>
  <si>
    <t>銀 商</t>
  </si>
  <si>
    <t>商=장사하다 · 有=있다 · 其=그 · 銀=은 · 者=~하는 것·사람</t>
  </si>
  <si>
    <t>前屯衛市中設場戱</t>
  </si>
  <si>
    <t>而=말 잇는 조사 · 云=이르다</t>
  </si>
  <si>
    <t>如飄雪舞蝶</t>
  </si>
  <si>
    <t>漢女</t>
  </si>
  <si>
    <t>無以資生</t>
  </si>
  <si>
    <t>漢=한나라·사내</t>
  </si>
  <si>
    <t>非行乞則類爲此等云</t>
  </si>
  <si>
    <t>無=없다 · 以=~로써 · 資=밑천 · 生=낳다·살다</t>
  </si>
  <si>
    <t>原上擺著一坐軍陣</t>
  </si>
  <si>
    <t>非=아니다 · 行=걸어가다 · 則=곧 · 爲=하다·되다 · 此=이것 · 等=무리 · 云=이르다</t>
  </si>
  <si>
    <t>前臨遼野</t>
  </si>
  <si>
    <t>右挾滄海</t>
  </si>
  <si>
    <t>禹貢所稱挾右碣石</t>
  </si>
  <si>
    <t>貢=바치는 물건 · 所=바·곳 · 稱=일컫다</t>
  </si>
  <si>
    <t>長城從醫巫閭山</t>
  </si>
  <si>
    <t>是=옳다·이것 · 也=단정하는 조사</t>
  </si>
  <si>
    <t>文武成班</t>
  </si>
  <si>
    <t>如入瀋陽時</t>
  </si>
  <si>
    <t>稅官及守備</t>
  </si>
  <si>
    <t>如=같다 · 入=들다 · 陽=볕 · 時=때</t>
  </si>
  <si>
    <t>坐關內翼廊</t>
  </si>
  <si>
    <t>稅=구실 · 官=벼슬 · 及=미치다 · 守=지키다</t>
  </si>
  <si>
    <t>點閱人馬</t>
  </si>
  <si>
    <t>坐=앉다 · 關=빗장·관문 · 內=안</t>
  </si>
  <si>
    <t>照準鳳城淸單</t>
  </si>
  <si>
    <t>大凡中國商旅</t>
  </si>
  <si>
    <t>城=성 · 淸=맑다</t>
  </si>
  <si>
    <t>亦皆簿錄姓名居住物貨名數</t>
  </si>
  <si>
    <t>大=크다 · 中=가운데 · 國=나라 · 商=장사하다 · 旅=나그네</t>
  </si>
  <si>
    <t>詰姦防僞</t>
  </si>
  <si>
    <t>亦=또한 · 皆=모두 · 名=이름 · 居=머물러 살다 · 物=물건 · 貨=사고파는 물건 · 數=세다·수</t>
  </si>
  <si>
    <t>極爲</t>
  </si>
  <si>
    <t>僞=거짓</t>
  </si>
  <si>
    <t>車馬最盛</t>
  </si>
  <si>
    <t>士女尤爲都冶</t>
  </si>
  <si>
    <t>其繁華富麗</t>
  </si>
  <si>
    <t>士=선비 · 爲=하다·되다 · 都=도읍</t>
  </si>
  <si>
    <t>沿道莫比</t>
  </si>
  <si>
    <t>其=그 · 繁=초목이 우거지다 · 華=꽃 · 富=재물이 넉넉하다 · 麗=곱다</t>
  </si>
  <si>
    <t>성황</t>
  </si>
  <si>
    <t>초목의 무성함과 꽃이 도시의 번성으로 옮겨감</t>
  </si>
  <si>
    <t>蓋此爲天下雄關</t>
  </si>
  <si>
    <t>道=길 · 莫=없다</t>
  </si>
  <si>
    <t>而吳三桂開關迎入之不暇也</t>
  </si>
  <si>
    <t>當天下無事之日</t>
  </si>
  <si>
    <t>徒爲商旅之譏征</t>
  </si>
  <si>
    <t>當=마땅하다 · 天=하늘 · 下=아래쪽 · 無=없다 · 事=일 · 之=가다 (조사로도 쓰임) · 日=해·날</t>
  </si>
  <si>
    <t>則吾於關亦奚足云</t>
  </si>
  <si>
    <t>爲=하다·되다 · 商=장사하다 · 旅=나그네 · 之=가다 (조사로도 쓰임)</t>
  </si>
  <si>
    <t>則=곧 · 吾=나 · 於=~에 · 關=빗장·관문 · 亦=또한 · 足=발 · 云=이르다</t>
  </si>
  <si>
    <t>渭謂高麗紙</t>
  </si>
  <si>
    <t>不宜畵</t>
  </si>
  <si>
    <t>惟錢厚者稍佳</t>
  </si>
  <si>
    <t>其不見可</t>
  </si>
  <si>
    <t>錢=엽전 · 厚=두껍다 · 者=~하는 것·사람</t>
  </si>
  <si>
    <t>如此</t>
  </si>
  <si>
    <t>其=그 · 不=아니다 · 見=보다 · 可=옳다·가하다</t>
  </si>
  <si>
    <t>余進至池邊</t>
  </si>
  <si>
    <t>暫倚欄干而立</t>
  </si>
  <si>
    <t>堂中寂然屛息</t>
  </si>
  <si>
    <t>而=말 잇는 조사 · 立=서다</t>
  </si>
  <si>
    <t>隱暎從簾隙偸看</t>
  </si>
  <si>
    <t>中=가운데 · 然=그러하다 · 屛=숨을 죽이다 · 息=숨쉬다</t>
  </si>
  <si>
    <t>실내의 고요</t>
  </si>
  <si>
    <t>숨을 죽임이 실내의 고요로 옮겨감</t>
  </si>
  <si>
    <t>余徘徊</t>
  </si>
  <si>
    <t>從=좇다 · 隙=틈</t>
  </si>
  <si>
    <t>至昌黎諸濱海之縣</t>
  </si>
  <si>
    <t>山氣尤佳</t>
  </si>
  <si>
    <t>禹貢碣石</t>
  </si>
  <si>
    <t>山=산 · 氣=기운</t>
  </si>
  <si>
    <t>近在縣西二十里</t>
  </si>
  <si>
    <t>貢=바치는 물건</t>
  </si>
  <si>
    <t>曹操詩</t>
  </si>
  <si>
    <t>在=있다 · 西=서쪽 · 二=둘 · 十=열</t>
  </si>
  <si>
    <t>抱城逶迤</t>
  </si>
  <si>
    <t>地形甚似平壤</t>
  </si>
  <si>
    <t>而昭曠倍之</t>
  </si>
  <si>
    <t>地=땅 · 形=모양 · 平=평평하다</t>
  </si>
  <si>
    <t>而但無大同淸江耳</t>
  </si>
  <si>
    <t>而=말 잇는 조사 · 倍=갑절 · 之=가다 (조사로도 쓰임)</t>
  </si>
  <si>
    <t>世傳金學士黃元登浮</t>
  </si>
  <si>
    <t>而=말 잇는 조사 · 無=없다 · 大=크다 · 同=같다 · 淸=맑다 · 江=큰 강 · 耳=귀</t>
  </si>
  <si>
    <t>輔之地</t>
  </si>
  <si>
    <t>廬舍市舖</t>
  </si>
  <si>
    <t>繁富倍他</t>
  </si>
  <si>
    <t>市=저자 · 舖=가게</t>
  </si>
  <si>
    <t>進士牌額</t>
  </si>
  <si>
    <t>繁=초목이 우거지다 · 富=재물이 넉넉하다 · 倍=갑절</t>
  </si>
  <si>
    <t>繁富</t>
  </si>
  <si>
    <t>초목의 무성함이 마을의 융성으로 옮겨감</t>
  </si>
  <si>
    <t>比撫寧尤盛</t>
  </si>
  <si>
    <t>進=나아가다 · 士=선비</t>
  </si>
  <si>
    <t>偶入一宅</t>
  </si>
  <si>
    <t>方張燈</t>
  </si>
  <si>
    <t>刻高麗進貢圖</t>
  </si>
  <si>
    <t>方=모나다·바야흐로</t>
  </si>
  <si>
    <t>沿路店壁</t>
  </si>
  <si>
    <t>高=높다 · 麗=곱다 · 進=나아가다 · 貢=바치는 물건</t>
  </si>
  <si>
    <t>多貼此畵</t>
  </si>
  <si>
    <t>路=길</t>
  </si>
  <si>
    <t>墨鱗成堆</t>
  </si>
  <si>
    <t>破敗荒陋</t>
  </si>
  <si>
    <t>不直一錢</t>
  </si>
  <si>
    <t>敗=싸움에 지다 · 荒=땅이 거칠어지다</t>
  </si>
  <si>
    <t>第觀胡生擧措</t>
  </si>
  <si>
    <t>不=아니다 · 一=하나 · 錢=엽전</t>
  </si>
  <si>
    <t>眞若絶世奇寶</t>
  </si>
  <si>
    <t>晡刻貴國金相公</t>
  </si>
  <si>
    <t>來弊舖賣此</t>
  </si>
  <si>
    <t>貴=귀하다 · 國=나라 · 金=쇠붙이 · 相=서로 · 公=공변되다·귀인</t>
  </si>
  <si>
    <t>金相公老實人</t>
  </si>
  <si>
    <t>來=오다 · 舖=가게 · 賣=팔다 · 此=이것</t>
  </si>
  <si>
    <t>與俺情同嫡親兄弟</t>
  </si>
  <si>
    <t>金=쇠붙이 · 相=서로 · 公=공변되다·귀인 · 老=늙다 · 實=차다 · 人=사람</t>
  </si>
  <si>
    <t>俺以三兩五分紋銀收買</t>
  </si>
  <si>
    <t>與=주다 · 同=같다</t>
  </si>
  <si>
    <t>情同嫡親兄弟</t>
  </si>
  <si>
    <t>친분</t>
  </si>
  <si>
    <t>친족 관계가 교분의 정도로 옮겨감(직유)</t>
  </si>
  <si>
    <t>改裝時直不下七兩</t>
  </si>
  <si>
    <t>買 銀</t>
  </si>
  <si>
    <t>以=~로써 · 三=셋 · 兩=두 개·무게 단위 · 五=다섯 · 分=나누다 · 銀=은 · 收=거두다 · 買=사다</t>
  </si>
  <si>
    <t>但無畵</t>
  </si>
  <si>
    <t>時=때 · 不=아니다 · 下=아래쪽 · 七=일곱 · 兩=두 개·무게 단위</t>
  </si>
  <si>
    <t>主人亦設酒果</t>
  </si>
  <si>
    <t>大約我國書畵</t>
  </si>
  <si>
    <t>什無年號</t>
  </si>
  <si>
    <t>大=크다 · 我=나 · 國=나라 · 書=글</t>
  </si>
  <si>
    <t>又不肯書名字</t>
  </si>
  <si>
    <t>什=열 · 無=없다 · 年=해</t>
  </si>
  <si>
    <t>詩軸所題</t>
  </si>
  <si>
    <t>又=또 · 不=아니다 · 書=글 · 名=이름</t>
  </si>
  <si>
    <t>故到處向人</t>
  </si>
  <si>
    <t>輒呼炒卵二字</t>
  </si>
  <si>
    <t>以試其舌頭利澀</t>
  </si>
  <si>
    <t>因此號鄭爲炒卵公</t>
  </si>
  <si>
    <t>以=~로써 · 其=그 · 舌=혀 · 頭=머리 · 利=날이 날카롭다 → 이롭다</t>
  </si>
  <si>
    <t>舌頭利澀</t>
  </si>
  <si>
    <t>발음의 감각</t>
  </si>
  <si>
    <t>혀의 매끄러움과 껄끄러움이 발음의 정확도로 옮겨감</t>
  </si>
  <si>
    <t>我東優戱爲假面</t>
  </si>
  <si>
    <t>因=말미암다 · 此=이것 · 爲=하다·되다 · 公=공변되다·귀인</t>
  </si>
  <si>
    <t>相與大笑</t>
  </si>
  <si>
    <t>備說其由</t>
  </si>
  <si>
    <t>欲贈其價</t>
  </si>
  <si>
    <t>主人大慚曰</t>
  </si>
  <si>
    <t>欲=하고자 하다 · 其=그 · 價=값</t>
  </si>
  <si>
    <t>此非酒飯店</t>
  </si>
  <si>
    <t>主=주인 · 人=사람 · 大=크다 · 曰=말하다</t>
  </si>
  <si>
    <t>朝氣微凉</t>
  </si>
  <si>
    <t>城外臨水開市</t>
  </si>
  <si>
    <t>百貨塡咽</t>
  </si>
  <si>
    <t>城=성 · 外=바깥 · 水=물 · 開=열다 · 市=저자</t>
  </si>
  <si>
    <t>車馬縱橫</t>
  </si>
  <si>
    <t>百=일백 · 貨=사고파는 물건 · 塡=메워 채우다 · 咽=목구멍</t>
  </si>
  <si>
    <t>혼잡</t>
  </si>
  <si>
    <t>목구멍이 막힘이 시장의 물화 집중으로 옮겨감</t>
  </si>
  <si>
    <t>自入市中</t>
  </si>
  <si>
    <t>車=수레 · 馬=말 · 縱=줄을 놓다</t>
  </si>
  <si>
    <t>買兩個蘋果</t>
  </si>
  <si>
    <t>自=스스로 · 入=들다 · 市=저자 · 中=가운데</t>
  </si>
  <si>
    <t>傍有擔籠者</t>
  </si>
  <si>
    <t>買=사다 · 兩=두 개·무게 단위 · 個=낱</t>
  </si>
  <si>
    <t>開籠出水晶盒五</t>
  </si>
  <si>
    <t>有=있다 · 者=~하는 것·사람</t>
  </si>
  <si>
    <t>寒戰搐搦</t>
  </si>
  <si>
    <t>緊閉兩目</t>
  </si>
  <si>
    <t>氣息將絶</t>
  </si>
  <si>
    <t>閉=닫다 · 兩=두 개·무게 단위 · 目=눈</t>
  </si>
  <si>
    <t>少焉風雨小歇</t>
  </si>
  <si>
    <t>氣=기운 · 息=숨쉬다</t>
  </si>
  <si>
    <t>面面相視</t>
  </si>
  <si>
    <t>少=적다 · 焉=어찌 · 風=바람 · 小=작다</t>
  </si>
  <si>
    <t>有愚人者</t>
  </si>
  <si>
    <t>復曰淡菜似龍眼</t>
  </si>
  <si>
    <t>錢塘似飛燕</t>
  </si>
  <si>
    <t>淡菜似龍眼</t>
  </si>
  <si>
    <t>사물의 형상</t>
  </si>
  <si>
    <t>열매가 사물의 형상으로 옮겨감(직유)</t>
  </si>
  <si>
    <t>何如爾哉</t>
  </si>
  <si>
    <t>錢=엽전 · 燕=제비·연나라</t>
  </si>
  <si>
    <t>제비가 조수의 형상으로 옮겨감(직유)</t>
  </si>
  <si>
    <t>何=무엇 · 如=같다</t>
  </si>
  <si>
    <t>首視盆中</t>
  </si>
  <si>
    <t>爲不忘春秋之義也</t>
  </si>
  <si>
    <t>遂相與賦詩</t>
  </si>
  <si>
    <t>爲=하다·되다 · 不=아니다 · 春=봄 · 秋=가을 · 之=가다 (조사로도 쓰임) · 義=옳음 · 也=단정하는 조사</t>
  </si>
  <si>
    <t>一童子題之曰</t>
  </si>
  <si>
    <t>遂=마침내 · 相=서로 · 與=주다 · 賦=거두는 세</t>
  </si>
  <si>
    <t>武王若敗崩</t>
  </si>
  <si>
    <t>一=하나 · 子=아들 · 之=가다 (조사로도 쓰임) · 曰=말하다</t>
  </si>
  <si>
    <t>早辨</t>
  </si>
  <si>
    <t>故乃爲此恠談也</t>
  </si>
  <si>
    <t>可賦卽景</t>
  </si>
  <si>
    <t>故=까닭 · 乃=이에 · 爲=하다·되다 · 此=이것 · 也=단정하는 조사</t>
  </si>
  <si>
    <t>又有一童子題之曰</t>
  </si>
  <si>
    <t>可=옳다·가하다 · 賦=거두는 세</t>
  </si>
  <si>
    <t>採薇不眞飽</t>
  </si>
  <si>
    <t>又=또 · 有=있다 · 一=하나 · 子=아들 · 之=가다 (조사로도 쓰임) · 曰=말하다</t>
  </si>
  <si>
    <t>大約唐畵美人圖中所見也</t>
  </si>
  <si>
    <t>老漢乃舘主</t>
  </si>
  <si>
    <t>兩少年皆山東客商</t>
  </si>
  <si>
    <t>老=늙다 · 漢=한나라·사내 · 乃=이에 · 主=주인</t>
  </si>
  <si>
    <t>余</t>
  </si>
  <si>
    <t>兩=두 개·무게 단위 · 少=적다 · 年=해 · 皆=모두 · 山=산 · 東=동쪽 · 客=손님 · 商=장사하다</t>
  </si>
  <si>
    <t>目象三請其彈吹</t>
  </si>
  <si>
    <t>否也</t>
  </si>
  <si>
    <t>俺</t>
  </si>
  <si>
    <t>是民家做賣買少年</t>
  </si>
  <si>
    <t>又唱一詞</t>
  </si>
  <si>
    <t>是=옳다·이것 · 民=백성 · 家=집 · 做=하다 (백화) · 賣=팔다 · 買=사다 · 少=적다 · 年=해</t>
  </si>
  <si>
    <t>諸妓或皷檀板</t>
  </si>
  <si>
    <t>塵埃野馬</t>
  </si>
  <si>
    <t>東流不盡江河瀉</t>
  </si>
  <si>
    <t>向來爭奪名利人</t>
  </si>
  <si>
    <t>東=동쪽 · 流=물이 흐르다 · 不=아니다 · 盡=다하다 · 江=큰 강 · 瀉=물이 쏟아지다</t>
  </si>
  <si>
    <t>江河瀉</t>
  </si>
  <si>
    <t>세월의 흐름</t>
  </si>
  <si>
    <t>강물의 쏟아짐이 세월의 흐름으로 옮겨감</t>
  </si>
  <si>
    <t>百歲幾個長存者</t>
  </si>
  <si>
    <t>來=오다 · 爭=다투다 · 奪=빼앗다 · 名=이름 · 利=날이 날카롭다 → 이롭다 · 人=사람</t>
  </si>
  <si>
    <t>柳絲絲繼唱曰</t>
  </si>
  <si>
    <t>百=일백 · 歲=한 해 · 幾=몇 · 個=낱 · 長=길다·자라다 · 存=있다 · 者=~하는 것·사람</t>
  </si>
  <si>
    <t>象三復請續唱</t>
  </si>
  <si>
    <t>絲絲流眼曰</t>
  </si>
  <si>
    <t>買菜乎求益也</t>
  </si>
  <si>
    <t>絲=실 · 流=물이 흐르다 · 曰=말하다</t>
  </si>
  <si>
    <t>流眼</t>
  </si>
  <si>
    <t>눈물</t>
  </si>
  <si>
    <t>물의 흐름이 눈물로 옮겨감</t>
  </si>
  <si>
    <t>其少</t>
  </si>
  <si>
    <t>買=사다 · 乎=의문의 조사 · 求=구하다 · 益=더하다 · 也=단정하는 조사</t>
  </si>
  <si>
    <t>年自鼓琵琶</t>
  </si>
  <si>
    <t>其=그 · 少=적다</t>
  </si>
  <si>
    <t>且盡尊中美酒</t>
  </si>
  <si>
    <t>閒聽月下高歌</t>
  </si>
  <si>
    <t>功名富貴竟如何</t>
  </si>
  <si>
    <t>閒=틈·한가하다 · 月=달 · 下=아래쪽 · 高=높다</t>
  </si>
  <si>
    <t>莫問收塲結果</t>
  </si>
  <si>
    <t>名=이름 · 富=재물이 넉넉하다 · 貴=귀하다 · 如=같다 · 何=무엇</t>
  </si>
  <si>
    <t>音聲頗厲</t>
  </si>
  <si>
    <t>莫=없다 · 問=묻다 · 收=거두다</t>
  </si>
  <si>
    <t>再鳳亦隨出</t>
  </si>
  <si>
    <t>再鳳言象三</t>
  </si>
  <si>
    <t>給館主銀二兩</t>
  </si>
  <si>
    <t>言=말하다 · 三=셋</t>
  </si>
  <si>
    <t>大口魚</t>
  </si>
  <si>
    <t>給=주다 · 主=주인 · 銀=은 · 二=둘 · 兩=두 개·무게 단위</t>
  </si>
  <si>
    <t>一尾</t>
  </si>
  <si>
    <t>大=크다 · 口=입 · 魚=물고기</t>
  </si>
  <si>
    <t>扇一柄云</t>
  </si>
  <si>
    <t>尋息菴金公所觀</t>
  </si>
  <si>
    <t>一=하나 · 云=이르다</t>
  </si>
  <si>
    <t>季文蘭題詩</t>
  </si>
  <si>
    <t>息=숨쉬다 · 金=쇠붙이 · 公=공변되다·귀인 · 所=바·곳</t>
  </si>
  <si>
    <t>而不可見矣</t>
  </si>
  <si>
    <t>文=무늬·글</t>
  </si>
  <si>
    <t>休休有長者風</t>
  </si>
  <si>
    <t>但酬酢之際</t>
  </si>
  <si>
    <t>不離賣買</t>
  </si>
  <si>
    <t>之=가다 (조사로도 쓰임)</t>
  </si>
  <si>
    <t>胡生爲贈松下仙人圖</t>
  </si>
  <si>
    <t>不=아니다 · 賣=팔다 · 買=사다</t>
  </si>
  <si>
    <t>林生亦贈畵扇一柄</t>
  </si>
  <si>
    <t>生=낳다·살다 · 爲=하다·되다 · 下=아래쪽 · 人=사람</t>
  </si>
  <si>
    <t>行至高麗堡</t>
  </si>
  <si>
    <t>廬舍皆茅茨</t>
  </si>
  <si>
    <t>最寒儉</t>
  </si>
  <si>
    <t>不問可知爲高麗堡也</t>
  </si>
  <si>
    <t>寒=춥다 · 儉=검소하다</t>
  </si>
  <si>
    <t>丁丑被擄人</t>
  </si>
  <si>
    <t>不=아니다 · 問=묻다 · 可=옳다·가하다 · 知=알다 · 爲=하다·되다 · 高=높다 · 麗=곱다 · 也=단정하는 조사</t>
  </si>
  <si>
    <t>到古國</t>
  </si>
  <si>
    <t>多有流涕者</t>
  </si>
  <si>
    <t>馹卒輩因以爲利</t>
  </si>
  <si>
    <t>多=많다 · 有=있다 · 流=물이 흐르다 · 者=~하는 것·사람</t>
  </si>
  <si>
    <t>多白喫酒食</t>
  </si>
  <si>
    <t>輩=무리 · 因=말미암다 · 以=~로써 · 爲=하다·되다 · 利=날이 날카롭다 → 이롭다</t>
  </si>
  <si>
    <t>或別討器服</t>
  </si>
  <si>
    <t>多=많다 · 酒=술 · 食=먹다</t>
  </si>
  <si>
    <t>每値使行</t>
  </si>
  <si>
    <t>則閉藏酒食</t>
  </si>
  <si>
    <t>不肯賣買</t>
  </si>
  <si>
    <t>則=곧 · 閉=닫다 · 酒=술 · 食=먹다</t>
  </si>
  <si>
    <t>懇要然後乃賣</t>
  </si>
  <si>
    <t>而必討厚價</t>
  </si>
  <si>
    <t>要=구하다 · 然=그러하다 · 後=뒤 · 乃=이에 · 賣=팔다</t>
  </si>
  <si>
    <t>或先捧其價</t>
  </si>
  <si>
    <t>而=말 잇는 조사 · 必=반드시 · 厚=두껍다 · 價=값</t>
  </si>
  <si>
    <t>馹</t>
  </si>
  <si>
    <t>或=혹 · 先=먼저 · 其=그 · 價=값</t>
  </si>
  <si>
    <t>卒必百計欺詐</t>
  </si>
  <si>
    <t>刷驅曰</t>
  </si>
  <si>
    <t>吾馬方虗氣</t>
  </si>
  <si>
    <t>要賣麥屑</t>
  </si>
  <si>
    <t>吾=나 · 馬=말 · 方=모나다·바야흐로 · 氣=기운</t>
  </si>
  <si>
    <t>爾何故</t>
  </si>
  <si>
    <t>要=구하다 · 賣=팔다</t>
  </si>
  <si>
    <t>打人</t>
  </si>
  <si>
    <t>何=무엇 · 故=까닭</t>
  </si>
  <si>
    <t>余牢辭若一認義</t>
  </si>
  <si>
    <t>則回還時</t>
  </si>
  <si>
    <t>必以京貨給與</t>
  </si>
  <si>
    <t>則=곧 · 還=돌아오다 · 時=때</t>
  </si>
  <si>
    <t>作爲情禮</t>
  </si>
  <si>
    <t>必=반드시 · 以=~로써 · 京=서울 · 貨=사고파는 물건 · 給=주다 · 與=주다</t>
  </si>
  <si>
    <t>此馬頭輩例事云</t>
  </si>
  <si>
    <t>爲=하다·되다 · 禮=예</t>
  </si>
  <si>
    <t>然則何從得此</t>
  </si>
  <si>
    <t>沈曰</t>
  </si>
  <si>
    <t>曩於薊州市日收買</t>
  </si>
  <si>
    <t>於=~에 · 州=고을 · 市=저자 · 日=해·날 · 收=거두다 · 買=사다</t>
  </si>
  <si>
    <t>可許謄去否</t>
  </si>
  <si>
    <t>虎愀然變色易容而不悅曰</t>
  </si>
  <si>
    <t>陰陽者</t>
  </si>
  <si>
    <t>一氣之消息也而兩之</t>
  </si>
  <si>
    <t>陰=그늘 · 陽=볕 · 者=~하는 것·사람</t>
  </si>
  <si>
    <t>其肉雜也</t>
  </si>
  <si>
    <t>一=하나 · 氣=기운 · 之=가다 (조사로도 쓰임) · 消=녹아 없어지다 · 息=숨쉬다 · 也=단정하는 조사 · 而=말 잇는 조사 · 兩=두 개·무게 단위</t>
  </si>
  <si>
    <t>消息</t>
  </si>
  <si>
    <t>음양의 진퇴</t>
  </si>
  <si>
    <t>사라지고 자람이 기의 운동으로 옮겨감</t>
  </si>
  <si>
    <t>五行定位</t>
  </si>
  <si>
    <t>其=그 · 也=단정하는 조사</t>
  </si>
  <si>
    <t>六氣自行</t>
  </si>
  <si>
    <t>不待宣導</t>
  </si>
  <si>
    <t>乃今妄稱財相</t>
  </si>
  <si>
    <t>不=아니다 · 待=기다리다</t>
  </si>
  <si>
    <t>私顯己功</t>
  </si>
  <si>
    <t>乃=이에 · 今=이제 · 稱=일컫다 · 財=재물 · 相=서로</t>
  </si>
  <si>
    <t>其爲食也</t>
  </si>
  <si>
    <t>相與謀曰</t>
  </si>
  <si>
    <t>吾聞得狐之冠者</t>
  </si>
  <si>
    <t>家致千金之富</t>
  </si>
  <si>
    <t>吾=나 · 聞=듣다 · 得=얻다 · 之=가다 (조사로도 쓰임) · 冠=갓 · 者=~하는 것·사람</t>
  </si>
  <si>
    <t>得狐之履者</t>
  </si>
  <si>
    <t>家=집 · 致=이르게 하다 · 千=일천 · 金=쇠붙이 · 之=가다 (조사로도 쓰임) · 富=재물이 넉넉하다</t>
  </si>
  <si>
    <t>能匿影</t>
  </si>
  <si>
    <t>得=얻다 · 之=가다 (조사로도 쓰임) · 履=신을 신다 · 者=~하는 것·사람</t>
  </si>
  <si>
    <t>鬼舞鬼笑</t>
  </si>
  <si>
    <t>出門而跑</t>
  </si>
  <si>
    <t>乃陷野窖</t>
  </si>
  <si>
    <t>出=나가다 · 門=문 · 而=말 잇는 조사</t>
  </si>
  <si>
    <t>穢滿其中</t>
  </si>
  <si>
    <t>乃=이에 · 陷=적진을 무너뜨리다 · 窖=움집·구덩이</t>
  </si>
  <si>
    <t>攀援出首而望</t>
  </si>
  <si>
    <t>其=그 · 中=가운데</t>
  </si>
  <si>
    <t>挐攫而不恥</t>
  </si>
  <si>
    <t>甚者</t>
  </si>
  <si>
    <t>呼錢爲兄</t>
  </si>
  <si>
    <t>求將殺妻</t>
  </si>
  <si>
    <t>錢=엽전 · 爲=하다·되다</t>
  </si>
  <si>
    <t>물욕</t>
  </si>
  <si>
    <t>친족 호칭이 돈에 대한 태도로 옮겨감</t>
  </si>
  <si>
    <t>則不可復論於倫常之道矣</t>
  </si>
  <si>
    <t>求=구하다</t>
  </si>
  <si>
    <t>獨不爲天地之巨盜乎</t>
  </si>
  <si>
    <t>肆然攘</t>
  </si>
  <si>
    <t>竊於蝗蚕之資者</t>
  </si>
  <si>
    <t>獨不爲仁義之大賊乎</t>
  </si>
  <si>
    <t>於=~에 · 之=가다 (조사로도 쓰임) · 資=밑천 · 者=~하는 것·사람</t>
  </si>
  <si>
    <t>蝗蚕之資</t>
  </si>
  <si>
    <t>메뚜기와 누에가 백성 수탈로 옮겨감</t>
  </si>
  <si>
    <t>虎未甞食豹者</t>
  </si>
  <si>
    <t>獨=홀로 · 不=아니다 · 爲=하다·되다 · 仁=어짊 · 義=옳음 · 之=가다 (조사로도 쓰임) · 大=크다 · 乎=의문의 조사</t>
  </si>
  <si>
    <t>仁義之大賊</t>
  </si>
  <si>
    <t>도덕적 파렴치</t>
  </si>
  <si>
    <t>도적이라는 신분이 도덕적 지탄으로 옮겨감</t>
  </si>
  <si>
    <t>故不惑於巫醫之姦</t>
  </si>
  <si>
    <t>踐形而盡性</t>
  </si>
  <si>
    <t>故不疚乎世俗之利</t>
  </si>
  <si>
    <t>踐=발로 밟다 · 形=모양 · 而=말 잇는 조사 · 盡=다하다</t>
  </si>
  <si>
    <t>踐形</t>
  </si>
  <si>
    <t>실천</t>
  </si>
  <si>
    <t>발로 밟음이 도덕의 실천으로 옮겨감</t>
  </si>
  <si>
    <t>此虎之所以睿</t>
  </si>
  <si>
    <t>故=까닭 · 不=아니다 · 乎=의문의 조사 · 世=세상 · 俗=풍속 · 之=가다 (조사로도 쓰임) · 利=날이 날카롭다 → 이롭다</t>
  </si>
  <si>
    <t>聖也</t>
  </si>
  <si>
    <t>此=이것 · 之=가다 (조사로도 쓰임) · 所=바·곳 · 以=~로써</t>
  </si>
  <si>
    <t>足以示文於天下也</t>
  </si>
  <si>
    <t>不藉尺寸之兵</t>
  </si>
  <si>
    <t>而獨任爪牙之利</t>
  </si>
  <si>
    <t>不=아니다 · 之=가다 (조사로도 쓰임) · 兵=무기</t>
  </si>
  <si>
    <t>所以耀武於天下也</t>
  </si>
  <si>
    <t>而=말 잇는 조사 · 獨=홀로 · 任=맡기다 · 爪=손톱·발톱 · 牙=어금니 · 之=가다 (조사로도 쓰임) · 利=날이 날카롭다 → 이롭다</t>
  </si>
  <si>
    <t>爪牙之利</t>
  </si>
  <si>
    <t>무력</t>
  </si>
  <si>
    <t>짐승의 발톱과 이빨이 무력으로 옮겨감</t>
  </si>
  <si>
    <t>彛卣蜼尊</t>
  </si>
  <si>
    <t>所=바·곳 · 以=~로써 · 武=굳세다 · 於=~에 · 天=하늘 · 下=아래쪽 · 也=단정하는 조사</t>
  </si>
  <si>
    <t>下土賤臣</t>
  </si>
  <si>
    <t>敢在下風</t>
  </si>
  <si>
    <t>屛息潛聽</t>
  </si>
  <si>
    <t>在=있다 · 下=아래쪽 · 風=바람</t>
  </si>
  <si>
    <t>久無所命</t>
  </si>
  <si>
    <t>屛=숨을 죽이다 · 息=숨쉬다 · 潛=물속에 잠기다</t>
  </si>
  <si>
    <t>위축</t>
  </si>
  <si>
    <t>숨을 죽임이 권위 앞의 위축으로 옮겨감</t>
  </si>
  <si>
    <t>誠惶誠恐</t>
  </si>
  <si>
    <t>久=오래되다 · 無=없다 · 所=바·곳</t>
  </si>
  <si>
    <t>乃胥吏之別稱</t>
  </si>
  <si>
    <t>而宋爲此地大姓</t>
  </si>
  <si>
    <t>宗族數百人家富饒</t>
  </si>
  <si>
    <t>而=말 잇는 조사 · 爲=하다·되다 · 此=이것 · 地=땅 · 大=크다</t>
  </si>
  <si>
    <t>當</t>
  </si>
  <si>
    <t>數=세다·수 · 百=일백 · 人=사람 · 家=집 · 富=재물이 넉넉하다</t>
  </si>
  <si>
    <t>明淸之際</t>
  </si>
  <si>
    <t>當=마땅하다</t>
  </si>
  <si>
    <t>不卽出降</t>
  </si>
  <si>
    <t>淸人惡之</t>
  </si>
  <si>
    <t>歲罰銀千兩</t>
  </si>
  <si>
    <t>淸=맑다 · 人=사람 · 惡=모질다 · 之=가다 (조사로도 쓰임)</t>
  </si>
  <si>
    <t>康煕</t>
  </si>
  <si>
    <t>歲=한 해 · 銀=은 · 千=일천 · 兩=두 개·무게 단위</t>
  </si>
  <si>
    <t>皆宋氏奴婢</t>
  </si>
  <si>
    <t>尙有五百餘人云</t>
  </si>
  <si>
    <t>薊州城邑民物雄富</t>
  </si>
  <si>
    <t>有=있다 · 五=다섯 · 百=일백 · 餘=남다 · 人=사람 · 云=이르다</t>
  </si>
  <si>
    <t>卽京東巨鎭也</t>
  </si>
  <si>
    <t>州=고을 · 城=성 · 民=백성 · 物=물건 · 富=재물이 넉넉하다</t>
  </si>
  <si>
    <t>雄富</t>
  </si>
  <si>
    <t>융성</t>
  </si>
  <si>
    <t>수컷의 강건함이 고을의 성함으로 옮겨감</t>
  </si>
  <si>
    <t>山上有安祿山廟</t>
  </si>
  <si>
    <t>京=서울 · 東=동쪽 · 也=단정하는 조사</t>
  </si>
  <si>
    <t>不許觀</t>
  </si>
  <si>
    <t>還寓舘</t>
  </si>
  <si>
    <t>則門外賈客雲集</t>
  </si>
  <si>
    <t>還=돌아오다</t>
  </si>
  <si>
    <t>持馬驢携書冊書畵器玩</t>
  </si>
  <si>
    <t>則=곧 · 門=문 · 外=바깥 · 賈=장사하다 · 客=손님 · 雲=구름</t>
  </si>
  <si>
    <t>雲集</t>
  </si>
  <si>
    <t>운집</t>
  </si>
  <si>
    <t>구름이 모임이 상인의 집결로 옮겨감</t>
  </si>
  <si>
    <t>亦有弄</t>
  </si>
  <si>
    <t>馬=말 · 書=글 · 器=그릇</t>
  </si>
  <si>
    <t>已罷去</t>
  </si>
  <si>
    <t>未及觀可嘆</t>
  </si>
  <si>
    <t>有賣鸚鵡者</t>
  </si>
  <si>
    <t>未=아직 ~않다 · 及=미치다 · 可=옳다·가하다</t>
  </si>
  <si>
    <t>日已昏</t>
  </si>
  <si>
    <t>有=있다 · 賣=팔다 · 者=~하는 것·사람</t>
  </si>
  <si>
    <t>不得詳看其毛色</t>
  </si>
  <si>
    <t>日=해·날 · 已=이미</t>
  </si>
  <si>
    <t>方覓燈之際</t>
  </si>
  <si>
    <t>方=모나다·바야흐로 · 之=가다 (조사로도 쓰임)</t>
  </si>
  <si>
    <t>者已去</t>
  </si>
  <si>
    <t>尤爲可恨</t>
  </si>
  <si>
    <t>者=~하는 것·사람 · 已=이미 · 去=가다</t>
  </si>
  <si>
    <t>與峯頭祿山祠相對</t>
  </si>
  <si>
    <t>天</t>
  </si>
  <si>
    <t>下有錢者何限</t>
  </si>
  <si>
    <t>天=하늘</t>
  </si>
  <si>
    <t>而何乃設此淫穢之祠</t>
  </si>
  <si>
    <t>下=아래쪽 · 有=있다 · 錢=엽전 · 者=~하는 것·사람 · 何=무엇</t>
  </si>
  <si>
    <t>以祈冥佑耶</t>
  </si>
  <si>
    <t>而=말 잇는 조사 · 何=무엇 · 乃=이에 · 設=베풀다 · 此=이것 · 之=가다 (조사로도 쓰임)</t>
  </si>
  <si>
    <t>詩云</t>
  </si>
  <si>
    <t>求福不回</t>
  </si>
  <si>
    <t>此可謂浪費錢矣</t>
  </si>
  <si>
    <t>求=구하다 · 不=아니다</t>
  </si>
  <si>
    <t>或曰</t>
  </si>
  <si>
    <t>此=이것 · 可=옳다·가하다 · 謂=이르다 · 浪=물결 · 錢=엽전 · 矣=마치는 조사</t>
  </si>
  <si>
    <t>聖人不黜</t>
  </si>
  <si>
    <t>或=혹 · 曰=말하다</t>
  </si>
  <si>
    <t>沿路</t>
  </si>
  <si>
    <t>左右</t>
  </si>
  <si>
    <t>皆富貴家墳塚</t>
  </si>
  <si>
    <t>連墻如閭閻</t>
  </si>
  <si>
    <t>皆=모두 · 富=재물이 넉넉하다 · 貴=귀하다 · 家=집</t>
  </si>
  <si>
    <t>墻外引河爲壕</t>
  </si>
  <si>
    <t>連=잇다 · 如=같다</t>
  </si>
  <si>
    <t>무덤의 밀집</t>
  </si>
  <si>
    <t>여염의 담장이 무덤의 밀집으로 옮겨감(직유)</t>
  </si>
  <si>
    <t>丐兒</t>
  </si>
  <si>
    <t>遊市肆中</t>
  </si>
  <si>
    <t>求媚遠地客商</t>
  </si>
  <si>
    <t>市=저자 · 中=가운데</t>
  </si>
  <si>
    <t>一宵接枕</t>
  </si>
  <si>
    <t>求=구하다 · 遠=멀다 · 地=땅 · 客=손님 · 商=장사하다</t>
  </si>
  <si>
    <t>或給數百兩銀子云</t>
  </si>
  <si>
    <t>道傍連簟蔽陽</t>
  </si>
  <si>
    <t>或=혹 · 給=주다 · 數=세다·수 · 百=일백 · 兩=두 개·무게 단위 · 銀=은 · 子=아들 · 云=이르다</t>
  </si>
  <si>
    <t>處處設戱</t>
  </si>
  <si>
    <t>道=길 · 連=잇다 · 陽=볕</t>
  </si>
  <si>
    <t>高聲唱詞彈吹</t>
  </si>
  <si>
    <t>並作千百玩戱之物</t>
  </si>
  <si>
    <t>擺列賣買</t>
  </si>
  <si>
    <t>千=일천 · 百=일백 · 之=가다 (조사로도 쓰임) · 物=물건</t>
  </si>
  <si>
    <t>皆爲孩提</t>
  </si>
  <si>
    <t>賣=팔다 · 買=사다</t>
  </si>
  <si>
    <t>片時供玩</t>
  </si>
  <si>
    <t>皆=모두 · 爲=하다·되다</t>
  </si>
  <si>
    <t>之資</t>
  </si>
  <si>
    <t>時=때</t>
  </si>
  <si>
    <t>而非但物料稀奇</t>
  </si>
  <si>
    <t>之=가다 (조사로도 쓰임) · 資=밑천</t>
  </si>
  <si>
    <t>其製作莫不精巧</t>
  </si>
  <si>
    <t>而=말 잇는 조사 · 非=아니다 · 物=물건 · 奇=기이하다</t>
  </si>
  <si>
    <t>或觸手破碎</t>
  </si>
  <si>
    <t>而工費不下數兩紋銀</t>
  </si>
  <si>
    <t>或=혹 · 手=손</t>
  </si>
  <si>
    <t>卓上列數萬關公像</t>
  </si>
  <si>
    <t>而=말 잇는 조사 · 工=장인 · 不=아니다 · 下=아래쪽 · 數=세다·수 · 兩=두 개·무게 단위 · 銀=은</t>
  </si>
  <si>
    <t>橫</t>
  </si>
  <si>
    <t>上=위쪽 · 數=세다·수 · 萬=일만 · 關=빗장·관문 · 公=공변되다·귀인</t>
  </si>
  <si>
    <t>五六</t>
  </si>
  <si>
    <t>間草屋</t>
  </si>
  <si>
    <t>可念其貧寒無應門之童</t>
  </si>
  <si>
    <t>屋=집</t>
  </si>
  <si>
    <t>隔簾有婦人之聲</t>
  </si>
  <si>
    <t>可=옳다·가하다 · 其=그 · 貧=재물이 모자라다 · 寒=춥다 · 無=없다 · 門=문 · 之=가다 (조사로도 쓰임)</t>
  </si>
  <si>
    <t>貧寒</t>
  </si>
  <si>
    <t>빈궁</t>
  </si>
  <si>
    <t>추위의 감각이 가난으로 옮겨감</t>
  </si>
  <si>
    <t>殊不了了</t>
  </si>
  <si>
    <t>有=있다 · 人=사람 · 之=가다 (조사로도 쓰임) · 聲=소리</t>
  </si>
  <si>
    <t>或吹鳳笙龍管</t>
  </si>
  <si>
    <t>或據牀作書畵</t>
  </si>
  <si>
    <t>或飮酒賦詩</t>
  </si>
  <si>
    <t>或=혹 · 書=글</t>
  </si>
  <si>
    <t>未必盡高人韻士</t>
  </si>
  <si>
    <t>或=혹 · 飮=마시다 · 酒=술 · 賦=거두는 세</t>
  </si>
  <si>
    <t>而閒雅有趣矣</t>
  </si>
  <si>
    <t>未=아직 ~않다 · 必=반드시 · 盡=다하다 · 高=높다 · 人=사람 · 士=선비</t>
  </si>
  <si>
    <t>無回旋處</t>
  </si>
  <si>
    <t>遂下馬入一舖中</t>
  </si>
  <si>
    <t>其瑰麗繁富</t>
  </si>
  <si>
    <t>遂=마침내 · 下=아래쪽 · 馬=말 · 入=들다 · 一=하나 · 舖=가게 · 中=가운데</t>
  </si>
  <si>
    <t>已非盛京山海關之比矣</t>
  </si>
  <si>
    <t>其=그 · 麗=곱다 · 繁=초목이 우거지다 · 富=재물이 넉넉하다</t>
  </si>
  <si>
    <t>瑰麗繁富</t>
  </si>
  <si>
    <t>번화</t>
  </si>
  <si>
    <t>초목의 무성함이 도시의 번화로 옮겨감</t>
  </si>
  <si>
    <t>艱穿條路</t>
  </si>
  <si>
    <t>已=이미 · 非=아니다 · 京=서울 · 山=산 · 海=바다 · 關=빗장·관문 · 之=가다 (조사로도 쓰임) · 矣=마치는 조사</t>
  </si>
  <si>
    <t>世勳伐</t>
  </si>
  <si>
    <t>國維一名隆科多</t>
  </si>
  <si>
    <t>其妻何奢禮氏</t>
  </si>
  <si>
    <t>國=나라 · 一=하나 · 名=이름 · 多=많다</t>
  </si>
  <si>
    <t>北墻下有六塋</t>
  </si>
  <si>
    <t>其=그 · 何=무엇 · 奢=사치하다 · 禮=예 · 氏=성씨</t>
  </si>
  <si>
    <t>一行入葬</t>
  </si>
  <si>
    <t>北=북쪽 · 下=아래쪽 · 有=있다 · 六=여섯</t>
  </si>
  <si>
    <t>噫</t>
  </si>
  <si>
    <t>古史稱</t>
  </si>
  <si>
    <t>書契以前</t>
  </si>
  <si>
    <t>古=옛 · 史=사관·역사 · 稱=일컫다</t>
  </si>
  <si>
    <t>年代國都不可攷</t>
  </si>
  <si>
    <t>書=글 · 契=새긴 문서 · 以=~로써 · 前=앞</t>
  </si>
  <si>
    <t>然自有書契以來</t>
  </si>
  <si>
    <t>年=해 · 國=나라 · 都=도읍 · 不=아니다 · 可=옳다·가하다</t>
  </si>
  <si>
    <t>二十一代三千餘年</t>
  </si>
  <si>
    <t>然=그러하다 · 自=스스로 · 有=있다 · 書=글 · 契=새긴 문서 · 以=~로써 · 來=오다</t>
  </si>
  <si>
    <t>治天下將以何術也</t>
  </si>
  <si>
    <t>二=둘 · 十=열 · 一=하나 · 三=셋 · 千=일천 · 餘=남다 · 年=해</t>
  </si>
  <si>
    <t>井田吾知其有周公氏</t>
  </si>
  <si>
    <t>學問吾知其有孔子氏</t>
  </si>
  <si>
    <t>財賦吾知其有管仲氏</t>
  </si>
  <si>
    <t>學=배우다 · 問=묻다 · 吾=나 · 知=알다 · 其=그 · 有=있다 · 子=아들 · 氏=성씨</t>
  </si>
  <si>
    <t>吾未知復</t>
  </si>
  <si>
    <t>財 賦</t>
  </si>
  <si>
    <t>財=재물 · 賦=거두는 세 · 吾=나 · 知=알다 · 其=그 · 有=있다 · 氏=성씨</t>
  </si>
  <si>
    <t>有幾聖人竭其心思焉</t>
  </si>
  <si>
    <t>吾=나 · 未=아직 ~않다 · 知=알다</t>
  </si>
  <si>
    <t>幾聖人</t>
  </si>
  <si>
    <t>修飾之</t>
  </si>
  <si>
    <t>於二十一代三千餘年書契未造之前耶</t>
  </si>
  <si>
    <t>修=닦다 · 之=가다 (조사로도 쓰임)</t>
  </si>
  <si>
    <t>群聖人之所以竭其心思耳目艸刱潤色修飾者</t>
  </si>
  <si>
    <t>於=~에 · 二=둘 · 十=열 · 一=하나 · 三=셋 · 千=일천 · 餘=남다 · 年=해 · 書=글 · 契=새긴 문서</t>
  </si>
  <si>
    <t>將以自</t>
  </si>
  <si>
    <t>人=사람 · 之=가다 (조사로도 쓰임) · 所=바·곳 · 以=~로써 · 竭=물이 다 마르다 · 其=그 · 心=마음 · 耳=귀 · 目=눈 · 色=빛깔</t>
  </si>
  <si>
    <t>利乎</t>
  </si>
  <si>
    <t>以=~로써 · 自=스스로</t>
  </si>
  <si>
    <t>抑欲與萬世共享其福耶</t>
  </si>
  <si>
    <t>利=날이 날카롭다 → 이롭다 · 乎=의문의 조사</t>
  </si>
  <si>
    <t>一有心術不同</t>
  </si>
  <si>
    <t>欲=하고자 하다 · 與=주다 · 萬=일만 · 世=세상 · 其=그</t>
  </si>
  <si>
    <t>而暗收其功</t>
  </si>
  <si>
    <t>陽怒其人</t>
  </si>
  <si>
    <t>而陰享其利</t>
  </si>
  <si>
    <t>陽=볕 · 其=그 · 人=사람</t>
  </si>
  <si>
    <t>陽怒</t>
  </si>
  <si>
    <t>겉으로 드러냄</t>
  </si>
  <si>
    <t>볕이 표면적 태도로 옮겨감</t>
  </si>
  <si>
    <t>天下之寄技淫巧</t>
  </si>
  <si>
    <t>而=말 잇는 조사 · 陰=그늘 · 其=그 · 利=날이 날카롭다 → 이롭다</t>
  </si>
  <si>
    <t>陰享其利</t>
  </si>
  <si>
    <t>은밀한 취득</t>
  </si>
  <si>
    <t>그늘이 은밀한 이익 취득으로 옮겨감</t>
  </si>
  <si>
    <t>由是而日滋矣</t>
  </si>
  <si>
    <t>天=하늘 · 下=아래쪽 · 之=가다 (조사로도 쓰임)</t>
  </si>
  <si>
    <t>徙木棄灰</t>
  </si>
  <si>
    <t>而以一其制度者</t>
  </si>
  <si>
    <t>豈非所謂商鞅乎</t>
  </si>
  <si>
    <t>而=말 잇는 조사 · 以=~로써 · 一=하나 · 其=그 · 制=만들다·제도 · 者=~하는 것·사람</t>
  </si>
  <si>
    <t>夫此四五諸公者</t>
  </si>
  <si>
    <t>非=아니다 · 所=바·곳 · 謂=이르다 · 商=장사하다 · 乎=의문의 조사</t>
  </si>
  <si>
    <t>其力量才智</t>
  </si>
  <si>
    <t>夫=사내·무릇 · 此=이것 · 四=넷 · 五=다섯 · 諸=여러 · 公=공변되다·귀인 · 者=~하는 것·사람</t>
  </si>
  <si>
    <t>不震天動地</t>
  </si>
  <si>
    <t>而未始不欲與群聖人對頭並立乎宇宙之間矣</t>
  </si>
  <si>
    <t>不幸首出於書契旣造之後</t>
  </si>
  <si>
    <t>而=말 잇는 조사 · 未=아직 ~않다 · 始=처음 · 不=아니다 · 欲=하고자 하다 · 與=주다 · 人=사람 · 頭=머리 · 立=서다 · 乎=의문의 조사</t>
  </si>
  <si>
    <t>功利之享</t>
  </si>
  <si>
    <t>不=아니다 · 出=나가다 · 於=~에 · 書=글 · 契=새긴 문서 · 旣=이미 · 造=짓다 · 之=가다 (조사로도 쓰임) · 後=뒤</t>
  </si>
  <si>
    <t>獨</t>
  </si>
  <si>
    <t>利=날이 날카롭다 → 이롭다 · 之=가다 (조사로도 쓰임)</t>
  </si>
  <si>
    <t>歸後人</t>
  </si>
  <si>
    <t>獨=홀로</t>
  </si>
  <si>
    <t>吾又未知二十一代三千餘年之間</t>
  </si>
  <si>
    <t>幾桀紂幾蒙恬幾始</t>
  </si>
  <si>
    <t>皇幾商鞅</t>
  </si>
  <si>
    <t>幾=몇 · 始=처음</t>
  </si>
  <si>
    <t>效尤於書契旣造之後耶</t>
  </si>
  <si>
    <t>幾=몇 · 商=장사하다</t>
  </si>
  <si>
    <t>書契旣造之後如此</t>
  </si>
  <si>
    <t>於=~에 · 書=글 · 契=새긴 문서 · 旣=이미 · 造=짓다 · 之=가다 (조사로도 쓰임) · 後=뒤</t>
  </si>
  <si>
    <t>則書契未造之前</t>
  </si>
  <si>
    <t>書=글 · 契=새긴 문서 · 旣=이미 · 造=짓다 · 之=가다 (조사로도 쓰임) · 後=뒤 · 如=같다 · 此=이것</t>
  </si>
  <si>
    <t>其所損益可知也</t>
  </si>
  <si>
    <t>則=곧 · 書=글 · 契=새긴 문서 · 未=아직 ~않다 · 造=짓다 · 之=가다 (조사로도 쓰임) · 前=앞</t>
  </si>
  <si>
    <t>何以知其</t>
  </si>
  <si>
    <t>其=그 · 所=바·곳 · 損=덜다 · 益=더하다 · 可=옳다·가하다 · 知=알다 · 也=단정하는 조사</t>
  </si>
  <si>
    <t>孔</t>
  </si>
  <si>
    <t>子之學問如此也</t>
  </si>
  <si>
    <t>管仲之理財如此也</t>
  </si>
  <si>
    <t>子=아들 · 之=가다 (조사로도 쓰임) · 學=배우다 · 問=묻다 · 如=같다 · 此=이것 · 也=단정하는 조사</t>
  </si>
  <si>
    <t>桀紂之瓊宮瑤臺不過是法</t>
  </si>
  <si>
    <t>之=가다 (조사로도 쓰임) · 理=옥의 결 · 財=재물 · 如=같다 · 此=이것 · 也=단정하는 조사</t>
  </si>
  <si>
    <t>蒙恬之塹山塡谷不過是法</t>
  </si>
  <si>
    <t>之=가다 (조사로도 쓰임) · 不=아니다 · 過=지나다 · 是=옳다·이것 · 法=법</t>
  </si>
  <si>
    <t>始皇之</t>
  </si>
  <si>
    <t>除直道不過是法</t>
  </si>
  <si>
    <t>商鞅之一其制度不過是法</t>
  </si>
  <si>
    <t>道=길 · 不=아니다 · 過=지나다 · 是=옳다·이것 · 法=법</t>
  </si>
  <si>
    <t>何以知其然也</t>
  </si>
  <si>
    <t>商=장사하다 · 之=가다 (조사로도 쓰임) · 一=하나 · 其=그 · 制=만들다·제도 · 不=아니다 · 過=지나다 · 是=옳다·이것 · 法=법</t>
  </si>
  <si>
    <t>聖人甞同其律度量衡矣</t>
  </si>
  <si>
    <t>何=무엇 · 以=~로써 · 知=알다 · 其=그 · 然=그러하다 · 也=단정하는 조사</t>
  </si>
  <si>
    <t>聖人甞治懷山襄陵之水矣</t>
  </si>
  <si>
    <t>其畚鍤之多</t>
  </si>
  <si>
    <t>斧鑿之利</t>
  </si>
  <si>
    <t>其=그 · 之=가다 (조사로도 쓰임) · 多=많다</t>
  </si>
  <si>
    <t>工倕之巧</t>
  </si>
  <si>
    <t>役夫之衆</t>
  </si>
  <si>
    <t>工=장인 · 之=가다 (조사로도 쓰임)</t>
  </si>
  <si>
    <t>衣食足而知禮節</t>
  </si>
  <si>
    <t>則</t>
  </si>
  <si>
    <t>後世之欲富其國而强其兵者</t>
  </si>
  <si>
    <t>寧冒刻薄小恩之名</t>
  </si>
  <si>
    <t>後=뒤 · 世=세상 · 之=가다 (조사로도 쓰임) · 欲=하고자 하다 · 富=재물이 넉넉하다 · 其=그 · 國=나라 · 而=말 잇는 조사 · 强=굳세다 · 兵=무기</t>
  </si>
  <si>
    <t>豈適私利於其身哉</t>
  </si>
  <si>
    <t>薄=얇다 · 小=작다 · 之=가다 (조사로도 쓰임) · 名=이름</t>
  </si>
  <si>
    <t>論其心術於危微之際</t>
  </si>
  <si>
    <t>利=날이 날카롭다 → 이롭다 · 於=~에 · 其=그 · 身=몸</t>
  </si>
  <si>
    <t>辨其事</t>
  </si>
  <si>
    <t>其=그 · 心=마음 · 於=~에 · 危=위태롭다 · 之=가다 (조사로도 쓰임)</t>
  </si>
  <si>
    <t>危微之際</t>
  </si>
  <si>
    <t>미묘한 경계</t>
  </si>
  <si>
    <t>공간의 아슬함과 미세함이 심술의 갈림으로 옮겨감</t>
  </si>
  <si>
    <t>業於公私之間</t>
  </si>
  <si>
    <t>則精一之法非彼之謂也</t>
  </si>
  <si>
    <t>然若其功利之享</t>
  </si>
  <si>
    <t>則=곧 · 一=하나 · 之=가다 (조사로도 쓰임) · 法=법 · 非=아니다 · 彼=저 · 謂=이르다 · 也=단정하는 조사</t>
  </si>
  <si>
    <t>雖其法之出乎夷狄</t>
  </si>
  <si>
    <t>然=그러하다 · 若=같다 · 其=그 · 利=날이 날카롭다 → 이롭다 · 之=가다 (조사로도 쓰임)</t>
  </si>
  <si>
    <t>集其衆長</t>
  </si>
  <si>
    <t>雖=비록 · 其=그 · 法=법 · 之=가다 (조사로도 쓰임) · 出=나가다 · 乎=의문의 조사</t>
  </si>
  <si>
    <t>其設都之府曰順天</t>
  </si>
  <si>
    <t>在天之文曰箕尾之分</t>
  </si>
  <si>
    <t>在地之志曰禹貢冀州之域</t>
  </si>
  <si>
    <t>在=있다 · 天=하늘 · 之=가다 (조사로도 쓰임) · 文=무늬·글 · 曰=말하다 · 分=나누다</t>
  </si>
  <si>
    <t>高陽</t>
  </si>
  <si>
    <t>在=있다 · 地=땅 · 之=가다 (조사로도 쓰임) · 曰=말하다 · 貢=바치는 물건 · 州=고을</t>
  </si>
  <si>
    <t>氏謂之幽陵</t>
  </si>
  <si>
    <t>高=높다 · 陽=볕</t>
  </si>
  <si>
    <t>醋十兩</t>
  </si>
  <si>
    <t>香油一兩</t>
  </si>
  <si>
    <t>花椒一錢</t>
  </si>
  <si>
    <t>一=하나 · 兩=두 개·무게 단위</t>
  </si>
  <si>
    <t>燈油三鏇</t>
  </si>
  <si>
    <t>一=하나 · 錢=엽전</t>
  </si>
  <si>
    <t>蠟燭三枝</t>
  </si>
  <si>
    <t>醃菜各三</t>
  </si>
  <si>
    <t>觔</t>
  </si>
  <si>
    <t>花椒各一錢</t>
  </si>
  <si>
    <t>茶葉各一兩</t>
  </si>
  <si>
    <t>鹽各一兩</t>
  </si>
  <si>
    <t>茶=차 · 一=하나 · 兩=두 개·무게 단위</t>
  </si>
  <si>
    <t>黃酒二壺</t>
  </si>
  <si>
    <t>花椒五分</t>
  </si>
  <si>
    <t>茶葉五錢</t>
  </si>
  <si>
    <t>五=다섯 · 分=나누다</t>
  </si>
  <si>
    <t>淸</t>
  </si>
  <si>
    <t>茶=차 · 五=다섯 · 錢=엽전</t>
  </si>
  <si>
    <t>醬二兩</t>
  </si>
  <si>
    <t>淸=맑다</t>
  </si>
  <si>
    <t>甘醬四兩</t>
  </si>
  <si>
    <t>香油四錢</t>
  </si>
  <si>
    <t>甘=맛이 달다 · 四=넷 · 兩=두 개·무게 단위</t>
  </si>
  <si>
    <t>燈油一鍾</t>
  </si>
  <si>
    <t>四=넷 · 錢=엽전</t>
  </si>
  <si>
    <t>鹽一兩</t>
  </si>
  <si>
    <t>雇一兩太平車</t>
  </si>
  <si>
    <t>駕一驢而行</t>
  </si>
  <si>
    <t>廚房爲給一日之資</t>
  </si>
  <si>
    <t>一=하나 · 而=말 잇는 조사 · 行=걸어가다</t>
  </si>
  <si>
    <t>使時大換錢</t>
  </si>
  <si>
    <t>爲=하다·되다 · 給=주다 · 一=하나 · 日=해·날 · 之=가다 (조사로도 쓰임) · 資=밑천</t>
  </si>
  <si>
    <t>置車前</t>
  </si>
  <si>
    <t>使=시키다 · 時=때 · 大=크다 · 錢=엽전</t>
  </si>
  <si>
    <t>銀二兩</t>
  </si>
  <si>
    <t>置=두다 · 車=수레 · 前=앞</t>
  </si>
  <si>
    <t>爲錢二千二百葉</t>
  </si>
  <si>
    <t>銀=은 · 二=둘 · 兩=두 개·무게 단위</t>
  </si>
  <si>
    <t>時大爲車右</t>
  </si>
  <si>
    <t>爲=하다·되다 · 錢=엽전 · 二=둘 · 千=일천 · 百=일백</t>
  </si>
  <si>
    <t>張福坐車後</t>
  </si>
  <si>
    <t>時=때 · 大=크다 · 爲=하다·되다 · 車=수레</t>
  </si>
  <si>
    <t>蓋自正陽橫亘至宣武門</t>
  </si>
  <si>
    <t>有五巷而皆琉璃廠</t>
  </si>
  <si>
    <t>海內外貨寶之所居積也</t>
  </si>
  <si>
    <t>有=있다 · 五=다섯 · 而=말 잇는 조사 · 皆=모두</t>
  </si>
  <si>
    <t>余登一樓</t>
  </si>
  <si>
    <t>海=바다 · 內=안 · 外=바깥 · 貨=사고파는 물건 · 之=가다 (조사로도 쓰임) · 所=바·곳 · 居=머물러 살다 · 積=쌓아 올리다 · 也=단정하는 조사</t>
  </si>
  <si>
    <t>居積</t>
  </si>
  <si>
    <t>집적</t>
  </si>
  <si>
    <t>거처함이 물화의 쌓임으로 옮겨감</t>
  </si>
  <si>
    <t>憑欄而嘆曰</t>
  </si>
  <si>
    <t>余=나 · 一=하나 · 樓=다락</t>
  </si>
  <si>
    <t>厥有西子</t>
  </si>
  <si>
    <t>張祿間步旅邸</t>
  </si>
  <si>
    <t>厥有須賈</t>
  </si>
  <si>
    <t>旅=나그네</t>
  </si>
  <si>
    <t>子房從容圯上</t>
  </si>
  <si>
    <t>有=있다 · 賈=장사하다</t>
  </si>
  <si>
    <t>厥有黃石</t>
  </si>
  <si>
    <t>子=아들 · 從=좇다 · 上=위쪽</t>
  </si>
  <si>
    <t>與諸裨連牀夜語</t>
  </si>
  <si>
    <t>燕京舊時風俗淳厚</t>
  </si>
  <si>
    <t>譯輩雖萬金能相假貸</t>
  </si>
  <si>
    <t>燕=제비·연나라 · 京=서울 · 舊=옛 · 時=때 · 風=바람 · 俗=풍속 · 厚=두껍다</t>
  </si>
  <si>
    <t>연경의 옛 풍속은 순박하고 두터워</t>
  </si>
  <si>
    <t>연경의 옛 인심은 순박하고 후해서</t>
  </si>
  <si>
    <t>淳厚</t>
  </si>
  <si>
    <t>인심</t>
  </si>
  <si>
    <t>액체의 순도와 두께로 풍속을 말함</t>
  </si>
  <si>
    <t>今則彼以欺詐爲能事</t>
  </si>
  <si>
    <t>譯=통역하다 · 輩=무리 · 雖=비록 · 萬=일만 · 金=쇠붙이 · 能=능하다 · 相=서로</t>
  </si>
  <si>
    <t>역관 무리가 만금이라도 서로 빌려줄 수 있었다</t>
  </si>
  <si>
    <t>역관들끼리 만금이라도 서로 꾸어 주었다</t>
  </si>
  <si>
    <t>而其</t>
  </si>
  <si>
    <t>今=이제 · 則=곧 · 彼=저 · 以=~로써 · 爲=하다·되다 · 能=능하다 · 事=일</t>
  </si>
  <si>
    <t>이제는 저들이 속임수를 능사로 삼는데</t>
  </si>
  <si>
    <t>對曰</t>
  </si>
  <si>
    <t>渡江</t>
  </si>
  <si>
    <t>時潛挾他人銀</t>
  </si>
  <si>
    <t>江=큰 강</t>
  </si>
  <si>
    <t>강을 건널</t>
  </si>
  <si>
    <t>事發</t>
  </si>
  <si>
    <t>時=때 · 潛=물속에 잠기다 · 人=사람 · 銀=은</t>
  </si>
  <si>
    <t>때 남의 은을 몰래 끼고 있다가</t>
  </si>
  <si>
    <t>때 남의 은을 몰래 지니고 있다가</t>
  </si>
  <si>
    <t>潛</t>
  </si>
  <si>
    <t>은닉</t>
  </si>
  <si>
    <t>물속에 잠김이 은밀한 소지로 옮겨감</t>
  </si>
  <si>
    <t>倂已包沒于官</t>
  </si>
  <si>
    <t>일이 발각되어</t>
  </si>
  <si>
    <t>일이 들통나</t>
  </si>
  <si>
    <t>奪</t>
  </si>
  <si>
    <t>刀問曰</t>
  </si>
  <si>
    <t>所沒銀幾何</t>
  </si>
  <si>
    <t>問=묻다 · 曰=말하다</t>
  </si>
  <si>
    <t>칼을 빼앗고 물었다</t>
  </si>
  <si>
    <t>所=바·곳 · 沒=물에 빠져 가라앉다 · 銀=은 · 幾=몇 · 何=무엇</t>
  </si>
  <si>
    <t>몰수당한 은이 얼마인가</t>
  </si>
  <si>
    <t>몰수당한 은이 얼마나 되는가</t>
  </si>
  <si>
    <t>沒</t>
  </si>
  <si>
    <t>몰수</t>
  </si>
  <si>
    <t>물에 잠겨 사라짐이 재산 몰수로 옮겨감</t>
  </si>
  <si>
    <t>三千兩</t>
  </si>
  <si>
    <t>말하기를</t>
  </si>
  <si>
    <t>대답하기를</t>
  </si>
  <si>
    <t>主顧慰曰</t>
  </si>
  <si>
    <t>大丈夫獨患無身</t>
  </si>
  <si>
    <t>何患無銀</t>
  </si>
  <si>
    <t>大=크다 · 夫=사내·무릇 · 獨=홀로 · 無=없다 · 身=몸</t>
  </si>
  <si>
    <t>대장부는 오직 몸 없음을 근심할 뿐</t>
  </si>
  <si>
    <t>대장부가 걱정할 것은 몸뿐이지</t>
  </si>
  <si>
    <t>今死不還</t>
  </si>
  <si>
    <t>何=무엇 · 無=없다 · 銀=은</t>
  </si>
  <si>
    <t>어찌 은 없음을 근심하는가</t>
  </si>
  <si>
    <t>어찌 은이 없음을 걱정하는가</t>
  </si>
  <si>
    <t>將如妻子何</t>
  </si>
  <si>
    <t>今=이제 · 死=죽다 · 不=아니다 · 還=돌아오다</t>
  </si>
  <si>
    <t>이제 죽어 돌아가지 않으면</t>
  </si>
  <si>
    <t>吾貸</t>
  </si>
  <si>
    <t>君萬金</t>
  </si>
  <si>
    <t>吾=나</t>
  </si>
  <si>
    <t>내가 빌려주겠다</t>
  </si>
  <si>
    <t>五年貨殖</t>
  </si>
  <si>
    <t>君=임금·그대 · 萬=일만 · 金=쇠붙이</t>
  </si>
  <si>
    <t>그대에게 만금을</t>
  </si>
  <si>
    <t>可復得萬金</t>
  </si>
  <si>
    <t>貨殖</t>
  </si>
  <si>
    <t>五=다섯 · 年=해 · 貨=사고파는 물건 · 殖=초목이 자라 불다</t>
  </si>
  <si>
    <t>오 년을 재화로 불리면</t>
  </si>
  <si>
    <t>오 년만 굴리면</t>
  </si>
  <si>
    <t>재화 증식</t>
  </si>
  <si>
    <t>초목의 생장이 재화의 불림으로 옮겨감</t>
  </si>
  <si>
    <t>以本銀償我</t>
  </si>
  <si>
    <t>可=옳다·가하다 · 得=얻다 · 萬=일만 · 金=쇠붙이</t>
  </si>
  <si>
    <t>다시 만금을 얻을 수 있다</t>
  </si>
  <si>
    <t>다시 만금을 얻을 수 있으니</t>
  </si>
  <si>
    <t>譯旣得萬金</t>
  </si>
  <si>
    <t>以=~로써 · 本=나무의 뿌리 · 銀=은 · 償=갚다 · 我=나</t>
  </si>
  <si>
    <t>본은으로 나에게 갚으라</t>
  </si>
  <si>
    <t>원금만 내게 갚으라</t>
  </si>
  <si>
    <t>本銀</t>
  </si>
  <si>
    <t>원금</t>
  </si>
  <si>
    <t>초목의 뿌리가 자본의 근원으로 옮겨감</t>
  </si>
  <si>
    <t>遂大貿而還</t>
  </si>
  <si>
    <t>譯=통역하다 · 旣=이미 · 得=얻다 · 萬=일만 · 金=쇠붙이</t>
  </si>
  <si>
    <t>역관이 이미 만금을 얻어</t>
  </si>
  <si>
    <t>역관은 만금을 얻자</t>
  </si>
  <si>
    <t>當時未有識之者</t>
  </si>
  <si>
    <t>遂=마침내 · 大=크다 · 而=말 잇는 조사 · 還=돌아오다</t>
  </si>
  <si>
    <t>마침내 크게 무역해 돌아왔다</t>
  </si>
  <si>
    <t>크게 무역해 돌아왔다</t>
  </si>
  <si>
    <t>莫不神其才</t>
  </si>
  <si>
    <t>五年中遂致鉅富</t>
  </si>
  <si>
    <t>莫=없다 · 不=아니다 · 神=신령 · 其=그</t>
  </si>
  <si>
    <t>그 재주를 신통히 여기지 않는 이가 없었다</t>
  </si>
  <si>
    <t>神</t>
  </si>
  <si>
    <t>경탄</t>
  </si>
  <si>
    <t>신격 관념이 재능 평가로 옮겨감</t>
  </si>
  <si>
    <t>乃自削籍譯院</t>
  </si>
  <si>
    <t>五=다섯 · 年=해 · 中=가운데 · 遂=마침내 · 致=이르게 하다 · 鉅=큰 쇠 · 富=재물이 넉넉하다</t>
  </si>
  <si>
    <t>오 년 만에 마침내 큰 부자가 되었다</t>
  </si>
  <si>
    <t>오 년 만에 큰 부자가 되었다</t>
  </si>
  <si>
    <t>不復入燕</t>
  </si>
  <si>
    <t>乃=이에 · 自=스스로 · 籍=문서 · 譯=통역하다</t>
  </si>
  <si>
    <t>이에 스스로 역원의 적을 깎고</t>
  </si>
  <si>
    <t>그러고는 스스로 역관 명부에서 이름을 지우고</t>
  </si>
  <si>
    <t>有言李知事樞</t>
  </si>
  <si>
    <t>近世名譯也</t>
  </si>
  <si>
    <t>平居口未嘗言錢</t>
  </si>
  <si>
    <t>世=세상 · 名=이름 · 譯=통역하다 · 也=단정하는 조사</t>
  </si>
  <si>
    <t>근세의 이름난 역관이다</t>
  </si>
  <si>
    <t>出入燕京四十餘年</t>
  </si>
  <si>
    <t>平=평평하다 · 居=머물러 살다 · 口=입 · 未=아직 ~않다 · 言=말하다 · 錢=엽전</t>
  </si>
  <si>
    <t>평소에 입으로 돈을 말한 적이 없고</t>
  </si>
  <si>
    <t>평소 입으로 돈을 말한 적이 없고</t>
  </si>
  <si>
    <t>手未嘗執銀</t>
  </si>
  <si>
    <t>出=나가다 · 入=들다 · 燕=제비·연나라 · 京=서울 · 四=넷 · 十=열 · 餘=남다 · 年=해</t>
  </si>
  <si>
    <t>연경을 사십여 년 드나들면서도</t>
  </si>
  <si>
    <t>사십여 년 연경을 드나들면서도</t>
  </si>
  <si>
    <t>有愷悌君子之風</t>
  </si>
  <si>
    <t>手=손 · 未=아직 ~않다 · 銀=은</t>
  </si>
  <si>
    <t>손으로 은을 쥔 적이 없어</t>
  </si>
  <si>
    <t>有=있다 · 君=임금·그대 · 子=아들 · 之=가다 (조사로도 쓰임) · 風=바람</t>
  </si>
  <si>
    <t>화락한 군자의 풍모가 있었다</t>
  </si>
  <si>
    <t>온화한 군자의 풍모가 있었다</t>
  </si>
  <si>
    <t>風</t>
  </si>
  <si>
    <t>풍모</t>
  </si>
  <si>
    <t>바람이 인격의 기풍으로 옮겨감</t>
  </si>
  <si>
    <t>嘗遊娼館</t>
  </si>
  <si>
    <t>女隨色第</t>
  </si>
  <si>
    <t>價有千金者</t>
  </si>
  <si>
    <t>여자는 미모에 따라 등급이 있어</t>
  </si>
  <si>
    <t>여자는 미모에 따라 등급이 매겨져</t>
  </si>
  <si>
    <t>洪以千金求薦枕</t>
  </si>
  <si>
    <t>千金 價</t>
  </si>
  <si>
    <t>價=값 · 有=있다 · 千=일천 · 金=쇠붙이 · 者=~하는 것·사람</t>
  </si>
  <si>
    <t>값이 천금인 자가 있었다</t>
  </si>
  <si>
    <t>값이 천금인 이도 있었다</t>
  </si>
  <si>
    <t>女</t>
  </si>
  <si>
    <t>以=~로써 · 千=일천 · 金=쇠붙이 · 求=구하다</t>
  </si>
  <si>
    <t>홍이 천금으로 잠자리를 구하니</t>
  </si>
  <si>
    <t>홍순언이 천금을 내고 잠자리를 청하니</t>
  </si>
  <si>
    <t>方二八</t>
  </si>
  <si>
    <t>여자는</t>
  </si>
  <si>
    <t>그 여자는</t>
  </si>
  <si>
    <t>有殊色</t>
  </si>
  <si>
    <t>對君泣曰</t>
  </si>
  <si>
    <t>奴所以索高價者</t>
  </si>
  <si>
    <t>君=임금·그대 · 泣=울다 · 曰=말하다</t>
  </si>
  <si>
    <t>그대를 향해 울며 말했다</t>
  </si>
  <si>
    <t>그를 향해 울며 말했다</t>
  </si>
  <si>
    <t>誠謂天下皆慳男</t>
  </si>
  <si>
    <t>所=바·곳 · 以=~로써 · 高=높다 · 價=값 · 者=~하는 것·사람</t>
  </si>
  <si>
    <t>제가 높은 값을 부른 까닭은</t>
  </si>
  <si>
    <t>제가 값을 높이 부른 까닭은</t>
  </si>
  <si>
    <t>가격</t>
  </si>
  <si>
    <t>無肯捐千金者</t>
  </si>
  <si>
    <t>謂=이르다 · 天=하늘 · 下=아래쪽 · 皆=모두</t>
  </si>
  <si>
    <t>참으로 천하에 인색한 사내뿐이어서</t>
  </si>
  <si>
    <t>천하가 다 인색한 사내뿐이라</t>
  </si>
  <si>
    <t>祈以免斯須之辱</t>
  </si>
  <si>
    <t>無=없다 · 千=일천 · 金=쇠붙이 · 者=~하는 것·사람</t>
  </si>
  <si>
    <t>천금을 선뜻 내놓을 자가 없으리라 여겨</t>
  </si>
  <si>
    <t>천금을 선뜻 내놓을 이가 없으리라 여겨</t>
  </si>
  <si>
    <t>一日</t>
  </si>
  <si>
    <t>잠깐의 욕됨이나마 면하기를 빌었기 때문입니다</t>
  </si>
  <si>
    <t>잠시나마 욕을 면해 보려 한 것입니다</t>
  </si>
  <si>
    <t>本欲以愚館主</t>
  </si>
  <si>
    <t>一以望天下有義氣人</t>
  </si>
  <si>
    <t>贖奴作箕帚妾</t>
  </si>
  <si>
    <t>一=하나 · 以=~로써 · 望=바라보다 · 天=하늘 · 下=아래쪽 · 有=있다 · 義=옳음 · 氣=기운 · 人=사람</t>
  </si>
  <si>
    <t>하나는 천하에 의기 있는 사람을 만나기를 바랐습니다</t>
  </si>
  <si>
    <t>하나는 천하에 의기 있는 이를 만나기를 바랐습니다</t>
  </si>
  <si>
    <t>奴入娼館五日</t>
  </si>
  <si>
    <t>贖</t>
  </si>
  <si>
    <t>贖=값을 치러 되찾다</t>
  </si>
  <si>
    <t>저를 속량하여 아내로 삼아 주십시오</t>
  </si>
  <si>
    <t>저를 속량하여 거두어 주십시오</t>
  </si>
  <si>
    <t>箕帚</t>
  </si>
  <si>
    <t>아내</t>
  </si>
  <si>
    <t>가사 도구가 혼인 신분을 대신함</t>
  </si>
  <si>
    <t>無敢以千金來者</t>
  </si>
  <si>
    <t>入=들다 · 五=다섯 · 日=해·날</t>
  </si>
  <si>
    <t>제가 기방에 든 지 닷새인데</t>
  </si>
  <si>
    <t>今日幸</t>
  </si>
  <si>
    <t>無=없다 · 以=~로써 · 千=일천 · 金=쇠붙이 · 來=오다 · 者=~하는 것·사람</t>
  </si>
  <si>
    <t>감히 천금을 가지고 온 자가 없었습니다</t>
  </si>
  <si>
    <t>천금을 들고 온 이가 없었습니다</t>
  </si>
  <si>
    <t>逢天下義氣人</t>
  </si>
  <si>
    <t>今=이제 · 日=해·날</t>
  </si>
  <si>
    <t>오늘 다행히</t>
  </si>
  <si>
    <t>奴南京戶部侍郞某女也</t>
  </si>
  <si>
    <t>家被籍追贓</t>
  </si>
  <si>
    <t>自賣身娼館</t>
  </si>
  <si>
    <t>家=집 · 籍=문서</t>
  </si>
  <si>
    <t>집안이 적몰되어 장물을 추징당하자</t>
  </si>
  <si>
    <t>집안이 적몰되고 장물을 추징당하자</t>
  </si>
  <si>
    <t>以贖父死</t>
  </si>
  <si>
    <t>自=스스로 · 賣=팔다 · 身=몸</t>
  </si>
  <si>
    <t>스스로 기방에 몸을 팔아</t>
  </si>
  <si>
    <t>洪大驚曰</t>
  </si>
  <si>
    <t>以=~로써 · 贖=값을 치러 되찾다 · 死=죽다</t>
  </si>
  <si>
    <t>아버지의 죽음을 속량했습니다</t>
  </si>
  <si>
    <t>아버지 목숨을 건졌습니다</t>
  </si>
  <si>
    <t>吾實不識如此</t>
  </si>
  <si>
    <t>大=크다 · 曰=말하다</t>
  </si>
  <si>
    <t>홍이 크게 놀라 말했다</t>
  </si>
  <si>
    <t>홍순언이 크게 놀라 말했다</t>
  </si>
  <si>
    <t>今當贖妹</t>
  </si>
  <si>
    <t>吾=나 · 實=차다 · 不=아니다 · 如=같다 · 此=이것</t>
  </si>
  <si>
    <t>내 실로 이런 줄 몰랐다</t>
  </si>
  <si>
    <t>내 정말 몰랐구나</t>
  </si>
  <si>
    <t>償</t>
  </si>
  <si>
    <t>今=이제 · 當=마땅하다 · 贖=값을 치러 되찾다</t>
  </si>
  <si>
    <t>이제 마땅히 누이를 속량하겠으니</t>
  </si>
  <si>
    <t>이제 그대를 속량해 주겠으니</t>
  </si>
  <si>
    <t>價幾何</t>
  </si>
  <si>
    <t>償=갚다</t>
  </si>
  <si>
    <t>갚을</t>
  </si>
  <si>
    <t>치를</t>
  </si>
  <si>
    <t>女曰</t>
  </si>
  <si>
    <t>價=값 · 幾=몇 · 何=무엇</t>
  </si>
  <si>
    <t>값이 얼마인가</t>
  </si>
  <si>
    <t>二千金</t>
  </si>
  <si>
    <t>여자가 말했다</t>
  </si>
  <si>
    <t>洪立輸之</t>
  </si>
  <si>
    <t>二=둘 · 千=일천 · 金=쇠붙이</t>
  </si>
  <si>
    <t>이천 금입니다</t>
  </si>
  <si>
    <t>與訣別</t>
  </si>
  <si>
    <t>立=서다 · 輸=실어 보내다 · 之=가다 (조사로도 쓰임)</t>
  </si>
  <si>
    <t>홍이 곧 내주고</t>
  </si>
  <si>
    <t>홍순언이 곧바로 치르고</t>
  </si>
  <si>
    <t>丈人久忘乃女</t>
  </si>
  <si>
    <t>耶</t>
  </si>
  <si>
    <t>洪始知夫人乃娼館所贖女也</t>
  </si>
  <si>
    <t>~인가</t>
  </si>
  <si>
    <t>~란 말인가</t>
  </si>
  <si>
    <t>出娼館</t>
  </si>
  <si>
    <t>始=처음 · 知=알다 · 夫=사내·무릇 · 人=사람 · 乃=이에 · 所=바·곳 · 贖=값을 치러 되찾다 · 也=단정하는 조사</t>
  </si>
  <si>
    <t>홍은 비로소 부인이 곧 기방에서 속량한 여자임을 알았다</t>
  </si>
  <si>
    <t>홍순언은 그제야 부인이 그때 속량한 여자임을 알았다</t>
  </si>
  <si>
    <t>卽歸石星</t>
  </si>
  <si>
    <t>出=나가다</t>
  </si>
  <si>
    <t>기방에서 나와</t>
  </si>
  <si>
    <t>기방에서 나온 뒤</t>
  </si>
  <si>
    <t>皆刺報恩字</t>
  </si>
  <si>
    <t>及洪歸</t>
  </si>
  <si>
    <t>裝送報恩緞及他錦綺金銀</t>
  </si>
  <si>
    <t>及=미치다 · 歸=돌아가다</t>
  </si>
  <si>
    <t>홍이 돌아갈 때</t>
  </si>
  <si>
    <t>홍순언이 돌아갈 때</t>
  </si>
  <si>
    <t>不可勝數</t>
  </si>
  <si>
    <t>送=보내다 · 及=미치다 · 金=쇠붙이 · 銀=은</t>
  </si>
  <si>
    <t>보은단과 그 밖의 비단과 금은을 꾸려 보냈는데</t>
  </si>
  <si>
    <t>及壬倭寇</t>
  </si>
  <si>
    <t>不=아니다 · 可=옳다·가하다 · 勝=싸움에 이기다 · 數=세다·수</t>
  </si>
  <si>
    <t>이루 헤아릴 수 없었다</t>
  </si>
  <si>
    <t>以石本義朝鮮人</t>
  </si>
  <si>
    <t>故也</t>
  </si>
  <si>
    <t>故=까닭 · 也=단정하는 조사</t>
  </si>
  <si>
    <t>그러한 까닭이다</t>
  </si>
  <si>
    <t>그런 까닭이다</t>
  </si>
  <si>
    <t>有言朝鮮商賈熟主顧鄭世泰之富</t>
  </si>
  <si>
    <t>甲于皇城</t>
  </si>
  <si>
    <t>有=있다 · 言=말하다 · 朝=아침·조정 · 商=장사하다 · 賈=장사하다 · 熟=열매가 익다 · 主=주인 · 世=세상 · 之=가다 (조사로도 쓰임) · 富=재물이 넉넉하다</t>
  </si>
  <si>
    <t>조선 상인의 단골 정세태의 부유함을 말하는 이가 있었는데</t>
  </si>
  <si>
    <t>조선 상인의 단골이던 정세태의 부유함을 말하는 이가 있었는데</t>
  </si>
  <si>
    <t>及世泰死</t>
  </si>
  <si>
    <t>황성에서 으뜸이었다</t>
  </si>
  <si>
    <t>甲</t>
  </si>
  <si>
    <t>으뜸</t>
  </si>
  <si>
    <t>천간의 순위 표기가 부의 등급으로 옮겨감</t>
  </si>
  <si>
    <t>只有一孫</t>
  </si>
  <si>
    <t>男中絶色</t>
  </si>
  <si>
    <t>幼賣塲</t>
  </si>
  <si>
    <t>中=가운데 · 色=빛깔</t>
  </si>
  <si>
    <t>사내 가운데 빼어난 미모여서</t>
  </si>
  <si>
    <t>사내 가운데 빼어난 미모라</t>
  </si>
  <si>
    <t>戱</t>
  </si>
  <si>
    <t>어려서 놀이판에 팔려</t>
  </si>
  <si>
    <t>世泰時夥計林哥</t>
  </si>
  <si>
    <t>연희를</t>
  </si>
  <si>
    <t>今鉅富</t>
  </si>
  <si>
    <t>世=세상 · 時=때</t>
  </si>
  <si>
    <t>세태 때의 동무 임가는</t>
  </si>
  <si>
    <t>세태의 동무였던 임씨는</t>
  </si>
  <si>
    <t>見塲戱中一美男子</t>
  </si>
  <si>
    <t>今=이제 · 鉅=큰 쇠 · 富=재물이 넉넉하다</t>
  </si>
  <si>
    <t>지금 큰 부자인데</t>
  </si>
  <si>
    <t>鉅</t>
  </si>
  <si>
    <t>거대함</t>
  </si>
  <si>
    <t>큰 쇠가 재산 규모로 옮겨감</t>
  </si>
  <si>
    <t>呈戱</t>
  </si>
  <si>
    <t>見=보다 · 中=가운데 · 一=하나 · 子=아들</t>
  </si>
  <si>
    <t>놀이판 가운데 한 미남자를 보고</t>
  </si>
  <si>
    <t>놀이판에서 미남자 하나를 보고</t>
  </si>
  <si>
    <t>聞其爲鄭家兒郞</t>
  </si>
  <si>
    <t>相持泣</t>
  </si>
  <si>
    <t>遂以千金</t>
  </si>
  <si>
    <t>相=서로 · 泣=울다</t>
  </si>
  <si>
    <t>서로 붙들고 울며</t>
  </si>
  <si>
    <t>贖之</t>
  </si>
  <si>
    <t>遂=마침내 · 以=~로써 · 千=일천 · 金=쇠붙이</t>
  </si>
  <si>
    <t>마침내 천금으로</t>
  </si>
  <si>
    <t>마침내 천금을 들여</t>
  </si>
  <si>
    <t>與俱歸家</t>
  </si>
  <si>
    <t>贖=값을 치러 되찾다 · 之=가다 (조사로도 쓰임)</t>
  </si>
  <si>
    <t>그를 속량하여</t>
  </si>
  <si>
    <t>그를 속량해</t>
  </si>
  <si>
    <t>戒家人曰</t>
  </si>
  <si>
    <t>與=주다 · 俱=함께 · 歸=돌아가다 · 家=집</t>
  </si>
  <si>
    <t>함께 집으로 돌아와</t>
  </si>
  <si>
    <t>함께 집으로 데려와</t>
  </si>
  <si>
    <t>勿以戱子賤之</t>
  </si>
  <si>
    <t>及長</t>
  </si>
  <si>
    <t>中分其財而業之</t>
  </si>
  <si>
    <t>及=미치다 · 長=길다·자라다</t>
  </si>
  <si>
    <t>자라자</t>
  </si>
  <si>
    <t>장성하자</t>
  </si>
  <si>
    <t>世泰孫身</t>
  </si>
  <si>
    <t>中=가운데 · 分=나누다 · 其=그 · 財=재물 · 而=말 잇는 조사 · 業=생업 · 之=가다 (조사로도 쓰임)</t>
  </si>
  <si>
    <t>그 재산을 반으로 나누어 생업을 삼게 했다</t>
  </si>
  <si>
    <t>재산을 반으로 나누어 생업을 삼게 했다</t>
  </si>
  <si>
    <t>肥白美麗</t>
  </si>
  <si>
    <t>世=세상 · 身=몸</t>
  </si>
  <si>
    <t>세태의 손자는 몸이</t>
  </si>
  <si>
    <t>惟飛紙鷂</t>
  </si>
  <si>
    <t>遊戱皇城中</t>
  </si>
  <si>
    <t>城=성 · 中=가운데</t>
  </si>
  <si>
    <t>황성 안에서 놀이로 지냈다</t>
  </si>
  <si>
    <t>황성 안에서 놀며 지냈다</t>
  </si>
  <si>
    <t>舊時買賣</t>
  </si>
  <si>
    <t>不開包檢驗</t>
  </si>
  <si>
    <t>舊=옛 · 時=때 · 買=사다 · 賣=팔다</t>
  </si>
  <si>
    <t>옛날 매매에서는</t>
  </si>
  <si>
    <t>옛날 거래에서는</t>
  </si>
  <si>
    <t>直以燕裝還</t>
  </si>
  <si>
    <t>不=아니다 · 開=열다</t>
  </si>
  <si>
    <t>짐을 풀어 검사하지 않고</t>
  </si>
  <si>
    <t>未閱</t>
  </si>
  <si>
    <t>丁丑兩恤</t>
  </si>
  <si>
    <t>反獲倍直</t>
  </si>
  <si>
    <t>兩=두 개·무게 단위</t>
  </si>
  <si>
    <t>정축년 두 번의 진휼에</t>
  </si>
  <si>
    <t>정축년 두 차례 진휼 때</t>
  </si>
  <si>
    <t>然亦彼中不古之徵也</t>
  </si>
  <si>
    <t>도리어 갑절의 값을 얻었다</t>
  </si>
  <si>
    <t>오히려 갑절 값을 받았다</t>
  </si>
  <si>
    <t>近歲則物貨自裝</t>
  </si>
  <si>
    <t>然=그러하다 · 亦=또한 · 彼=저 · 中=가운데 · 不=아니다 · 古=옛 · 之=가다 (조사로도 쓰임) · 也=단정하는 조사</t>
  </si>
  <si>
    <t>그러나 이 또한 저들 가운데 옛 같지 않은 조짐이다</t>
  </si>
  <si>
    <t>그러나 이 또한 저들의 인심이 예전 같지 않다는 조짐이다</t>
  </si>
  <si>
    <t>不任主顧裝送云</t>
  </si>
  <si>
    <t>歲=한 해 · 則=곧 · 物=물건 · 貨=사고파는 물건 · 自=스스로</t>
  </si>
  <si>
    <t>근래에는 물화를 스스로 꾸리고</t>
  </si>
  <si>
    <t>요즘은 물건을 제 손으로 꾸리고</t>
  </si>
  <si>
    <t>不=아니다 · 任=맡기다 · 主=주인 · 送=보내다 · 云=이르다</t>
  </si>
  <si>
    <t>단골에게 꾸려 보내기를 맡기지 않는다고 한다</t>
  </si>
  <si>
    <t>단골에게 맡기지 않는다고 한다</t>
  </si>
  <si>
    <t>有言卞承業之病也</t>
  </si>
  <si>
    <t>欲閱視貨殖都數</t>
  </si>
  <si>
    <t>有=있다 · 言=말하다 · 業=생업 · 之=가다 (조사로도 쓰임) · 病=병들다 · 也=단정하는 조사</t>
  </si>
  <si>
    <t>변승업이 병들었을 때</t>
  </si>
  <si>
    <t>聚諸夥計帳簿</t>
  </si>
  <si>
    <t>欲=하고자 하다 · 貨=사고파는 물건 · 殖=초목이 자라 불다 · 都=도읍 · 數=세다·수</t>
  </si>
  <si>
    <t>재화 불린 총액을 살펴보고자 하여</t>
  </si>
  <si>
    <t>굴린 재산의 총액을 살펴보려고</t>
  </si>
  <si>
    <t>合籌之</t>
  </si>
  <si>
    <t>諸=여러</t>
  </si>
  <si>
    <t>여러 동무의 장부를 모아</t>
  </si>
  <si>
    <t>共銀五十餘萬</t>
  </si>
  <si>
    <t>합하여 셈하니</t>
  </si>
  <si>
    <t>합쳐 셈해 보니</t>
  </si>
  <si>
    <t>其子曰</t>
  </si>
  <si>
    <t>銀=은 · 五=다섯 · 十=열 · 餘=남다 · 萬=일만</t>
  </si>
  <si>
    <t>은이 모두 오십여만이었다</t>
  </si>
  <si>
    <t>斂散煩</t>
  </si>
  <si>
    <t>其=그 · 子=아들 · 曰=말하다</t>
  </si>
  <si>
    <t>그 아들이 말했다</t>
  </si>
  <si>
    <t>爲家計者</t>
  </si>
  <si>
    <t>鮮及三世矣</t>
  </si>
  <si>
    <t>國中之爲財者</t>
  </si>
  <si>
    <t>及=미치다 · 三=셋 · 世=세상 · 矣=마치는 조사</t>
  </si>
  <si>
    <t>삼대에 미치는 일이 드물다</t>
  </si>
  <si>
    <t>삼대를 잇는 일이 드뭅니다</t>
  </si>
  <si>
    <t>視吾家出入</t>
  </si>
  <si>
    <t>國=나라 · 中=가운데 · 之=가다 (조사로도 쓰임) · 爲=하다·되다 · 財=재물 · 者=~하는 것·사람</t>
  </si>
  <si>
    <t>나라 안에서 재물을 다루는 자들이</t>
  </si>
  <si>
    <t>나라 안에서 재물을 다루는 이들이</t>
  </si>
  <si>
    <t>爲高下</t>
  </si>
  <si>
    <t>吾=나 · 家=집 · 出=나가다 · 入=들다</t>
  </si>
  <si>
    <t>우리 집의 출입을 보아</t>
  </si>
  <si>
    <t>우리 집의 출납을 보고</t>
  </si>
  <si>
    <t>不散</t>
  </si>
  <si>
    <t>且及禍</t>
  </si>
  <si>
    <t>故其子孫蕃而擧貧窶者</t>
  </si>
  <si>
    <t>또 화가 미친다</t>
  </si>
  <si>
    <t>도리어 화가 미친다</t>
  </si>
  <si>
    <t>承業旣老</t>
  </si>
  <si>
    <t>故=까닭 · 其=그 · 子=아들 · 蕃=초목이 무성하다 · 而=말 잇는 조사 · 貧=재물이 모자라다 · 者=~하는 것·사람</t>
  </si>
  <si>
    <t>그러므로 그 자손이 번성하되 모두 가난한 것은</t>
  </si>
  <si>
    <t>그 자손이 번성하면서도 다들 가난한 것은</t>
  </si>
  <si>
    <t>蕃</t>
  </si>
  <si>
    <t>자손 번성</t>
  </si>
  <si>
    <t>초목의 무성함이 가문의 번성으로 옮겨감</t>
  </si>
  <si>
    <t>多散之也</t>
  </si>
  <si>
    <t>業=생업 · 旣=이미 · 老=늙다</t>
  </si>
  <si>
    <t>승업이 늙어</t>
  </si>
  <si>
    <t>余亦言有尹映者</t>
  </si>
  <si>
    <t>嘗道卞承業之富</t>
  </si>
  <si>
    <t>余=나 · 亦=또한 · 言=말하다 · 有=있다 · 者=~하는 것·사람</t>
  </si>
  <si>
    <t>나 또한 윤영이라는 자가 있다고 말했는데</t>
  </si>
  <si>
    <t>나 또한 윤영이라는 이를 말했는데</t>
  </si>
  <si>
    <t>其貨財有自來</t>
  </si>
  <si>
    <t>道=길 · 業=생업 · 之=가다 (조사로도 쓰임) · 富=재물이 넉넉하다</t>
  </si>
  <si>
    <t>일찍이 변승업의 부유함을 말하되</t>
  </si>
  <si>
    <t>일찍이 변승업의 부유함을 말하면서</t>
  </si>
  <si>
    <t>富甲一國</t>
  </si>
  <si>
    <t>財 貨</t>
  </si>
  <si>
    <t>其=그 · 貨=사고파는 물건 · 財=재물 · 有=있다 · 自=스스로 · 來=오다</t>
  </si>
  <si>
    <t>그 재화에는 유래가 있고</t>
  </si>
  <si>
    <t>그 재산에는 내력이 있고</t>
  </si>
  <si>
    <t>有自來</t>
  </si>
  <si>
    <t>유래</t>
  </si>
  <si>
    <t>이동이 재화의 내력으로 옮겨감</t>
  </si>
  <si>
    <t>至承業時少衰</t>
  </si>
  <si>
    <t>富=재물이 넉넉하다 · 一=하나 · 國=나라</t>
  </si>
  <si>
    <t>부유함이 한 나라에서 으뜸이었으나</t>
  </si>
  <si>
    <t>부유함이 온 나라에서 으뜸이었으나</t>
  </si>
  <si>
    <t>方其初起時</t>
  </si>
  <si>
    <t>至=이르다 · 業=생업 · 時=때 · 少=적다 · 衰=초목이 시들다</t>
  </si>
  <si>
    <t>승업 때에 이르러 조금 쇠했다</t>
  </si>
  <si>
    <t>승업 대에 이르러 조금 기울었다</t>
  </si>
  <si>
    <t>衰</t>
  </si>
  <si>
    <t>초목이 시듦이 가세의 기욺으로 옮겨감</t>
  </si>
  <si>
    <t>工未素學奈何</t>
  </si>
  <si>
    <t>妻曰</t>
  </si>
  <si>
    <t>不有商乎</t>
  </si>
  <si>
    <t>아내가 말했다</t>
  </si>
  <si>
    <t>生曰</t>
  </si>
  <si>
    <t>不=아니다 · 有=있다 · 商=장사하다 · 乎=의문의 조사</t>
  </si>
  <si>
    <t>장사가 있지 않습니까</t>
  </si>
  <si>
    <t>장사라도 하시지요</t>
  </si>
  <si>
    <t>商無本錢奈何</t>
  </si>
  <si>
    <t>허생이 말했다</t>
  </si>
  <si>
    <t>其妻恚且罵曰</t>
  </si>
  <si>
    <t>錢 商</t>
  </si>
  <si>
    <t>商=장사하다 · 無=없다 · 本=나무의 뿌리 · 錢=엽전 · 何=무엇</t>
  </si>
  <si>
    <t>장사는 밑천이 없으니 어찌하겠는가</t>
  </si>
  <si>
    <t>장사는 밑천이 없으니 어쩌겠는가</t>
  </si>
  <si>
    <t>本錢</t>
  </si>
  <si>
    <t>자본</t>
  </si>
  <si>
    <t>초목의 뿌리가 밑천으로 옮겨감</t>
  </si>
  <si>
    <t>晝夜讀書</t>
  </si>
  <si>
    <t>그 아내가 성내고 또 꾸짖어 말했다</t>
  </si>
  <si>
    <t>아내가 성내며 꾸짖었다</t>
  </si>
  <si>
    <t>只學奈何</t>
  </si>
  <si>
    <t>不工</t>
  </si>
  <si>
    <t>不商</t>
  </si>
  <si>
    <t>不=아니다 · 工=장인</t>
  </si>
  <si>
    <t>장인도 아니고</t>
  </si>
  <si>
    <t>何不盜賊</t>
  </si>
  <si>
    <t>不=아니다 · 商=장사하다</t>
  </si>
  <si>
    <t>장사도 아니면</t>
  </si>
  <si>
    <t>許生掩卷起曰</t>
  </si>
  <si>
    <t>何=무엇 · 不=아니다</t>
  </si>
  <si>
    <t>어찌 도적질하지 않습니까</t>
  </si>
  <si>
    <t>차라리 도적질이라도 하시지요</t>
  </si>
  <si>
    <t>直之雲從街</t>
  </si>
  <si>
    <t>問市中人曰</t>
  </si>
  <si>
    <t>漢陽中誰最富</t>
  </si>
  <si>
    <t>問=묻다 · 市=저자 · 中=가운데 · 人=사람 · 曰=말하다</t>
  </si>
  <si>
    <t>저자 사람에게 물었다</t>
  </si>
  <si>
    <t>저잣거리 사람에게 물었다</t>
  </si>
  <si>
    <t>有道卞氏者</t>
  </si>
  <si>
    <t>漢=한나라·사내 · 陽=볕 · 中=가운데 · 富=재물이 넉넉하다</t>
  </si>
  <si>
    <t>한양에서 누가 가장 부유한가</t>
  </si>
  <si>
    <t>한양에서 누가 가장 부자인가</t>
  </si>
  <si>
    <t>遂訪其家</t>
  </si>
  <si>
    <t>有=있다 · 道=길 · 氏=성씨 · 者=~하는 것·사람</t>
  </si>
  <si>
    <t>변씨라 말하는 이가 있어</t>
  </si>
  <si>
    <t>변씨라 하는 이가 있어</t>
  </si>
  <si>
    <t>許生長揖曰</t>
  </si>
  <si>
    <t>吾家貧</t>
  </si>
  <si>
    <t>許=허락하다 · 生=낳다·살다 · 長=길다·자라다 · 曰=말하다</t>
  </si>
  <si>
    <t>허생이 길게 읍하며 말했다</t>
  </si>
  <si>
    <t>허생이 길게 읍하고 말했다</t>
  </si>
  <si>
    <t>欲有所小試</t>
  </si>
  <si>
    <t>吾=나 · 家=집 · 貧=재물이 모자라다</t>
  </si>
  <si>
    <t>내 집이 가난한데</t>
  </si>
  <si>
    <t>願從君借萬金</t>
  </si>
  <si>
    <t>欲=하고자 하다 · 有=있다 · 所=바·곳 · 小=작다</t>
  </si>
  <si>
    <t>조금 시험해 보고 싶은 바가 있어</t>
  </si>
  <si>
    <t>한번 시험해 볼 일이 있어</t>
  </si>
  <si>
    <t>卞氏曰</t>
  </si>
  <si>
    <t>從=좇다 · 君=임금·그대 · 萬=일만 · 金=쇠붙이</t>
  </si>
  <si>
    <t>그대에게 만금을 빌리고자 한다</t>
  </si>
  <si>
    <t>그대에게 만금을 빌리고자 하오</t>
  </si>
  <si>
    <t>諾</t>
  </si>
  <si>
    <t>氏=성씨 · 曰=말하다</t>
  </si>
  <si>
    <t>변씨가 말했다</t>
  </si>
  <si>
    <t>立與萬金</t>
  </si>
  <si>
    <t>그러시오</t>
  </si>
  <si>
    <t>客竟不謝而去</t>
  </si>
  <si>
    <t>立=서다 · 與=주다 · 萬=일만 · 金=쇠붙이</t>
  </si>
  <si>
    <t>곧바로 만금을 주었다</t>
  </si>
  <si>
    <t>곧바로 만금을 내주었다</t>
  </si>
  <si>
    <t>子弟賓客</t>
  </si>
  <si>
    <t>客=손님 · 不=아니다 · 而=말 잇는 조사 · 去=가다</t>
  </si>
  <si>
    <t>객은 끝내 사례하지 않고 갔다</t>
  </si>
  <si>
    <t>객은 끝내 인사도 없이 가 버렸다</t>
  </si>
  <si>
    <t>不知也</t>
  </si>
  <si>
    <t>今一朝</t>
  </si>
  <si>
    <t>浪空擲萬金於生平所不知何人</t>
  </si>
  <si>
    <t>今=이제 · 一=하나 · 朝=아침·조정</t>
  </si>
  <si>
    <t>이제 하루아침에</t>
  </si>
  <si>
    <t>그런데 하루아침에</t>
  </si>
  <si>
    <t>而不問其</t>
  </si>
  <si>
    <t>浪=물결 · 萬=일만 · 金=쇠붙이 · 於=~에 · 生=낳다·살다 · 平=평평하다 · 所=바·곳 · 不=아니다 · 知=알다 · 何=무엇</t>
  </si>
  <si>
    <t>평생 알지 못하는 어떤 사람에게 만금을 헛되이 던지고도</t>
  </si>
  <si>
    <t>평생 모르던 사람에게 만금을 덜컥 내주고도</t>
  </si>
  <si>
    <t>浪</t>
  </si>
  <si>
    <t>함부로</t>
  </si>
  <si>
    <t>姓名何也</t>
  </si>
  <si>
    <t>而=말 잇는 조사 · 不=아니다 · 問=묻다 · 其=그</t>
  </si>
  <si>
    <t>그 ~을 묻지 않으니</t>
  </si>
  <si>
    <t>그것조차 묻지 않으니</t>
  </si>
  <si>
    <t>吾亦有所試於客</t>
  </si>
  <si>
    <t>不與則已</t>
  </si>
  <si>
    <t>旣與之萬金</t>
  </si>
  <si>
    <t>不=아니다 · 與=주다 · 則=곧 · 已=이미</t>
  </si>
  <si>
    <t>주지 않았으면 그만이지만</t>
  </si>
  <si>
    <t>주지 않았으면 그만이나</t>
  </si>
  <si>
    <t>問姓名何爲</t>
  </si>
  <si>
    <t>旣=이미 · 與=주다 · 之=가다 (조사로도 쓰임) · 萬=일만 · 金=쇠붙이</t>
  </si>
  <si>
    <t>이미 만금을 주고서</t>
  </si>
  <si>
    <t>이미 만금을 준 마당에</t>
  </si>
  <si>
    <t>於是許生旣得萬金</t>
  </si>
  <si>
    <t>問=묻다 · 名=이름 · 何=무엇 · 爲=하다·되다</t>
  </si>
  <si>
    <t>성명을 물어 무엇 하겠는가</t>
  </si>
  <si>
    <t>성명을 물어 무엇 하겠느냐</t>
  </si>
  <si>
    <t>不復還家</t>
  </si>
  <si>
    <t>於=~에 · 是=옳다·이것 · 許=허락하다 · 生=낳다·살다 · 旣=이미 · 得=얻다 · 萬=일만 · 金=쇠붙이</t>
  </si>
  <si>
    <t>이에 허생은 만금을 얻고서</t>
  </si>
  <si>
    <t>이에 허생은 만금을 얻자</t>
  </si>
  <si>
    <t>以爲安城畿湖之交</t>
  </si>
  <si>
    <t>不=아니다 · 還=돌아오다 · 家=집</t>
  </si>
  <si>
    <t>다시 집에 돌아가지 않고</t>
  </si>
  <si>
    <t>집에는 돌아가지도 않고</t>
  </si>
  <si>
    <t>遂止居焉</t>
  </si>
  <si>
    <t>棗栗柹梨柑榴橘柚之屬</t>
  </si>
  <si>
    <t>皆以倍直居之</t>
  </si>
  <si>
    <t>대추·밤·감·배·감귤·석류·유자 따위를</t>
  </si>
  <si>
    <t>許生榷菓</t>
  </si>
  <si>
    <t>皆=모두 · 以=~로써 · 倍=갑절 · 居=머물러 살다 · 之=가다 (조사로도 쓰임)</t>
  </si>
  <si>
    <t>모두 갑절 값으로 사들였다</t>
  </si>
  <si>
    <t>모두 갑절 값을 주고 사들였다</t>
  </si>
  <si>
    <t>而國中無以讌祀</t>
  </si>
  <si>
    <t>許=허락하다 · 生=낳다·살다</t>
  </si>
  <si>
    <t>허생이 과일을 독점하니</t>
  </si>
  <si>
    <t>榷</t>
  </si>
  <si>
    <t>전매</t>
  </si>
  <si>
    <t>외나무다리의 독점 통행이 상권 독점으로 옮겨감</t>
  </si>
  <si>
    <t>居頃之</t>
  </si>
  <si>
    <t>諸賈之獲倍直於許生者</t>
  </si>
  <si>
    <t>居=머물러 살다 · 之=가다 (조사로도 쓰임)</t>
  </si>
  <si>
    <t>얼마 뒤</t>
  </si>
  <si>
    <t>反輸十倍</t>
  </si>
  <si>
    <t>賈 倍</t>
  </si>
  <si>
    <t>諸=여러 · 賈=장사하다 · 之=가다 (조사로도 쓰임) · 倍=갑절 · 於=~에 · 許=허락하다 · 生=낳다·살다 · 者=~하는 것·사람</t>
  </si>
  <si>
    <t>허생에게 갑절 값을 받았던 여러 장사꾼이</t>
  </si>
  <si>
    <t>허생에게 갑절 값을 받았던 장사꾼들이</t>
  </si>
  <si>
    <t>許生喟然嘆曰</t>
  </si>
  <si>
    <t>輸=실어 보내다 · 十=열 · 倍=갑절</t>
  </si>
  <si>
    <t>도리어 열 배를 실어 왔다</t>
  </si>
  <si>
    <t>도리어 열 배를 치르고 실어 갔다</t>
  </si>
  <si>
    <t>以萬金傾之</t>
  </si>
  <si>
    <t>許=허락하다 · 生=낳다·살다 · 然=그러하다 · 曰=말하다</t>
  </si>
  <si>
    <t>허생이 크게 탄식하며 말했다</t>
  </si>
  <si>
    <t>短國淺深矣</t>
  </si>
  <si>
    <t>以=~로써 · 萬=일만 · 金=쇠붙이 · 傾=한쪽으로 기울다 · 之=가다 (조사로도 쓰임)</t>
  </si>
  <si>
    <t>만금으로 기울일 수 있으니</t>
  </si>
  <si>
    <t>만금으로 온 나라를 흔들 수 있으니</t>
  </si>
  <si>
    <t>기울임</t>
  </si>
  <si>
    <t>공간의 기욺이 국중 물가의 동요로 옮겨감</t>
  </si>
  <si>
    <t>以刀鏄布帛綿入濟州</t>
  </si>
  <si>
    <t>短=짧다 · 國=나라 · 淺=얕다 · 深=깊다 · 矣=마치는 조사</t>
  </si>
  <si>
    <t>나라의 깊고 얕음을 알겠다</t>
  </si>
  <si>
    <t>나라의 얕고 깊음을 알 만하다</t>
  </si>
  <si>
    <t>短·淺深</t>
  </si>
  <si>
    <t>국력 헤아림</t>
  </si>
  <si>
    <t>길이와 깊이의 측량이 국력 판단으로 옮겨감</t>
  </si>
  <si>
    <t>人不裹頭矣</t>
  </si>
  <si>
    <t>網巾價至十倍</t>
  </si>
  <si>
    <t>許生問老篙師曰</t>
  </si>
  <si>
    <t>價 倍</t>
  </si>
  <si>
    <t>價=값 · 至=이르다 · 十=열 · 倍=갑절</t>
  </si>
  <si>
    <t>망건 값이 열 배에 이르렀다</t>
  </si>
  <si>
    <t>망건 값이 열 배로 뛰었다</t>
  </si>
  <si>
    <t>海外豈有空島可以居者乎</t>
  </si>
  <si>
    <t>許=허락하다 · 生=낳다·살다 · 問=묻다 · 老=늙다 · 曰=말하다</t>
  </si>
  <si>
    <t>허생이 늙은 사공에게 물었다</t>
  </si>
  <si>
    <t>爾能導我</t>
  </si>
  <si>
    <t>富貴共之</t>
  </si>
  <si>
    <t>能=능하다 · 我=나</t>
  </si>
  <si>
    <t>네가 나를 인도할 수 있으면</t>
  </si>
  <si>
    <t>네가 나를 데려다 줄 수 있다면</t>
  </si>
  <si>
    <t>篙師從之</t>
  </si>
  <si>
    <t>富=재물이 넉넉하다 · 貴=귀하다 · 之=가다 (조사로도 쓰임)</t>
  </si>
  <si>
    <t>부귀를 함께하리라</t>
  </si>
  <si>
    <t>부귀를 함께 누리리라</t>
  </si>
  <si>
    <t>遂御風東南</t>
  </si>
  <si>
    <t>從=좇다 · 之=가다 (조사로도 쓰임)</t>
  </si>
  <si>
    <t>사공이 그를 따라</t>
  </si>
  <si>
    <t>爲</t>
  </si>
  <si>
    <t>土肥泉甘</t>
  </si>
  <si>
    <t>只可作富家翁</t>
  </si>
  <si>
    <t>肥=살이 찌다 · 甘=맛이 달다</t>
  </si>
  <si>
    <t>흙은 기름지고 샘은 달아</t>
  </si>
  <si>
    <t>땅은 기름지고 샘물은 달아</t>
  </si>
  <si>
    <t>肥</t>
  </si>
  <si>
    <t>땅의 기름짐</t>
  </si>
  <si>
    <t>신체의 살찜이 땅의 기름짐으로 옮겨감</t>
  </si>
  <si>
    <t>篙師曰</t>
  </si>
  <si>
    <t>可=옳다·가하다 · 富=재물이 넉넉하다 · 家=집</t>
  </si>
  <si>
    <t>다만 부잣집 늙은이는 될 만하다</t>
  </si>
  <si>
    <t>부잣집 늙은이 노릇은 할 만하다</t>
  </si>
  <si>
    <t>島空無人</t>
  </si>
  <si>
    <t>사공이 말했다</t>
  </si>
  <si>
    <t>許生入賊中說其魁帥</t>
  </si>
  <si>
    <t>千人掠千金</t>
  </si>
  <si>
    <t>말했다</t>
  </si>
  <si>
    <t>물었다</t>
  </si>
  <si>
    <t>所分幾何</t>
  </si>
  <si>
    <t>千=일천 · 人=사람 · 金=쇠붙이</t>
  </si>
  <si>
    <t>천 사람이 천금을 노략하면</t>
  </si>
  <si>
    <t>천 사람이 천금을 털면</t>
  </si>
  <si>
    <t>所=바·곳 · 分=나누다 · 幾=몇 · 何=무엇</t>
  </si>
  <si>
    <t>나누는 몫이 얼마인가</t>
  </si>
  <si>
    <t>한 사람 몫이 얼마나 되느냐</t>
  </si>
  <si>
    <t>審若是也</t>
  </si>
  <si>
    <t>何不娶妻樹屋</t>
  </si>
  <si>
    <t>買牛耕田</t>
  </si>
  <si>
    <t>何=무엇 · 不=아니다 · 屋=집</t>
  </si>
  <si>
    <t>어찌 아내를 얻고 집을 세워</t>
  </si>
  <si>
    <t>어찌 아내를 얻고 집을 지어</t>
  </si>
  <si>
    <t>樹屋</t>
  </si>
  <si>
    <t>집을 세움</t>
  </si>
  <si>
    <t>나무를 심음이 가정을 이룸으로 옮겨감</t>
  </si>
  <si>
    <t>生無盜賊之名</t>
  </si>
  <si>
    <t>買=사다 · 牛=소 · 田=밭</t>
  </si>
  <si>
    <t>소를 사서 밭을 갈아</t>
  </si>
  <si>
    <t>소를 사 밭을 갈며</t>
  </si>
  <si>
    <t>而居有妻室之樂</t>
  </si>
  <si>
    <t>生=낳다·살다 · 無=없다 · 之=가다 (조사로도 쓰임) · 名=이름</t>
  </si>
  <si>
    <t>살아서 도적이라는 이름이 없고</t>
  </si>
  <si>
    <t>살아서 도적이라는 이름을 벗고</t>
  </si>
  <si>
    <t>群盜曰</t>
  </si>
  <si>
    <t>豈不願如此</t>
  </si>
  <si>
    <t>但無錢耳</t>
  </si>
  <si>
    <t>不=아니다 · 如=같다 · 此=이것</t>
  </si>
  <si>
    <t>어찌 이렇게 하기를 원하지 않겠습니까</t>
  </si>
  <si>
    <t>어찌 그러고 싶지 않겠습니까</t>
  </si>
  <si>
    <t>許生笑曰</t>
  </si>
  <si>
    <t>無=없다 · 錢=엽전 · 耳=귀</t>
  </si>
  <si>
    <t>다만 돈이 없을 뿐입니다</t>
  </si>
  <si>
    <t>爾爲盜何患無錢</t>
  </si>
  <si>
    <t>許=허락하다 · 生=낳다·살다 · 笑=웃다 · 曰=말하다</t>
  </si>
  <si>
    <t>허생이 웃으며 말했다</t>
  </si>
  <si>
    <t>吾能爲</t>
  </si>
  <si>
    <t>爲=하다·되다 · 何=무엇 · 無=없다 · 錢=엽전</t>
  </si>
  <si>
    <t>너희가 도적이면서 어찌 돈 없음을 근심하느냐</t>
  </si>
  <si>
    <t>도적질하면서 어찌 돈 걱정을 하느냐</t>
  </si>
  <si>
    <t>汝辦之</t>
  </si>
  <si>
    <t>吾=나 · 能=능하다 · 爲=하다·되다</t>
  </si>
  <si>
    <t>내가 할 수 있으니</t>
  </si>
  <si>
    <t>내가 마련해 줄 터이니</t>
  </si>
  <si>
    <t>明日</t>
  </si>
  <si>
    <t>視海上風旗紅者</t>
  </si>
  <si>
    <t>皆錢船也</t>
  </si>
  <si>
    <t>海=바다 · 上=위쪽 · 風=바람 · 者=~하는 것·사람</t>
  </si>
  <si>
    <t>바다 위에 붉은 깃발을 단 것을 보면</t>
  </si>
  <si>
    <t>바다 위에 붉은 깃발 단 배를 보거든</t>
  </si>
  <si>
    <t>恣汝取去</t>
  </si>
  <si>
    <t>皆=모두 · 錢=엽전 · 也=단정하는 조사</t>
  </si>
  <si>
    <t>모두 돈 실은 배다</t>
  </si>
  <si>
    <t>모두 돈을 실은 배다</t>
  </si>
  <si>
    <t>許生約群盜</t>
  </si>
  <si>
    <t>取=가지다 · 去=가다</t>
  </si>
  <si>
    <t>네 마음대로 가져가라</t>
  </si>
  <si>
    <t>마음대로 가져가라</t>
  </si>
  <si>
    <t>至海</t>
  </si>
  <si>
    <t>許生載錢三十萬</t>
  </si>
  <si>
    <t>上=위쪽</t>
  </si>
  <si>
    <t>위</t>
  </si>
  <si>
    <t>위에</t>
  </si>
  <si>
    <t>皆大驚羅拜曰</t>
  </si>
  <si>
    <t>許=허락하다 · 生=낳다·살다 · 錢=엽전 · 三=셋 · 十=열 · 萬=일만</t>
  </si>
  <si>
    <t>허생이 돈 삼십만을 싣고</t>
  </si>
  <si>
    <t>唯將軍令</t>
  </si>
  <si>
    <t>皆=모두 · 大=크다 · 曰=말하다</t>
  </si>
  <si>
    <t>모두 크게 놀라 늘어서 절하며 말했다</t>
  </si>
  <si>
    <t>惟力負去</t>
  </si>
  <si>
    <t>於是群盜</t>
  </si>
  <si>
    <t>爭負錢</t>
  </si>
  <si>
    <t>於=~에 · 是=옳다·이것</t>
  </si>
  <si>
    <t>이에 도적 무리가</t>
  </si>
  <si>
    <t>人不過百金</t>
  </si>
  <si>
    <t>爭=다투다 · 錢=엽전</t>
  </si>
  <si>
    <t>다투어 돈을 지니</t>
  </si>
  <si>
    <t>다투어 돈을 짊어졌으나</t>
  </si>
  <si>
    <t>許</t>
  </si>
  <si>
    <t>人=사람 · 不=아니다 · 過=지나다 · 百=일백 · 金=쇠붙이</t>
  </si>
  <si>
    <t>한 사람이 백금을 넘지 못했다</t>
  </si>
  <si>
    <t>한 사람이 백금을 넘기지 못했다</t>
  </si>
  <si>
    <t>方大饑</t>
  </si>
  <si>
    <t>遂賑之</t>
  </si>
  <si>
    <t>獲銀百</t>
  </si>
  <si>
    <t>遂=마침내 · 之=가다 (조사로도 쓰임)</t>
  </si>
  <si>
    <t>마침내 진휼하고</t>
  </si>
  <si>
    <t>萬</t>
  </si>
  <si>
    <t>銀=은 · 百=일백</t>
  </si>
  <si>
    <t>은 백</t>
  </si>
  <si>
    <t>許生歎曰</t>
  </si>
  <si>
    <t>萬=일만</t>
  </si>
  <si>
    <t>만을</t>
  </si>
  <si>
    <t>令之曰</t>
  </si>
  <si>
    <t>吾始與汝等入此島</t>
  </si>
  <si>
    <t>先富之</t>
  </si>
  <si>
    <t>吾=나 · 始=처음 · 與=주다 · 等=무리 · 入=들다 · 此=이것</t>
  </si>
  <si>
    <t>내가 처음에 너희와 이 섬에 들어와</t>
  </si>
  <si>
    <t>내가 처음 너희와 이 섬에 들어와</t>
  </si>
  <si>
    <t>然後別造文</t>
  </si>
  <si>
    <t>先=먼저 · 富=재물이 넉넉하다 · 之=가다 (조사로도 쓰임)</t>
  </si>
  <si>
    <t>먼저 부유하게 한 뒤에</t>
  </si>
  <si>
    <t>먼저 부유하게 한 다음</t>
  </si>
  <si>
    <t>字</t>
  </si>
  <si>
    <t>然=그러하다 · 後=뒤 · 造=짓다 · 文=무늬·글</t>
  </si>
  <si>
    <t>따로 문자를 만들고</t>
  </si>
  <si>
    <t>따로 글자를 만들고</t>
  </si>
  <si>
    <t>莫往則莫</t>
  </si>
  <si>
    <t>投銀五十萬於海中曰</t>
  </si>
  <si>
    <t>來=오다</t>
  </si>
  <si>
    <t>오다</t>
  </si>
  <si>
    <t>海枯有得者</t>
  </si>
  <si>
    <t>銀=은 · 五=다섯 · 十=열 · 萬=일만 · 於=~에 · 海=바다 · 中=가운데 · 曰=말하다</t>
  </si>
  <si>
    <t>은 오십만을 바다에 던지며 말했다</t>
  </si>
  <si>
    <t>百萬無所容於國中</t>
  </si>
  <si>
    <t>海=바다 · 有=있다 · 得=얻다 · 者=~하는 것·사람</t>
  </si>
  <si>
    <t>바다가 마르면 얻는 자가 있으리라</t>
  </si>
  <si>
    <t>바다가 마르면 얻는 이가 있으리라</t>
  </si>
  <si>
    <t>於此島</t>
  </si>
  <si>
    <t>於是遍行國中</t>
  </si>
  <si>
    <t>賑施與貧無告者</t>
  </si>
  <si>
    <t>於=~에 · 是=옳다·이것 · 行=걸어가다 · 國=나라 · 中=가운데</t>
  </si>
  <si>
    <t>이에 나라 안을 두루 다니며</t>
  </si>
  <si>
    <t>銀尙餘十萬曰</t>
  </si>
  <si>
    <t>與=주다 · 貧=재물이 모자라다 · 無=없다 · 者=~하는 것·사람</t>
  </si>
  <si>
    <t>가난하여 하소연할 데 없는 이들에게 나누어 베풀었다</t>
  </si>
  <si>
    <t>가난하여 하소연할 데 없는 이들에게 나누어 주었다</t>
  </si>
  <si>
    <t>此可以報卞氏</t>
  </si>
  <si>
    <t>銀=은 · 餘=남다 · 十=열 · 萬=일만 · 曰=말하다</t>
  </si>
  <si>
    <t>은이 아직 십만이 남자 말했다</t>
  </si>
  <si>
    <t>은이 아직 십만 남자 말했다</t>
  </si>
  <si>
    <t>往見卞氏曰</t>
  </si>
  <si>
    <t>此=이것 · 可=옳다·가하다 · 以=~로써 · 氏=성씨</t>
  </si>
  <si>
    <t>이것으로 변씨에게 갚을 수 있겠다</t>
  </si>
  <si>
    <t>子之容色</t>
  </si>
  <si>
    <t>不少瘳</t>
  </si>
  <si>
    <t>得無敗萬金乎</t>
  </si>
  <si>
    <t>不=아니다 · 少=적다 · 瘳=병이 낫다</t>
  </si>
  <si>
    <t>조금도 낫지 않았으니</t>
  </si>
  <si>
    <t>得=얻다 · 無=없다 · 敗=싸움에 지다 · 萬=일만 · 金=쇠붙이 · 乎=의문의 조사</t>
  </si>
  <si>
    <t>만금을 잃은 것이 아닙니까</t>
  </si>
  <si>
    <t>만금을 잃으신 것 아닙니까</t>
  </si>
  <si>
    <t>敗</t>
  </si>
  <si>
    <t>손실</t>
  </si>
  <si>
    <t>전투의 패배가 재산 손실로 옮겨감</t>
  </si>
  <si>
    <t>以財粹面</t>
  </si>
  <si>
    <t>君輩事耳</t>
  </si>
  <si>
    <t>以=~로써 · 財=재물 · 面=얼굴</t>
  </si>
  <si>
    <t>재물로 얼굴을 윤내는 것은</t>
  </si>
  <si>
    <t>재물로 낯빛을 윤내는 일은</t>
  </si>
  <si>
    <t>粹面</t>
  </si>
  <si>
    <t>외양</t>
  </si>
  <si>
    <t>재물이 얼굴을 윤낸다는 신체 표현</t>
  </si>
  <si>
    <t>萬金何肥於道哉</t>
  </si>
  <si>
    <t>君=임금·그대 · 輩=무리 · 事=일 · 耳=귀</t>
  </si>
  <si>
    <t>그대들의 일일 뿐이다</t>
  </si>
  <si>
    <t>그대들이나 할 일이지</t>
  </si>
  <si>
    <t>於是以銀</t>
  </si>
  <si>
    <t>萬=일만 · 金=쇠붙이 · 何=무엇 · 肥=살이 찌다 · 於=~에 · 道=길</t>
  </si>
  <si>
    <t>만금이 어찌 도를 살찌우겠는가</t>
  </si>
  <si>
    <t>도를 살찌움</t>
  </si>
  <si>
    <t>신체의 살찜이 도의 증진으로 옮겨감</t>
  </si>
  <si>
    <t>十萬付卞氏曰</t>
  </si>
  <si>
    <t>於=~에 · 是=옳다·이것 · 以=~로써 · 銀=은</t>
  </si>
  <si>
    <t>이에 은</t>
  </si>
  <si>
    <t>吾不耐一朝之饑</t>
  </si>
  <si>
    <t>十=열 · 萬=일만 · 氏=성씨 · 曰=말하다</t>
  </si>
  <si>
    <t>십만을 변씨에게 주며 말했다</t>
  </si>
  <si>
    <t>未竟讀書</t>
  </si>
  <si>
    <t>慙君萬金</t>
  </si>
  <si>
    <t>未=아직 ~않다 · 書=글</t>
  </si>
  <si>
    <t>글 읽기를 마치지 못하고</t>
  </si>
  <si>
    <t>卞氏大驚</t>
  </si>
  <si>
    <t>그대의 만금에 부끄러웠다</t>
  </si>
  <si>
    <t>그대의 만금에 부끄러웠소</t>
  </si>
  <si>
    <t>起拜辭謝</t>
  </si>
  <si>
    <t>氏=성씨 · 大=크다</t>
  </si>
  <si>
    <t>변씨가 크게 놀라</t>
  </si>
  <si>
    <t>願受什一之利</t>
  </si>
  <si>
    <t>일어나 절하며 사양하고</t>
  </si>
  <si>
    <t>許生大怒</t>
  </si>
  <si>
    <t>利 什</t>
  </si>
  <si>
    <t>受=받다 · 什=열 · 一=하나 · 之=가다 (조사로도 쓰임) · 利=날이 날카롭다 → 이롭다</t>
  </si>
  <si>
    <t>십분의 일의 이자만 받기를 원했다</t>
  </si>
  <si>
    <t>십분의 일만 이자로 받겠다고 했다</t>
  </si>
  <si>
    <t>許=허락하다 · 生=낳다·살다 · 大=크다</t>
  </si>
  <si>
    <t>허생이 크게 노하여</t>
  </si>
  <si>
    <t>君何以賈竪視我</t>
  </si>
  <si>
    <t>拂衣而去</t>
  </si>
  <si>
    <t>君=임금·그대 · 何=무엇 · 以=~로써 · 賈=장사하다 · 我=나</t>
  </si>
  <si>
    <t>그대는 어찌 나를 장사치로 보는가</t>
  </si>
  <si>
    <t>賈竪</t>
  </si>
  <si>
    <t>천한 신분</t>
  </si>
  <si>
    <t>더벅머리 아이가 신분 비하로 옮겨감</t>
  </si>
  <si>
    <t>卞氏潛踵之</t>
  </si>
  <si>
    <t>衣=옷 · 而=말 잇는 조사 · 去=가다</t>
  </si>
  <si>
    <t>옷을 떨치고 가 버렸다</t>
  </si>
  <si>
    <t>嫗曰</t>
  </si>
  <si>
    <t>許生員宅</t>
  </si>
  <si>
    <t>貧而好讀書</t>
  </si>
  <si>
    <t>허 생원 댁은</t>
  </si>
  <si>
    <t>一朝出門不返者已五年</t>
  </si>
  <si>
    <t>貧=재물이 모자라다 · 而=말 잇는 조사 · 好=좋다 · 書=글</t>
  </si>
  <si>
    <t>가난하되 글 읽기를 좋아했는데</t>
  </si>
  <si>
    <t>가난하면서도 글 읽기를 좋아했는데</t>
  </si>
  <si>
    <t>獨有妻在</t>
  </si>
  <si>
    <t>一=하나 · 朝=아침·조정 · 出=나가다 · 門=문 · 不=아니다 · 者=~하는 것·사람 · 已=이미 · 五=다섯 · 年=해</t>
  </si>
  <si>
    <t>하루아침에 문을 나서 돌아오지 않은 지 이미 오 년이고</t>
  </si>
  <si>
    <t>어느 날 집을 나가 돌아오지 않은 지 벌써 오 년이고</t>
  </si>
  <si>
    <t>卞氏始知客</t>
  </si>
  <si>
    <t>乃姓許</t>
  </si>
  <si>
    <t>歎息而歸</t>
  </si>
  <si>
    <t>乃=이에 · 許=허락하다</t>
  </si>
  <si>
    <t>탄식하며 돌아왔다</t>
  </si>
  <si>
    <t>탄식하며 돌아와</t>
  </si>
  <si>
    <t>明日悉持其銀往遺之</t>
  </si>
  <si>
    <t>息=숨쉬다 · 而=말 잇는 조사 · 歸=돌아가다</t>
  </si>
  <si>
    <t>이튿날 그 은을 모두 가지고 가서 주었으나</t>
  </si>
  <si>
    <t>許生辭曰</t>
  </si>
  <si>
    <t>明=밝다 · 日=해·날 · 其=그 · 銀=은 · 往=가다 · 之=가다 (조사로도 쓰임)</t>
  </si>
  <si>
    <t>허생이 사양하며 말했다</t>
  </si>
  <si>
    <t>我欲富也</t>
  </si>
  <si>
    <t>許=허락하다 · 生=낳다·살다 · 曰=말하다</t>
  </si>
  <si>
    <t>내가 부유하고자 했다면</t>
  </si>
  <si>
    <t>내가 부자가 되려 했다면</t>
  </si>
  <si>
    <t>棄百萬而取十萬乎</t>
  </si>
  <si>
    <t>我=나 · 欲=하고자 하다 · 富=재물이 넉넉하다 · 也=단정하는 조사</t>
  </si>
  <si>
    <t>백만을 버리고 십만을 취하겠는가</t>
  </si>
  <si>
    <t>백만을 버리고 십만을 취하겠소</t>
  </si>
  <si>
    <t>吾從今得君而活</t>
  </si>
  <si>
    <t>百=일백 · 萬=일만 · 而=말 잇는 조사 · 取=가지다 · 十=열 · 乎=의문의 조사</t>
  </si>
  <si>
    <t>내 이제부터 그대를 얻어 살아가니</t>
  </si>
  <si>
    <t>내 이제부터 그대 덕에 살아가니</t>
  </si>
  <si>
    <t>度身授布</t>
  </si>
  <si>
    <t>一生如此足矣</t>
  </si>
  <si>
    <t>孰肯以財勞神</t>
  </si>
  <si>
    <t>一=하나 · 生=낳다·살다 · 如=같다 · 此=이것 · 足=발 · 矣=마치는 조사</t>
  </si>
  <si>
    <t>한평생 이와 같으면 족하다</t>
  </si>
  <si>
    <t>한평생 이만하면 족하다</t>
  </si>
  <si>
    <t>卞氏說許生百端</t>
  </si>
  <si>
    <t>以=~로써 · 財=재물 · 神=신령</t>
  </si>
  <si>
    <t>누가 재물로 정신을 수고롭게 하겠는가</t>
  </si>
  <si>
    <t>누가 재물 때문에 마음을 쓰겠는가</t>
  </si>
  <si>
    <t>竟不可奈何</t>
  </si>
  <si>
    <t>氏=성씨 · 許=허락하다 · 生=낳다·살다 · 百=일백</t>
  </si>
  <si>
    <t>변씨가 허생을 백방으로 달랬으나</t>
  </si>
  <si>
    <t>변씨가 백방으로 달랬으나</t>
  </si>
  <si>
    <t>故百物生于其中</t>
  </si>
  <si>
    <t>消于其中</t>
  </si>
  <si>
    <t>夫千金小財也</t>
  </si>
  <si>
    <t>消=녹아 없어지다 · 其=그 · 中=가운데</t>
  </si>
  <si>
    <t>그 가운데서 사라진다</t>
  </si>
  <si>
    <t>未足以盡物</t>
  </si>
  <si>
    <t>千金 財</t>
  </si>
  <si>
    <t>夫=사내·무릇 · 千=일천 · 金=쇠붙이 · 小=작다 · 財=재물 · 也=단정하는 조사</t>
  </si>
  <si>
    <t>무릇 천금은 작은 재물이라</t>
  </si>
  <si>
    <t>然析而十之百金</t>
  </si>
  <si>
    <t>未=아직 ~않다 · 足=발 · 以=~로써 · 盡=다하다 · 物=물건</t>
  </si>
  <si>
    <t>물건을 다 차지하기에 부족하다</t>
  </si>
  <si>
    <t>물건을 다 차지하기에는 모자란다</t>
  </si>
  <si>
    <t>十物</t>
  </si>
  <si>
    <t>物輕則易轉</t>
  </si>
  <si>
    <t>故一貨雖絀</t>
  </si>
  <si>
    <t>物=물건 · 輕=가볍다 · 則=곧 · 易=쉽다 · 轉=굴러 돌다</t>
  </si>
  <si>
    <t>물건이 가벼우면 옮기기 쉽다</t>
  </si>
  <si>
    <t>물건이 가벼우면 옮기기 쉬우니</t>
  </si>
  <si>
    <t>轉</t>
  </si>
  <si>
    <t>구름이 물화의 유통으로 옮겨감</t>
  </si>
  <si>
    <t>九貨伸之</t>
  </si>
  <si>
    <t>故=까닭 · 一=하나 · 貨=사고파는 물건 · 雖=비록 · 絀=실이 모자라다</t>
  </si>
  <si>
    <t>그러므로 한 가지 물화가 비록 모자라도</t>
  </si>
  <si>
    <t>한 가지 물건이 모자라도</t>
  </si>
  <si>
    <t>絀</t>
  </si>
  <si>
    <t>부족</t>
  </si>
  <si>
    <t>실이 짧음이 물화의 모자람으로 옮겨감</t>
  </si>
  <si>
    <t>此常利之道</t>
  </si>
  <si>
    <t>九=아홉 · 貨=사고파는 물건 · 伸=몸을 펴다 · 之=가다 (조사로도 쓰임)</t>
  </si>
  <si>
    <t>아홉 가지 물화가 그것을 편다</t>
  </si>
  <si>
    <t>아홉 가지 물건으로 메운다</t>
  </si>
  <si>
    <t>伸</t>
  </si>
  <si>
    <t>보충</t>
  </si>
  <si>
    <t>몸을 폄이 물화의 채움으로 옮겨감</t>
  </si>
  <si>
    <t>小人之賈也</t>
  </si>
  <si>
    <t>此=이것 · 利=날이 날카롭다 → 이롭다 · 之=가다 (조사로도 쓰임) · 道=길</t>
  </si>
  <si>
    <t>이것이 늘 이익을 얻는 길이니</t>
  </si>
  <si>
    <t>길이 상업의 원리로 옮겨감</t>
  </si>
  <si>
    <t>夫萬金足以盡物</t>
  </si>
  <si>
    <t>小=작다 · 人=사람 · 之=가다 (조사로도 쓰임) · 賈=장사하다 · 也=단정하는 조사</t>
  </si>
  <si>
    <t>소인의 장사다</t>
  </si>
  <si>
    <t>소인의 장사법이다</t>
  </si>
  <si>
    <t>故在車專車</t>
  </si>
  <si>
    <t>夫=사내·무릇 · 萬=일만 · 金=쇠붙이 · 足=발 · 以=~로써 · 盡=다하다 · 物=물건</t>
  </si>
  <si>
    <t>무릇 만금은 물건을 다 차지하기에 넉넉하다</t>
  </si>
  <si>
    <t>무릇 만금이면 물건을 죄다 차지할 수 있다</t>
  </si>
  <si>
    <t>在船專船</t>
  </si>
  <si>
    <t>故=까닭 · 在=있다 · 車=수레</t>
  </si>
  <si>
    <t>그러므로 수레에 있으면 수레를 독차지하고</t>
  </si>
  <si>
    <t>수레면 수레를 통째로 차지하고</t>
  </si>
  <si>
    <t>如綱之有罟</t>
  </si>
  <si>
    <t>括物而數之</t>
  </si>
  <si>
    <t>陸之產萬</t>
  </si>
  <si>
    <t>物=물건 · 而=말 잇는 조사 · 數=세다·수 · 之=가다 (조사로도 쓰임)</t>
  </si>
  <si>
    <t>물건을 싸잡아 헤아리면</t>
  </si>
  <si>
    <t>물건을 싸잡아 헤아려</t>
  </si>
  <si>
    <t>潛停其一</t>
  </si>
  <si>
    <t>之=가다 (조사로도 쓰임) · 萬=일만</t>
  </si>
  <si>
    <t>뭍의 산물이 만 가지면</t>
  </si>
  <si>
    <t>뭍의 산물이 만 가지라도</t>
  </si>
  <si>
    <t>水之族萬</t>
  </si>
  <si>
    <t>潛=물속에 잠기다 · 其=그 · 一=하나</t>
  </si>
  <si>
    <t>그 하나를 몰래 묶어 둔다</t>
  </si>
  <si>
    <t>그중 하나를 몰래 묶어 둔다</t>
  </si>
  <si>
    <t>潛停</t>
  </si>
  <si>
    <t>매점</t>
  </si>
  <si>
    <t>물속에 잠김이 물화의 은닉으로 옮겨감</t>
  </si>
  <si>
    <t>醫之材萬</t>
  </si>
  <si>
    <t>一貨潛藏</t>
  </si>
  <si>
    <t>그중 하나를 몰래 묶어 두면</t>
  </si>
  <si>
    <t>百賈涸</t>
  </si>
  <si>
    <t>一=하나 · 貨=사고파는 물건 · 潛=물속에 잠기다</t>
  </si>
  <si>
    <t>한 가지 물화가 몰래 감춰지면</t>
  </si>
  <si>
    <t>한 가지 물건이 감춰지자마자</t>
  </si>
  <si>
    <t>潛藏</t>
  </si>
  <si>
    <t>此賊民之道也</t>
  </si>
  <si>
    <t>百=일백 · 賈=장사하다 · 涸=물이 마르다</t>
  </si>
  <si>
    <t>온갖 장사꾼이 마른다</t>
  </si>
  <si>
    <t>온갖 장사꾼의 밑천이 마른다</t>
  </si>
  <si>
    <t>涸</t>
  </si>
  <si>
    <t>고갈</t>
  </si>
  <si>
    <t>물이 마름이 상인의 밑천 고갈로 옮겨감</t>
  </si>
  <si>
    <t>後世有司者</t>
  </si>
  <si>
    <t>此=이것 · 民=백성 · 之=가다 (조사로도 쓰임) · 道=길 · 也=단정하는 조사</t>
  </si>
  <si>
    <t>이는 백성을 해치는 길이다</t>
  </si>
  <si>
    <t>도리</t>
  </si>
  <si>
    <t>길이 도덕적 준칙으로 옮겨감</t>
  </si>
  <si>
    <t>初子何以</t>
  </si>
  <si>
    <t>知吾出萬金而來吾求也</t>
  </si>
  <si>
    <t>初=처음 · 子=아들 · 何=무엇 · 以=~로써</t>
  </si>
  <si>
    <t>처음에 그대는 무엇으로</t>
  </si>
  <si>
    <t>처음에 그대는 어떻게</t>
  </si>
  <si>
    <t>許生曰</t>
  </si>
  <si>
    <t>知=알다 · 吾=나 · 出=나가다 · 萬=일만 · 金=쇠붙이 · 而=말 잇는 조사 · 來=오다 · 求=구하다 · 也=단정하는 조사</t>
  </si>
  <si>
    <t>내가 만금을 내어 나에게 구하러 올 줄 알았는가</t>
  </si>
  <si>
    <t>내가 만금을 얻으러 오리라는 것을 알았소</t>
  </si>
  <si>
    <t>不必君與我也</t>
  </si>
  <si>
    <t>能有萬金者</t>
  </si>
  <si>
    <t>不=아니다 · 必=반드시 · 君=임금·그대 · 與=주다 · 我=나 · 也=단정하는 조사</t>
  </si>
  <si>
    <t>반드시 그대와 나만이 아니다</t>
  </si>
  <si>
    <t>굳이 그대와 나만이 아니오</t>
  </si>
  <si>
    <t>莫不與也</t>
  </si>
  <si>
    <t>能=능하다 · 有=있다 · 萬=일만 · 金=쇠붙이 · 者=~하는 것·사람</t>
  </si>
  <si>
    <t>만금을 가진 자라면</t>
  </si>
  <si>
    <t>만금을 가진 이라면</t>
  </si>
  <si>
    <t>吾自料吾才足以致百萬</t>
  </si>
  <si>
    <t>莫=없다 · 不=아니다 · 與=주다 · 也=단정하는 조사</t>
  </si>
  <si>
    <t>주지 않을 자가 없다</t>
  </si>
  <si>
    <t>누구든 주었을 것이오</t>
  </si>
  <si>
    <t>故能用我者</t>
  </si>
  <si>
    <t>有福者也</t>
  </si>
  <si>
    <t>必富益富</t>
  </si>
  <si>
    <t>有=있다 · 者=~하는 것·사람 · 也=단정하는 조사</t>
  </si>
  <si>
    <t>복 있는 자다</t>
  </si>
  <si>
    <t>복 있는 사람이니</t>
  </si>
  <si>
    <t>天所命也</t>
  </si>
  <si>
    <t>必=반드시 · 富=재물이 넉넉하다 · 益=더하다</t>
  </si>
  <si>
    <t>반드시 부유함이 부유함을 더한다</t>
  </si>
  <si>
    <t>부유한 자는 더욱 부유해지는 법이오</t>
  </si>
  <si>
    <t>安得不與</t>
  </si>
  <si>
    <t>天=하늘 · 所=바·곳 · 也=단정하는 조사</t>
  </si>
  <si>
    <t>하늘이 명한 바다</t>
  </si>
  <si>
    <t>하늘이 정한 것이니</t>
  </si>
  <si>
    <t>天所命</t>
  </si>
  <si>
    <t>천명</t>
  </si>
  <si>
    <t>천명 관념이 치부의 정당화로 옮겨감</t>
  </si>
  <si>
    <t>旣得萬金</t>
  </si>
  <si>
    <t>安=편안하다 · 得=얻다 · 不=아니다 · 與=주다</t>
  </si>
  <si>
    <t>어찌 주지 않겠는가</t>
  </si>
  <si>
    <t>어찌 주지 않겠소</t>
  </si>
  <si>
    <t>憑其福而</t>
  </si>
  <si>
    <t>旣=이미 · 得=얻다 · 萬=일만 · 金=쇠붙이</t>
  </si>
  <si>
    <t>이미 만금을 얻어</t>
  </si>
  <si>
    <t>其=그 · 而=말 잇는 조사</t>
  </si>
  <si>
    <t>그 복에 기대어</t>
  </si>
  <si>
    <t>今之謀國政者</t>
  </si>
  <si>
    <t>可知已</t>
  </si>
  <si>
    <t>吾善賈者也</t>
  </si>
  <si>
    <t>可=옳다·가하다 · 知=알다 · 已=이미</t>
  </si>
  <si>
    <t>알 만하다</t>
  </si>
  <si>
    <t>其銀足以市</t>
  </si>
  <si>
    <t>吾=나 · 善=착하다 · 賈=장사하다 · 者=~하는 것·사람 · 也=단정하는 조사</t>
  </si>
  <si>
    <t>나는 장사를 잘하는 자다</t>
  </si>
  <si>
    <t>나는 장사에 밝은 사람이오</t>
  </si>
  <si>
    <t>九王之頭</t>
  </si>
  <si>
    <t>其=그 · 銀=은 · 足=발 · 以=~로써 · 市=저자</t>
  </si>
  <si>
    <t>그 은이면 살 수 있다</t>
  </si>
  <si>
    <t>그 은이면 살 수 있소</t>
  </si>
  <si>
    <t>市</t>
  </si>
  <si>
    <t>매수</t>
  </si>
  <si>
    <t>시장 거래가 정치적 제거로 옮겨감</t>
  </si>
  <si>
    <t>然投之海中而來者</t>
  </si>
  <si>
    <t>九=아홉 · 王=임금 · 之=가다 (조사로도 쓰임) · 頭=머리</t>
  </si>
  <si>
    <t>아홉 왕의 머리를</t>
  </si>
  <si>
    <t>無所可用故耳</t>
  </si>
  <si>
    <t>卞氏喟然太息而去</t>
  </si>
  <si>
    <t>無=없다 · 所=바·곳 · 可=옳다·가하다 · 用=쓰다 · 故=까닭 · 耳=귀</t>
  </si>
  <si>
    <t>쓸 데가 없었기 때문이다</t>
  </si>
  <si>
    <t>쓸 데가 없었기 때문이오</t>
  </si>
  <si>
    <t>卞氏本與李政丞浣善</t>
  </si>
  <si>
    <t>氏=성씨 · 然=그러하다 · 息=숨쉬다 · 而=말 잇는 조사 · 去=가다</t>
  </si>
  <si>
    <t>변씨가 크게 탄식하며 갔다</t>
  </si>
  <si>
    <t>변씨가 크게 탄식하며 돌아갔다</t>
  </si>
  <si>
    <t>李公時爲御</t>
  </si>
  <si>
    <t>氏=성씨 · 本=나무의 뿌리 · 與=주다 · 善=착하다</t>
  </si>
  <si>
    <t>변씨는 본디 이 정승 완과 친했다</t>
  </si>
  <si>
    <t>변씨는 본디 이완 정승과 친했다</t>
  </si>
  <si>
    <t>誠能請遣子弟入學遊宦</t>
  </si>
  <si>
    <t>如唐元故事</t>
  </si>
  <si>
    <t>商賈出入不禁</t>
  </si>
  <si>
    <t>如=같다 · 故=까닭 · 事=일</t>
  </si>
  <si>
    <t>당·원의 옛일과 같이</t>
  </si>
  <si>
    <t>당나라와 원나라 때처럼</t>
  </si>
  <si>
    <t>彼必喜其見親而許之</t>
  </si>
  <si>
    <t>商=장사하다 · 賈=장사하다 · 出=나가다 · 入=들다 · 不=아니다</t>
  </si>
  <si>
    <t>상인의 출입을 금하지 않으면</t>
  </si>
  <si>
    <t>상인의 왕래를 막지 않으면</t>
  </si>
  <si>
    <t>妙選國中之子</t>
  </si>
  <si>
    <t>彼=저 · 必=반드시 · 其=그 · 見=보다 · 而=말 잇는 조사 · 許=허락하다 · 之=가다 (조사로도 쓰임)</t>
  </si>
  <si>
    <t>저들이 반드시 가까이 여겨 준다고 기뻐하여 허락할 것이니</t>
  </si>
  <si>
    <t>저들은 가까이 대해 준다고 기뻐하며 허락할 것이니</t>
  </si>
  <si>
    <t>薙髮胡服</t>
  </si>
  <si>
    <t>其君子往赴賓擧</t>
  </si>
  <si>
    <t>其小人遠商江南</t>
  </si>
  <si>
    <t>其=그 · 君=임금·그대 · 子=아들 · 往=가다</t>
  </si>
  <si>
    <t>그 군자는 가서 빈공과에 응하고</t>
  </si>
  <si>
    <t>선비들은 가서 빈공과에 응시하고</t>
  </si>
  <si>
    <t>覘其虛實</t>
  </si>
  <si>
    <t>其=그 · 小=작다 · 人=사람 · 遠=멀다 · 商=장사하다 · 江=큰 강 · 南=남쪽</t>
  </si>
  <si>
    <t>그 소인은 멀리 강남에서 장사하며</t>
  </si>
  <si>
    <t>상민들은 멀리 강남에서 장사하며</t>
  </si>
  <si>
    <t>結其豪傑</t>
  </si>
  <si>
    <t>其=그 · 虛=비다 · 實=차다</t>
  </si>
  <si>
    <t>그 허실을 엿보고</t>
  </si>
  <si>
    <t>虛實</t>
  </si>
  <si>
    <t>실정</t>
  </si>
  <si>
    <t>빔과 참이 실정 판별로 옮겨감</t>
  </si>
  <si>
    <t>所謂士大夫</t>
  </si>
  <si>
    <t>是何等也</t>
  </si>
  <si>
    <t>產於彛貊之地</t>
  </si>
  <si>
    <t>是=옳다·이것 · 何=무엇 · 等=무리 · 也=단정하는 조사</t>
  </si>
  <si>
    <t>이 무슨 꼴인가</t>
  </si>
  <si>
    <t>自稱曰士大夫</t>
  </si>
  <si>
    <t>於=~에 · 之=가다 (조사로도 쓰임) · 地=땅</t>
  </si>
  <si>
    <t>오랑캐 땅에서 나서</t>
  </si>
  <si>
    <t>오랑캐 땅에서 나고서</t>
  </si>
  <si>
    <t>豈非騃乎</t>
  </si>
  <si>
    <t>自=스스로 · 稱=일컫다 · 曰=말하다 · 士=선비 · 大=크다 · 夫=사내·무릇</t>
  </si>
  <si>
    <t>스스로 사대부라 일컬으니</t>
  </si>
  <si>
    <t>隨我來</t>
  </si>
  <si>
    <t>趙公行數里</t>
  </si>
  <si>
    <t>喘息汗流不止</t>
  </si>
  <si>
    <t>公=공변되다·귀인 · 行=걸어가다 · 數=세다·수</t>
  </si>
  <si>
    <t>조공이 몇 리를 가서</t>
  </si>
  <si>
    <t>조공이 몇 리를 가더니</t>
  </si>
  <si>
    <t>願小憩</t>
  </si>
  <si>
    <t>喘=헐떡이다 · 息=숨쉬다 · 流=물이 흐르다 · 不=아니다</t>
  </si>
  <si>
    <t>숨이 차고 땀이 흘러 그치지 않아</t>
  </si>
  <si>
    <t>숨이 차고 땀이 그치지 않아</t>
  </si>
  <si>
    <t>僧罵</t>
  </si>
  <si>
    <t>小=작다</t>
  </si>
  <si>
    <t>조금 쉬기를 청했다</t>
  </si>
  <si>
    <t>조금 쉬자고 했다</t>
  </si>
  <si>
    <t>故其所都燕京曰京師</t>
  </si>
  <si>
    <t>其巡幸之所曰行在</t>
  </si>
  <si>
    <t>我效土物之儀曰職貢</t>
  </si>
  <si>
    <t>其=그 · 之=가다 (조사로도 쓰임) · 所=바·곳 · 曰=말하다 · 行=걸어가다 · 在=있다</t>
  </si>
  <si>
    <t>그 순행하는 곳을 행재라 한다</t>
  </si>
  <si>
    <t>황제가 순행하는 곳을 행재라 하고</t>
  </si>
  <si>
    <t>其語當宁曰天子</t>
  </si>
  <si>
    <t>我=나 · 物=물건 · 之=가다 (조사로도 쓰임) · 曰=말하다 · 貢=바치는 물건</t>
  </si>
  <si>
    <t>우리가 토산물을 바치는 의례를 직공이라 한다</t>
  </si>
  <si>
    <t>우리가 토산물을 바치는 것을 직공이라 하며</t>
  </si>
  <si>
    <t>其朝</t>
  </si>
  <si>
    <t>其=그 · 語=말하다 · 當=마땅하다 · 曰=말하다 · 天=하늘 · 子=아들</t>
  </si>
  <si>
    <t>그 임금을 일컬어 천자라 한다</t>
  </si>
  <si>
    <t>그 임금을 천자라 부른다</t>
  </si>
  <si>
    <t>昔倭人覆我疆域</t>
  </si>
  <si>
    <t>我神宗皇帝提天下之師東援之</t>
  </si>
  <si>
    <t>竭帑銀以</t>
  </si>
  <si>
    <t>我=나 · 神=신령 · 天=하늘 · 下=아래쪽 · 之=가다 (조사로도 쓰임) · 東=동쪽</t>
  </si>
  <si>
    <t>우리 신종 황제가 천하의 군사를 이끌어 동으로 도왔다</t>
  </si>
  <si>
    <t>신종 황제가 천하의 군대를 이끌고 동쪽을 도왔고</t>
  </si>
  <si>
    <t>提天下之師</t>
  </si>
  <si>
    <t>군대 통솔</t>
  </si>
  <si>
    <t>손으로 끎이 군대의 통솔로 옮겨감</t>
  </si>
  <si>
    <t>供師旅</t>
  </si>
  <si>
    <t>竭=물이 다 마르다 · 銀=은 · 以=~로써</t>
  </si>
  <si>
    <t>국고의 은을 다 말려</t>
  </si>
  <si>
    <t>나라 곳간의 은을 바닥까지 털어</t>
  </si>
  <si>
    <t>竭帑銀</t>
  </si>
  <si>
    <t>국고 고갈</t>
  </si>
  <si>
    <t>물이 마름이 국고의 소진으로 옮겨감</t>
  </si>
  <si>
    <t>復我三都</t>
  </si>
  <si>
    <t>군대에 대주었다</t>
  </si>
  <si>
    <t>군대를 먹였다</t>
  </si>
  <si>
    <t>所以加惠我國者</t>
  </si>
  <si>
    <t>亦累葉矣</t>
  </si>
  <si>
    <t>金非土產則蠲之</t>
  </si>
  <si>
    <t>亦=또한 · 矣=마치는 조사</t>
  </si>
  <si>
    <t>또한 여러 대에 걸쳤다</t>
  </si>
  <si>
    <t>그것도 여러 대에 걸친 일이다</t>
  </si>
  <si>
    <t>累葉</t>
  </si>
  <si>
    <t>여러 대</t>
  </si>
  <si>
    <t>잎이 포개짐이 세대의 누적으로 옮겨감</t>
  </si>
  <si>
    <t>綵馬衰小則</t>
  </si>
  <si>
    <t>金=쇠붙이 · 非=아니다 · 則=곧 · 之=가다 (조사로도 쓰임)</t>
  </si>
  <si>
    <t>금은 토산이 아니므로 면제해 주고</t>
  </si>
  <si>
    <t>금은 우리 토산이 아니라 하여 면제해 주고</t>
  </si>
  <si>
    <t>免之</t>
  </si>
  <si>
    <t>馬=말 · 衰=초목이 시들다 · 小=작다 · 則=곧</t>
  </si>
  <si>
    <t>무늬 말이 여위고 작으면</t>
  </si>
  <si>
    <t>바치는 말이 여위고 작으면</t>
  </si>
  <si>
    <t>命班于大臣之列</t>
  </si>
  <si>
    <t>其聽戱得比廷臣而宴賚之</t>
  </si>
  <si>
    <t>又詔永蠲正貢外</t>
  </si>
  <si>
    <t>其=그 · 得=얻다 · 臣=신하 · 而=말 잇는 조사 · 之=가다 (조사로도 쓰임)</t>
  </si>
  <si>
    <t>그 연극 구경을 조정 신하에 견주어 잔치와 하사를 베풀었다</t>
  </si>
  <si>
    <t>연극 구경도 조정 신하와 같이 대접하고 잔치와 상을 내렸다</t>
  </si>
  <si>
    <t>別使方物</t>
  </si>
  <si>
    <t>又=또 · 正=바르다 · 貢=바치는 물건 · 外=바깥</t>
  </si>
  <si>
    <t>또 조서를 내려 정공 밖의 것을 길이 면제하고</t>
  </si>
  <si>
    <t>또 조서를 내려 정례 공물 외의 것을 영구히 면제하고</t>
  </si>
  <si>
    <t>此實曠世盛典</t>
  </si>
  <si>
    <t>使=시키다 · 方=모나다·바야흐로 · 物=물건</t>
  </si>
  <si>
    <t>별사의 방물도</t>
  </si>
  <si>
    <t>별사의 방물까지 없앴으니</t>
  </si>
  <si>
    <t>在大國不過爲卹小</t>
  </si>
  <si>
    <t>柔遠之政</t>
  </si>
  <si>
    <t>則雖代蠲一貢</t>
  </si>
  <si>
    <t>遠=멀다 · 之=가다 (조사로도 쓰임)</t>
  </si>
  <si>
    <t>먼 나라를 부드럽게 하는 정사는</t>
  </si>
  <si>
    <t>먼 나라를 어루만지는 정사란</t>
  </si>
  <si>
    <t>柔遠</t>
  </si>
  <si>
    <t>회유</t>
  </si>
  <si>
    <t>부드러움의 촉감이 원방 회유책으로 옮겨감</t>
  </si>
  <si>
    <t>歲免一幣</t>
  </si>
  <si>
    <t>則=곧 · 雖=비록 · 一=하나 · 貢=바치는 물건</t>
  </si>
  <si>
    <t>비록 대대로 한 차례 공물을 면제하고</t>
  </si>
  <si>
    <t>한 대에 한 번 공물을 면해 주고</t>
  </si>
  <si>
    <t>是惠也</t>
  </si>
  <si>
    <t>歲=한 해 · 一=하나 · 幣=예물로 쓰는 비단</t>
  </si>
  <si>
    <t>한 해에 한 번 폐물을 면제해도</t>
  </si>
  <si>
    <t>한 해에 한 번 예물을 면해 주어도</t>
  </si>
  <si>
    <t>會同理藩院司員等帶領朝鮮使臣正使朴副使鄭書</t>
  </si>
  <si>
    <t>狀官趙等</t>
  </si>
  <si>
    <t>前詣札什倫布</t>
  </si>
  <si>
    <t>官=벼슬 · 等=무리</t>
  </si>
  <si>
    <t>서장관 조 아무개 등이</t>
  </si>
  <si>
    <t>서장관 조 아무개 등을 데리고</t>
  </si>
  <si>
    <t>拜見額爾德尼</t>
  </si>
  <si>
    <t>前=앞 · 什=열 · 布=베</t>
  </si>
  <si>
    <t>찰십륜포로 나아가</t>
  </si>
  <si>
    <t>찰십륜포로 가서</t>
  </si>
  <si>
    <t>行禮後</t>
  </si>
  <si>
    <t>見=보다 · 德=덕</t>
  </si>
  <si>
    <t>액이덕니를 배견하고</t>
  </si>
  <si>
    <t>반선을 뵙고</t>
  </si>
  <si>
    <t>令坐吃茶</t>
  </si>
  <si>
    <t>詢問該國遠近</t>
  </si>
  <si>
    <t>幷入貢緣由</t>
  </si>
  <si>
    <t>問=묻다 · 國=나라 · 遠=멀다</t>
  </si>
  <si>
    <t>그 나라의 멀고 가까움을 물으며</t>
  </si>
  <si>
    <t>그 나라가 얼마나 먼지를 묻고</t>
  </si>
  <si>
    <t>該使臣答以</t>
  </si>
  <si>
    <t>入=들다 · 貢=바치는 물건</t>
  </si>
  <si>
    <t>아울러 입공한 연유를 물으니</t>
  </si>
  <si>
    <t>아울러 입공한 까닭을 물으니</t>
  </si>
  <si>
    <t>因皇上七旬大慶</t>
  </si>
  <si>
    <t>使=시키다 · 臣=신하 · 答=대답하다 · 以=~로써</t>
  </si>
  <si>
    <t>그 사신이 답하기를</t>
  </si>
  <si>
    <t>사신이 대답하기를</t>
  </si>
  <si>
    <t>使臣見班禪事</t>
  </si>
  <si>
    <t>余具載之</t>
  </si>
  <si>
    <t>札什倫布記及見禮部奏聞</t>
  </si>
  <si>
    <t>余=나 · 之=가다 (조사로도 쓰임)</t>
  </si>
  <si>
    <t>내가 그것을 갖추어 적었다</t>
  </si>
  <si>
    <t>내가 그 일을 자세히 적어 두었다</t>
  </si>
  <si>
    <t>其稱拜見額爾德尼</t>
  </si>
  <si>
    <t>什=열 · 布=베 · 及=미치다 · 見=보다 · 禮=예 · 聞=듣다</t>
  </si>
  <si>
    <t>찰십륜포기와 예부의 주문을 보니</t>
  </si>
  <si>
    <t>찰십륜포기와 예부의 주문을 보건대</t>
  </si>
  <si>
    <t>給與使臣等物件</t>
  </si>
  <si>
    <t>其=그 · 稱=일컫다 · 見=보다 · 德=덕</t>
  </si>
  <si>
    <t>그 액이덕니를 배견했다 일컫고</t>
  </si>
  <si>
    <t>반선을 배견했다고 적고</t>
  </si>
  <si>
    <t>不得不爾</t>
  </si>
  <si>
    <t>第據吾所目擊者詳錄之</t>
  </si>
  <si>
    <t>以資山中曝背一粲</t>
  </si>
  <si>
    <t>吾=나 · 所=바·곳 · 目=눈 · 者=~하는 것·사람 · 之=가다 (조사로도 쓰임)</t>
  </si>
  <si>
    <t>다만 내가 목격한 바에 따라 자세히 기록하여</t>
  </si>
  <si>
    <t>다만 내가 직접 본 대로 자세히 적어</t>
  </si>
  <si>
    <t>覽者</t>
  </si>
  <si>
    <t>以=~로써 · 資=밑천 · 山=산 · 中=가운데 · 一=하나</t>
  </si>
  <si>
    <t>산중에서 등을 볕에 쬐는 웃음거리의 밑천으로 삼는다</t>
  </si>
  <si>
    <t>산중에서 볕이나 쬐며 웃을 거리로 삼는다</t>
  </si>
  <si>
    <t>曝背</t>
  </si>
  <si>
    <t>미천한 정성</t>
  </si>
  <si>
    <t>등을 볕에 쬐는 고사가 하찮은 헌정으로 옮겨감</t>
  </si>
  <si>
    <t>當有以察之</t>
  </si>
  <si>
    <t>보는 이는</t>
  </si>
  <si>
    <t>中國例相贈遺遠遊者</t>
  </si>
  <si>
    <t>必持此朝夕供養</t>
  </si>
  <si>
    <t>藏俗年例進貢</t>
  </si>
  <si>
    <t>必=반드시 · 此=이것 · 朝=아침·조정</t>
  </si>
  <si>
    <t>반드시 이를 지녀 아침저녁으로 공양한다</t>
  </si>
  <si>
    <t>반드시 이를 지니고 조석으로 공양한다</t>
  </si>
  <si>
    <t>首以佛一尊爲</t>
  </si>
  <si>
    <t>俗=풍속 · 年=해 · 進=나아가다 · 貢=바치는 물건</t>
  </si>
  <si>
    <t>티베트 풍속에 해마다 공물을 바치는데</t>
  </si>
  <si>
    <t>方物</t>
  </si>
  <si>
    <t>以=~로써 · 一=하나 · 爲=하다·되다</t>
  </si>
  <si>
    <t>부처 한 존을 으뜸으로 삼아</t>
  </si>
  <si>
    <t>諸譯亦視同糞穢</t>
  </si>
  <si>
    <t>若將凂焉</t>
  </si>
  <si>
    <t>售銀九十兩</t>
  </si>
  <si>
    <t>若=같다 · 凂=물이 더러워지다 · 焉=어찌</t>
  </si>
  <si>
    <t>마치 더럽혀질 듯이 여겨</t>
  </si>
  <si>
    <t>더럽혀질까 꺼려</t>
  </si>
  <si>
    <t>凂</t>
  </si>
  <si>
    <t>더럽혀짐</t>
  </si>
  <si>
    <t>물의 오염이 도덕적 더럽힘으로 옮겨감</t>
  </si>
  <si>
    <t>散之一行</t>
  </si>
  <si>
    <t>銀=은 · 九=아홉 · 十=열 · 兩=두 개·무게 단위</t>
  </si>
  <si>
    <t>은 아흔 냥에 팔아</t>
  </si>
  <si>
    <t>馬頭輩</t>
  </si>
  <si>
    <t>之=가다 (조사로도 쓰임) · 一=하나 · 行=걸어가다</t>
  </si>
  <si>
    <t>일행에게 나누어 주었다</t>
  </si>
  <si>
    <t>而不以此銀</t>
  </si>
  <si>
    <t>馬=말 · 頭=머리 · 輩=무리</t>
  </si>
  <si>
    <t>마두 무리에게</t>
  </si>
  <si>
    <t>마두들에게</t>
  </si>
  <si>
    <t>沽飮一盃酒</t>
  </si>
  <si>
    <t>而=말 잇는 조사 · 不=아니다 · 以=~로써 · 此=이것 · 銀=은</t>
  </si>
  <si>
    <t>그런데 이 은으로</t>
  </si>
  <si>
    <t>그런데 이 은으로는</t>
  </si>
  <si>
    <t>潔則潔矣</t>
  </si>
  <si>
    <t>飮=마시다 · 一=하나 · 酒=술</t>
  </si>
  <si>
    <t>술 한 잔도 사 마시지 않았다</t>
  </si>
  <si>
    <t>稱乾隆四十五年八月十二日內閣奉上諭朝鮮世守藩封</t>
  </si>
  <si>
    <t>素稱恭順</t>
  </si>
  <si>
    <t>歲時職貢</t>
  </si>
  <si>
    <t>稱=일컫다</t>
  </si>
  <si>
    <t>본디 공순하다 일컬어져</t>
  </si>
  <si>
    <t>祗愼可嘉</t>
  </si>
  <si>
    <t>歲=한 해 · 時=때 · 貢=바치는 물건</t>
  </si>
  <si>
    <t>철마다 직공을 바치니</t>
  </si>
  <si>
    <t>철마다 공물을 바치니</t>
  </si>
  <si>
    <t>間遇特頒敕諭及資送歸國等事</t>
  </si>
  <si>
    <t>可=옳다·가하다</t>
  </si>
  <si>
    <t>공경하고 삼감이 가상하다</t>
  </si>
  <si>
    <t>그 공경함이 가상하다</t>
  </si>
  <si>
    <t>如琉球等國</t>
  </si>
  <si>
    <t>及=미치다 · 資=밑천 · 送=보내다 · 歸=돌아가다 · 國=나라 · 等=무리 · 事=일</t>
  </si>
  <si>
    <t>간혹 특별히 칙유를 내리거나 귀국을 도와주는 일이 있으면</t>
  </si>
  <si>
    <t>간혹 칙유를 내리거나 귀국을 돕는 일이 있으면</t>
  </si>
  <si>
    <t>亦俱章陳謝</t>
  </si>
  <si>
    <t>如=같다 · 等=무리 · 國=나라</t>
  </si>
  <si>
    <t>유구 등 나라와 같이</t>
  </si>
  <si>
    <t>유구 같은 나라들처럼</t>
  </si>
  <si>
    <t>向因專使遠來</t>
  </si>
  <si>
    <t>若令賫回徒滋跋涉</t>
  </si>
  <si>
    <t>是以歷次留作正貢</t>
  </si>
  <si>
    <t>若=같다</t>
  </si>
  <si>
    <t>만약 가지고 돌아가게 하면 한갓 오가는 수고만 더한다</t>
  </si>
  <si>
    <t>도로 가져가게 하면 오가는 수고만 더할 뿐이다</t>
  </si>
  <si>
    <t>以示優卹</t>
  </si>
  <si>
    <t>是=옳다·이것 · 以=~로써 · 留=머무르다 · 正=바르다 · 貢=바치는 물건</t>
  </si>
  <si>
    <t>그러므로 여러 차례 정공으로 남겨 두어</t>
  </si>
  <si>
    <t>그래서 여러 차례 정례 공물로 남겨 두어</t>
  </si>
  <si>
    <t>而該國恪供</t>
  </si>
  <si>
    <t>넉넉히 돌보는 뜻을 보였다</t>
  </si>
  <si>
    <t>職守</t>
  </si>
  <si>
    <t>届應正貢時</t>
  </si>
  <si>
    <t>守=지키다</t>
  </si>
  <si>
    <t>직분을 지켜</t>
  </si>
  <si>
    <t>仍復備物呈獻</t>
  </si>
  <si>
    <t>正=바르다 · 貢=바치는 물건 · 時=때</t>
  </si>
  <si>
    <t>정공 때가 되면</t>
  </si>
  <si>
    <t>정례 공물을 바칠 때가 되면</t>
  </si>
  <si>
    <t>往來煩複</t>
  </si>
  <si>
    <t>다시 물건을 갖추어 바쳐</t>
  </si>
  <si>
    <t>다시 물건을 갖추어 바치니</t>
  </si>
  <si>
    <t>隨朝臣一軆行禮宴</t>
  </si>
  <si>
    <t>賚其隨</t>
  </si>
  <si>
    <t>表貢物</t>
  </si>
  <si>
    <t>그 딸린 것을 내리고</t>
  </si>
  <si>
    <t>딸린 것을 내리고</t>
  </si>
  <si>
    <t>此次卽行收受</t>
  </si>
  <si>
    <t>貢=바치는 물건 · 物=물건</t>
  </si>
  <si>
    <t>표문에 딸린 공물은</t>
  </si>
  <si>
    <t>以伸該國慶祝之誠</t>
  </si>
  <si>
    <t>此=이것 · 行=걸어가다 · 收=거두다 · 受=받다</t>
  </si>
  <si>
    <t>이번에는 곧바로 거두어들여</t>
  </si>
  <si>
    <t>이번에는 그대로 받아들여</t>
  </si>
  <si>
    <t>다음 절로 이동(연번 정정)</t>
  </si>
  <si>
    <t>嗣後除歲時慶節正貢</t>
  </si>
  <si>
    <t>以=~로써 · 伸=몸을 펴다 · 國=나라 · 之=가다 (조사로도 쓰임)</t>
  </si>
  <si>
    <t>그 나라의 경축하는 정성을 펴게 한다</t>
  </si>
  <si>
    <t>그 나라가 경축하는 정성을 펴게 한다</t>
  </si>
  <si>
    <t>伸誠</t>
  </si>
  <si>
    <t>정성 표명</t>
  </si>
  <si>
    <t>몸을 폄이 정성을 드러냄으로 옮겨감</t>
  </si>
  <si>
    <t>仍聽其照例備進</t>
  </si>
  <si>
    <t>後=뒤 · 歲=한 해 · 時=때 · 節=대나무의 마디 · 正=바르다 · 貢=바치는 물건</t>
  </si>
  <si>
    <t>이후로 철마다 경절의 정공을 제외하고는</t>
  </si>
  <si>
    <t>앞으로 명절의 정례 공물을 빼고는</t>
  </si>
  <si>
    <t>其餘陳謝表章</t>
  </si>
  <si>
    <t>其=그 · 進=나아가다</t>
  </si>
  <si>
    <t>여전히 전례대로 갖추어 올리게 하고</t>
  </si>
  <si>
    <t>전례대로 갖추어 올리게 하되</t>
  </si>
  <si>
    <t>所有隨表貢物</t>
  </si>
  <si>
    <t>其=그 · 餘=남다</t>
  </si>
  <si>
    <t>그 밖의 사은 표장은</t>
  </si>
  <si>
    <t>그 밖의 사은 표문은</t>
  </si>
  <si>
    <t>槪行停止</t>
  </si>
  <si>
    <t>所=바·곳 · 有=있다 · 貢=바치는 물건 · 物=물건</t>
  </si>
  <si>
    <t>딸린 공물 일체를</t>
  </si>
  <si>
    <t>거기 딸린 공물은 모두</t>
  </si>
  <si>
    <t>毋庸備進</t>
  </si>
  <si>
    <t>行=걸어가다</t>
  </si>
  <si>
    <t>일괄 중지하고</t>
  </si>
  <si>
    <t>모두 그만두고</t>
  </si>
  <si>
    <t>改加賞國王</t>
  </si>
  <si>
    <t>陪臣幷從人等</t>
  </si>
  <si>
    <t>緞匹銀兩</t>
  </si>
  <si>
    <t>臣=신하 · 從=좇다 · 人=사람 · 等=무리</t>
  </si>
  <si>
    <t>배신과 종인 등에게</t>
  </si>
  <si>
    <t>수행 신하와 종인들에게</t>
  </si>
  <si>
    <t>榮光所被</t>
  </si>
  <si>
    <t>銀=은 · 兩=두 개·무게 단위</t>
  </si>
  <si>
    <t>비단과 은냥을 더 내리니</t>
  </si>
  <si>
    <t>비단과 은을 더 내리니</t>
  </si>
  <si>
    <t>曠絶前後</t>
  </si>
  <si>
    <t>光=빛 · 所=바·곳</t>
  </si>
  <si>
    <t>영광이 미치는 바가</t>
  </si>
  <si>
    <t>그 영광이 미치는 바가</t>
  </si>
  <si>
    <t>은전</t>
  </si>
  <si>
    <t>빛이 덮음이 황제 은전의 미침으로 옮겨감</t>
  </si>
  <si>
    <t>潛改句語</t>
  </si>
  <si>
    <t>不顧大軆</t>
  </si>
  <si>
    <t>只要一時悅豫之資</t>
  </si>
  <si>
    <t>不=아니다 · 大=크다</t>
  </si>
  <si>
    <t>큰 체통을 돌아보지 않고</t>
  </si>
  <si>
    <t>큰 체면을 돌아보지 않고</t>
  </si>
  <si>
    <t>自</t>
  </si>
  <si>
    <t>要=구하다 · 一=하나 · 時=때 · 之=가다 (조사로도 쓰임) · 資=밑천</t>
  </si>
  <si>
    <t>다만 한때의 기쁨의 밑천만 구하여</t>
  </si>
  <si>
    <t>한때의 기쁨거리만 구하다가</t>
  </si>
  <si>
    <t>陷罔上之科</t>
  </si>
  <si>
    <t>自=스스로</t>
  </si>
  <si>
    <t>스스로</t>
  </si>
  <si>
    <t>仲存氏曰</t>
  </si>
  <si>
    <t>俱是深憂遠慮</t>
  </si>
  <si>
    <t>此編及原集中所論銀貨一段</t>
  </si>
  <si>
    <t>俱=함께 · 是=옳다·이것 · 深=깊다 · 遠=멀다</t>
  </si>
  <si>
    <t>모두 깊이 근심하고 멀리 생각한 것이다</t>
  </si>
  <si>
    <t>모두 깊이 근심하고 멀리 내다본 말이다</t>
  </si>
  <si>
    <t>深憂遠慮</t>
  </si>
  <si>
    <t>사려</t>
  </si>
  <si>
    <t>깊이와 거리가 사려의 정도로 옮겨감</t>
  </si>
  <si>
    <t>有司者宜熟講</t>
  </si>
  <si>
    <t>此=이것 · 及=미치다 · 原=물의 발원지 · 中=가운데 · 所=바·곳 · 銀=은 · 貨=사고파는 물건 · 一=하나</t>
  </si>
  <si>
    <t>이 편과 원집 가운데 논한 은화 한 대목은</t>
  </si>
  <si>
    <t>이 편과 원집에서 은화를 논한 대목은</t>
  </si>
  <si>
    <t>有=있다 · 者=~하는 것·사람 · 熟=열매가 익다</t>
  </si>
  <si>
    <t>유사인 자는 마땅히 익히 강구해야 한다</t>
  </si>
  <si>
    <t>실무를 맡은 이라면 깊이 헤아려야 한다</t>
  </si>
  <si>
    <t>熟講</t>
  </si>
  <si>
    <t>숙고</t>
  </si>
  <si>
    <t>열매가 익음이 논의의 무르익음으로 옮겨감</t>
  </si>
  <si>
    <t>逢御史汪道昆</t>
  </si>
  <si>
    <t>屛息路左</t>
  </si>
  <si>
    <t>史=사관·역사 · 道=길</t>
  </si>
  <si>
    <t>어사 왕도곤을 만나</t>
  </si>
  <si>
    <t>어사 왕도곤을 만나자</t>
  </si>
  <si>
    <t>瞻望行塵</t>
  </si>
  <si>
    <t>屛=숨을 죽이다 · 息=숨쉬다 · 路=길</t>
  </si>
  <si>
    <t>길 왼편에서 숨을 죽이고</t>
  </si>
  <si>
    <t>길가에 비켜서 숨을 죽인 채</t>
  </si>
  <si>
    <t>숨을 죽임이 권세 앞의 위축으로 옮겨감</t>
  </si>
  <si>
    <t>猶以爲榮</t>
  </si>
  <si>
    <t>望=바라보다 · 行=걸어가다</t>
  </si>
  <si>
    <t>가는 먼지를 바라보며</t>
  </si>
  <si>
    <t>지나가는 먼지를 바라보면서도</t>
  </si>
  <si>
    <t>始知衣冠士族幷在中原</t>
  </si>
  <si>
    <t>禮儀</t>
  </si>
  <si>
    <t>富盛</t>
  </si>
  <si>
    <t>예의</t>
  </si>
  <si>
    <t>예의와</t>
  </si>
  <si>
    <t>人物殷阜</t>
  </si>
  <si>
    <t>부성함</t>
  </si>
  <si>
    <t>부유함이며</t>
  </si>
  <si>
    <t>耳目所識</t>
  </si>
  <si>
    <t>人=사람 · 物=물건</t>
  </si>
  <si>
    <t>인물이 넉넉하고 두텁다</t>
  </si>
  <si>
    <t>인물이 융성하다</t>
  </si>
  <si>
    <t>殷阜</t>
  </si>
  <si>
    <t>언덕의 두둑함이 인물의 성함으로 옮겨감</t>
  </si>
  <si>
    <t>等百世之王</t>
  </si>
  <si>
    <t>莫之能違也</t>
  </si>
  <si>
    <t>旣無子貢之藝</t>
  </si>
  <si>
    <t>莫=없다 · 之=가다 (조사로도 쓰임) · 能=능하다 · 也=단정하는 조사</t>
  </si>
  <si>
    <t>어길 수 없다</t>
  </si>
  <si>
    <t>거스를 수 없다</t>
  </si>
  <si>
    <t>季札之智</t>
  </si>
  <si>
    <t>旣=이미 · 無=없다 · 子=아들 · 貢=바치는 물건 · 之=가다 (조사로도 쓰임)</t>
  </si>
  <si>
    <t>이미 자공의 재주가 없고</t>
  </si>
  <si>
    <t>자공 같은 재주도 없고</t>
  </si>
  <si>
    <t>子貢之藝</t>
  </si>
  <si>
    <t>재능</t>
  </si>
  <si>
    <t>역사 인물의 전거가 재능의 척도로 옮겨감</t>
  </si>
  <si>
    <t>則雖使笙鏞干</t>
  </si>
  <si>
    <t>之=가다 (조사로도 쓰임) · 智=슬기</t>
  </si>
  <si>
    <t>계찰의 지혜도 없으면</t>
  </si>
  <si>
    <t>계찰 같은 식견도 없으면</t>
  </si>
  <si>
    <t>식견</t>
  </si>
  <si>
    <t>역사 인물의 전거가 식견의 척도로 옮겨감</t>
  </si>
  <si>
    <t>彼將曰</t>
  </si>
  <si>
    <t>吾非利天下也</t>
  </si>
  <si>
    <t>彼=저 · 曰=말하다</t>
  </si>
  <si>
    <t>저들은 장차 말하리라</t>
  </si>
  <si>
    <t>저들은 이렇게 말할 것이다</t>
  </si>
  <si>
    <t>吾爲明室</t>
  </si>
  <si>
    <t>吾=나 · 非=아니다 · 利=날이 날카롭다 → 이롭다 · 天=하늘 · 下=아래쪽 · 也=단정하는 조사</t>
  </si>
  <si>
    <t>나는 천하를 이롭게 하려는 것이 아니다</t>
  </si>
  <si>
    <t>나는 천하를 차지하려는 것이 아니라</t>
  </si>
  <si>
    <t>復大仇雪大恥</t>
  </si>
  <si>
    <t>吾=나 · 爲=하다·되다 · 明=밝다</t>
  </si>
  <si>
    <t>나는 명나라 황실을 위하여</t>
  </si>
  <si>
    <t>명나라 황실을 위하여</t>
  </si>
  <si>
    <t>似若無所用心</t>
  </si>
  <si>
    <t>然其心以爲天下之小民</t>
  </si>
  <si>
    <t>薄其賦斂則安矣</t>
  </si>
  <si>
    <t>然=그러하다 · 其=그 · 心=마음 · 以=~로써 · 爲=하다·되다 · 天=하늘 · 下=아래쪽 · 之=가다 (조사로도 쓰임) · 小=작다 · 民=백성</t>
  </si>
  <si>
    <t>그러나 그 마음은 천하의 소민이</t>
  </si>
  <si>
    <t>그러나 속마음은 천하의 백성이</t>
  </si>
  <si>
    <t>安知不</t>
  </si>
  <si>
    <t>薄=얇다 · 其=그 · 賦=거두는 세 · 則=곧 · 安=편안하다 · 矣=마치는 조사</t>
  </si>
  <si>
    <t>그 부세를 얇게 하면 편안해진다고 여긴다</t>
  </si>
  <si>
    <t>세금만 가볍게 해 주면 만족하리라 여기는 것이다</t>
  </si>
  <si>
    <t>薄其賦斂</t>
  </si>
  <si>
    <t>경감</t>
  </si>
  <si>
    <t>두께의 얇음이 부세의 경감으로 옮겨감</t>
  </si>
  <si>
    <t>反便乎我之帽服而不欲變我之制度乎</t>
  </si>
  <si>
    <t>安=편안하다 · 知=알다 · 不=아니다</t>
  </si>
  <si>
    <t>어찌 알겠는가</t>
  </si>
  <si>
    <t>心</t>
  </si>
  <si>
    <t>其豪傑敢怒而不敢言其鄙佞</t>
  </si>
  <si>
    <t>因時義而爲身利</t>
  </si>
  <si>
    <t>其=그 · 而=말 잇는 조사 · 不=아니다 · 言=말하다</t>
  </si>
  <si>
    <t>그 호걸은 감히 노하되 감히 말하지 못하고 그 비루하고 아첨하는 자는</t>
  </si>
  <si>
    <t>호걸은 노하고도 말하지 못하며 비루하고 아첨하는 자는</t>
  </si>
  <si>
    <t>一以陰弱中土之士</t>
  </si>
  <si>
    <t>因=말미암다 · 時=때 · 義=옳음 · 而=말 잇는 조사 · 爲=하다·되다 · 身=몸 · 利=날이 날카롭다 → 이롭다</t>
  </si>
  <si>
    <t>때의 명분을 빌려 제 몸의 이익으로 삼는다</t>
  </si>
  <si>
    <t>시세를 명분 삼아 제 잇속을 챙긴다</t>
  </si>
  <si>
    <t>一以顯受文敎之名</t>
  </si>
  <si>
    <t>一=하나 · 以=~로써 · 陰=그늘 · 弱=약하다 · 中=가운데 · 之=가다 (조사로도 쓰임) · 士=선비</t>
  </si>
  <si>
    <t>한편으로는 중원의 선비를 그늘로 약하게 하고</t>
  </si>
  <si>
    <t>한편으로는 중원의 선비를 은밀히 약화시키고</t>
  </si>
  <si>
    <t>陰弱</t>
  </si>
  <si>
    <t>은밀한 약화</t>
  </si>
  <si>
    <t>그늘이 은밀한 세력 약화로 옮겨감</t>
  </si>
  <si>
    <t>皇帝私尊何累朱子</t>
  </si>
  <si>
    <t>而中州之士如此其恥之者</t>
  </si>
  <si>
    <t>葢有所激於陽尊而爲禦世之資耳</t>
  </si>
  <si>
    <t>而=말 잇는 조사 · 中=가운데 · 州=고을 · 之=가다 (조사로도 쓰임) · 士=선비 · 如=같다 · 此=이것 · 其=그 · 者=~하는 것·사람</t>
  </si>
  <si>
    <t>그런데 중원의 선비가 이처럼 부끄러워하는 것은</t>
  </si>
  <si>
    <t>그런데도 중원의 선비들이 이를 부끄러워하는 것은</t>
  </si>
  <si>
    <t>故時借一二集註之誤</t>
  </si>
  <si>
    <t>有=있다 · 所=바·곳 · 於=~에 · 陽=볕 · 而=말 잇는 조사 · 爲=하다·되다 · 禦=막아내다 · 世=세상 · 之=가다 (조사로도 쓰임) · 資=밑천</t>
  </si>
  <si>
    <t>대개 겉으로 높이는 데 격분한 바가 있어 세상을 막는 밑천으로 삼을 뿐이다</t>
  </si>
  <si>
    <t>겉으로 떠받드는 태도에 자극받아 세상을 막는 구실로 삼을 뿐이다</t>
  </si>
  <si>
    <t>陽尊</t>
  </si>
  <si>
    <t>드러난 존숭</t>
  </si>
  <si>
    <t>볕이 표면적 존숭으로 옮겨감</t>
  </si>
  <si>
    <t>以洩百年煩寃之氣</t>
  </si>
  <si>
    <t>故=까닭 · 時=때 · 一=하나 · 二=둘 · 之=가다 (조사로도 쓰임)</t>
  </si>
  <si>
    <t>그러므로 때로 한두 집주의 잘못을 빌려</t>
  </si>
  <si>
    <t>그래서 때로 집주의 오류 한둘을 구실 삼아</t>
  </si>
  <si>
    <t>借集註之誤</t>
  </si>
  <si>
    <t>구실 삼음</t>
  </si>
  <si>
    <t>빌림이 구실의 차용으로 옮겨감</t>
  </si>
  <si>
    <t>구분</t>
  </si>
  <si>
    <t>코드</t>
  </si>
  <si>
    <t>정의</t>
  </si>
  <si>
    <t>물·지형·광물·기상 등 자연물과 그 운동</t>
  </si>
  <si>
    <t>신체 부위와 그 작용, 감각 경험</t>
  </si>
  <si>
    <t>상하·내외·원근 등 공간 배치와 방위</t>
  </si>
  <si>
    <t>목표물을 두고 경쟁적으로 추격·획득하는 행위</t>
  </si>
  <si>
    <t>이동·방향·시간의 경과와 축적</t>
  </si>
  <si>
    <t>역사 인물·전거, 신분 제도, 문자·복식 등 인공적 산물</t>
  </si>
  <si>
    <t>원천 영역이 아니라 과장·역설·대조 등 표현을 조직하는 방식</t>
  </si>
  <si>
    <t>재화의 축적, 유통, 경제 원리 자체</t>
  </si>
  <si>
    <t>정치 권력, 지배와 복속, 국가 간 관계</t>
  </si>
  <si>
    <t>앎, 판단, 진위 분별, 인식의 한계</t>
  </si>
  <si>
    <t>윤리 규범, 의무, 사회적 책임</t>
  </si>
  <si>
    <t>문명의 상태, 제도와 관습, 신분 질서</t>
  </si>
  <si>
    <t>자연 경물과 사물의 외양, 신체 감각과 정서 체험, 시간의 체감 등 묘사의 대상</t>
  </si>
  <si>
    <t>위 여섯에 들지 않는 목표. 반드시 비고란에 무엇인지 적을 것</t>
  </si>
  <si>
    <t>기본 의미와 재화 관련성</t>
  </si>
  <si>
    <t>복합어</t>
  </si>
  <si>
    <t>물건을 바꾸다</t>
  </si>
  <si>
    <t>물건을 잡히고 돈을 빌리다</t>
  </si>
  <si>
    <t>사행에 가져가는 정액의 은</t>
  </si>
  <si>
    <t>천 냥, 큰 재물</t>
  </si>
  <si>
    <t>만 냥, 매우 큰 재물</t>
  </si>
  <si>
    <t>벼슬 없이 부유한 사람</t>
  </si>
  <si>
    <t>재물을 불리다</t>
  </si>
  <si>
    <t>재물과 화폐</t>
  </si>
  <si>
    <t>財貨</t>
  </si>
  <si>
    <t>재물</t>
  </si>
  <si>
    <t>단일자</t>
  </si>
  <si>
    <t>재물 일반</t>
  </si>
  <si>
    <t>사고파는 물건</t>
  </si>
  <si>
    <t>이익, 날카롭다</t>
  </si>
  <si>
    <t>재물이 많다</t>
  </si>
  <si>
    <t>재물이 적다</t>
  </si>
  <si>
    <t>사다</t>
  </si>
  <si>
    <t>팔다</t>
  </si>
  <si>
    <t>은, 화폐로 쓰인 금속</t>
  </si>
  <si>
    <t>돈, 엽전</t>
  </si>
  <si>
    <t>장사하다</t>
  </si>
  <si>
    <t>장사하다, 값</t>
  </si>
  <si>
    <t>값</t>
  </si>
  <si>
    <t>밑천</t>
  </si>
  <si>
    <t>낳다, 재산</t>
  </si>
  <si>
    <t>産</t>
  </si>
  <si>
    <t>초목이 자라 불다 → 재화를 불리다</t>
  </si>
  <si>
    <t>구실, 조세</t>
  </si>
  <si>
    <t>거두는 세</t>
  </si>
  <si>
    <t>바치는 물건</t>
  </si>
  <si>
    <t>검소하다</t>
  </si>
  <si>
    <t>사치하다</t>
  </si>
  <si>
    <t>움집, 곡식을 저장하는 구덩이</t>
  </si>
  <si>
    <t>券</t>
  </si>
  <si>
    <t>나무에 새긴 증서</t>
  </si>
  <si>
    <t>새긴 문서, 약속</t>
  </si>
  <si>
    <t>갑절</t>
  </si>
  <si>
    <t>숨쉬다 → 이자</t>
  </si>
  <si>
    <t>빚</t>
  </si>
  <si>
    <t>갚다</t>
  </si>
  <si>
    <t>값을 치러 되찾다</t>
  </si>
  <si>
    <t>열, 열 배</t>
  </si>
  <si>
    <t>남다, 이문</t>
  </si>
  <si>
    <t>남아 넘치다</t>
  </si>
  <si>
    <t>※ 트리거는 재화 관련 문맥을 기계적으로 골라내기 위한 장치입니다. 트리거가 있다고 은유인 것도, 없다고 은유가 아닌 것도 아닙니다. 트리거를 포함한 절과 그 앞뒤 각 1절이 판정 대상이 됩니다.</t>
  </si>
  <si>
    <t>글자</t>
  </si>
  <si>
    <t>기본 의미</t>
  </si>
  <si>
    <t>※ 기본 의미란 더 구체적이고 신체적 경험에 가까우며 역사적으로 앞선 의미입니다. 문맥에서 쓰인 뜻이 아닙니다. 두 의미가 다르고 앞의 것을 뒤의 것과의 비교로 이해할 수 있으면 은유로 판정합니다. 주석은 사전을 대신 찾아 준 것일 뿐이며, 주석이 있다고 은유인 것도 없다고 은유가 아닌 것도 아닙니다. 사전에 없는 글자는 직접 확인하십시오.</t>
  </si>
  <si>
    <t>하나</t>
  </si>
  <si>
    <t>七</t>
  </si>
  <si>
    <t>일곱</t>
  </si>
  <si>
    <t>三</t>
  </si>
  <si>
    <t>셋</t>
  </si>
  <si>
    <t>위쪽</t>
  </si>
  <si>
    <t>아래쪽</t>
  </si>
  <si>
    <t>아니다</t>
  </si>
  <si>
    <t>世</t>
  </si>
  <si>
    <t>세상</t>
  </si>
  <si>
    <t>中</t>
  </si>
  <si>
    <t>가운데</t>
  </si>
  <si>
    <t>主</t>
  </si>
  <si>
    <t>주인</t>
  </si>
  <si>
    <t>乃</t>
  </si>
  <si>
    <t>이에</t>
  </si>
  <si>
    <t>久</t>
  </si>
  <si>
    <t>오래되다</t>
  </si>
  <si>
    <t>가다 (조사로도 쓰임)</t>
  </si>
  <si>
    <t>乎</t>
  </si>
  <si>
    <t>의문의 조사</t>
  </si>
  <si>
    <t>九</t>
  </si>
  <si>
    <t>아홉</t>
  </si>
  <si>
    <t>단정하는 조사</t>
  </si>
  <si>
    <t>事</t>
  </si>
  <si>
    <t>일</t>
  </si>
  <si>
    <t>二</t>
  </si>
  <si>
    <t>둘</t>
  </si>
  <si>
    <t>云</t>
  </si>
  <si>
    <t>이르다</t>
  </si>
  <si>
    <t>五</t>
  </si>
  <si>
    <t>다섯</t>
  </si>
  <si>
    <t>亡</t>
  </si>
  <si>
    <t>없어지다</t>
  </si>
  <si>
    <t>또한</t>
  </si>
  <si>
    <t>京</t>
  </si>
  <si>
    <t>서울</t>
  </si>
  <si>
    <t>人</t>
  </si>
  <si>
    <t>사람</t>
  </si>
  <si>
    <t>열</t>
  </si>
  <si>
    <t>仁</t>
  </si>
  <si>
    <t>어짊</t>
  </si>
  <si>
    <t>今</t>
  </si>
  <si>
    <t>이제</t>
  </si>
  <si>
    <t>以</t>
  </si>
  <si>
    <t>~로써</t>
  </si>
  <si>
    <t>任</t>
  </si>
  <si>
    <t>맡기다</t>
  </si>
  <si>
    <t>몸을 펴다</t>
  </si>
  <si>
    <t>何</t>
  </si>
  <si>
    <t>무엇</t>
  </si>
  <si>
    <t>나</t>
  </si>
  <si>
    <t>使</t>
  </si>
  <si>
    <t>시키다</t>
  </si>
  <si>
    <t>侯</t>
  </si>
  <si>
    <t>제후</t>
  </si>
  <si>
    <t>俗</t>
  </si>
  <si>
    <t>풍속</t>
  </si>
  <si>
    <t>修</t>
  </si>
  <si>
    <t>닦다</t>
  </si>
  <si>
    <t>俱</t>
  </si>
  <si>
    <t>함께</t>
  </si>
  <si>
    <t>個</t>
  </si>
  <si>
    <t>낱</t>
  </si>
  <si>
    <t>做</t>
  </si>
  <si>
    <t>하다 (백화)</t>
  </si>
  <si>
    <t>한쪽으로 기울다</t>
  </si>
  <si>
    <t>僞</t>
  </si>
  <si>
    <t>거짓</t>
  </si>
  <si>
    <t>가득 채우다</t>
  </si>
  <si>
    <t>先</t>
  </si>
  <si>
    <t>먼저</t>
  </si>
  <si>
    <t>光</t>
  </si>
  <si>
    <t>빛</t>
  </si>
  <si>
    <t>入</t>
  </si>
  <si>
    <t>들다</t>
  </si>
  <si>
    <t>內</t>
  </si>
  <si>
    <t>안</t>
  </si>
  <si>
    <t>兩</t>
  </si>
  <si>
    <t>두 개·무게 단위</t>
  </si>
  <si>
    <t>八</t>
  </si>
  <si>
    <t>여덟</t>
  </si>
  <si>
    <t>公</t>
  </si>
  <si>
    <t>공변되다·귀인</t>
  </si>
  <si>
    <t>六</t>
  </si>
  <si>
    <t>여섯</t>
  </si>
  <si>
    <t>兵</t>
  </si>
  <si>
    <t>무기</t>
  </si>
  <si>
    <t>그</t>
  </si>
  <si>
    <t>冠</t>
  </si>
  <si>
    <t>갓</t>
  </si>
  <si>
    <t>물이 더러워지다</t>
  </si>
  <si>
    <t>凋</t>
  </si>
  <si>
    <t>초목이 시들다</t>
  </si>
  <si>
    <t>出</t>
  </si>
  <si>
    <t>나가다</t>
  </si>
  <si>
    <t>分</t>
  </si>
  <si>
    <t>나누다</t>
  </si>
  <si>
    <t>初</t>
  </si>
  <si>
    <t>처음</t>
  </si>
  <si>
    <t>날이 날카롭다 → 이롭다</t>
  </si>
  <si>
    <t>制</t>
  </si>
  <si>
    <t>만들다·제도</t>
  </si>
  <si>
    <t>곧</t>
  </si>
  <si>
    <t>前</t>
  </si>
  <si>
    <t>앞</t>
  </si>
  <si>
    <t>力</t>
  </si>
  <si>
    <t>힘</t>
  </si>
  <si>
    <t>勝</t>
  </si>
  <si>
    <t>싸움에 이기다</t>
  </si>
  <si>
    <t>북쪽</t>
  </si>
  <si>
    <t>十</t>
  </si>
  <si>
    <t>千</t>
  </si>
  <si>
    <t>일천</t>
  </si>
  <si>
    <t>卑</t>
  </si>
  <si>
    <t>낮다</t>
  </si>
  <si>
    <t>南</t>
  </si>
  <si>
    <t>남쪽</t>
  </si>
  <si>
    <t>危</t>
  </si>
  <si>
    <t>위태롭다</t>
  </si>
  <si>
    <t>두껍다</t>
  </si>
  <si>
    <t>물의 발원지</t>
  </si>
  <si>
    <t>去</t>
  </si>
  <si>
    <t>가다</t>
  </si>
  <si>
    <t>又</t>
  </si>
  <si>
    <t>또</t>
  </si>
  <si>
    <t>及</t>
  </si>
  <si>
    <t>미치다</t>
  </si>
  <si>
    <t>取</t>
  </si>
  <si>
    <t>가지다</t>
  </si>
  <si>
    <t>受</t>
  </si>
  <si>
    <t>받다</t>
  </si>
  <si>
    <t>口</t>
  </si>
  <si>
    <t>입</t>
  </si>
  <si>
    <t>古</t>
  </si>
  <si>
    <t>옛</t>
  </si>
  <si>
    <t>可</t>
  </si>
  <si>
    <t>옳다·가하다</t>
  </si>
  <si>
    <t>史</t>
  </si>
  <si>
    <t>사관·역사</t>
  </si>
  <si>
    <t>同</t>
  </si>
  <si>
    <t>같다</t>
  </si>
  <si>
    <t>名</t>
  </si>
  <si>
    <t>이름</t>
  </si>
  <si>
    <t>君</t>
  </si>
  <si>
    <t>임금·그대</t>
  </si>
  <si>
    <t>吮</t>
  </si>
  <si>
    <t>빨다</t>
  </si>
  <si>
    <t>吾</t>
  </si>
  <si>
    <t>周</t>
  </si>
  <si>
    <t>두루</t>
  </si>
  <si>
    <t>咽</t>
  </si>
  <si>
    <t>목구멍</t>
  </si>
  <si>
    <t>問</t>
  </si>
  <si>
    <t>묻다</t>
  </si>
  <si>
    <t>善</t>
  </si>
  <si>
    <t>착하다</t>
  </si>
  <si>
    <t>喘</t>
  </si>
  <si>
    <t>헐떡이다</t>
  </si>
  <si>
    <t>器</t>
  </si>
  <si>
    <t>그릇</t>
  </si>
  <si>
    <t>四</t>
  </si>
  <si>
    <t>넷</t>
  </si>
  <si>
    <t>因</t>
  </si>
  <si>
    <t>말미암다</t>
  </si>
  <si>
    <t>國</t>
  </si>
  <si>
    <t>나라</t>
  </si>
  <si>
    <t>在</t>
  </si>
  <si>
    <t>있다</t>
  </si>
  <si>
    <t>地</t>
  </si>
  <si>
    <t>땅</t>
  </si>
  <si>
    <t>坐</t>
  </si>
  <si>
    <t>앉다</t>
  </si>
  <si>
    <t>城</t>
  </si>
  <si>
    <t>성</t>
  </si>
  <si>
    <t>낮은 담</t>
  </si>
  <si>
    <t>堆</t>
  </si>
  <si>
    <t>흙을 쌓다</t>
  </si>
  <si>
    <t>塡</t>
  </si>
  <si>
    <t>메워 채우다</t>
  </si>
  <si>
    <t>士</t>
  </si>
  <si>
    <t>선비</t>
  </si>
  <si>
    <t>外</t>
  </si>
  <si>
    <t>바깥</t>
  </si>
  <si>
    <t>多</t>
  </si>
  <si>
    <t>많다</t>
  </si>
  <si>
    <t>大</t>
  </si>
  <si>
    <t>크다</t>
  </si>
  <si>
    <t>하늘</t>
  </si>
  <si>
    <t>夫</t>
  </si>
  <si>
    <t>사내·무릇</t>
  </si>
  <si>
    <t>失</t>
  </si>
  <si>
    <t>잃다</t>
  </si>
  <si>
    <t>奇</t>
  </si>
  <si>
    <t>기이하다</t>
  </si>
  <si>
    <t>새긴 문서</t>
  </si>
  <si>
    <t>내달리다</t>
  </si>
  <si>
    <t>빼앗다</t>
  </si>
  <si>
    <t>好</t>
  </si>
  <si>
    <t>좋다</t>
  </si>
  <si>
    <t>始</t>
  </si>
  <si>
    <t>아들</t>
  </si>
  <si>
    <t>存</t>
  </si>
  <si>
    <t>學</t>
  </si>
  <si>
    <t>배우다</t>
  </si>
  <si>
    <t>守</t>
  </si>
  <si>
    <t>지키다</t>
  </si>
  <si>
    <t>安</t>
  </si>
  <si>
    <t>편안하다</t>
  </si>
  <si>
    <t>官</t>
  </si>
  <si>
    <t>벼슬</t>
  </si>
  <si>
    <t>客</t>
  </si>
  <si>
    <t>손님</t>
  </si>
  <si>
    <t>집</t>
  </si>
  <si>
    <t>재물이 넉넉하다</t>
  </si>
  <si>
    <t>寒</t>
  </si>
  <si>
    <t>춥다</t>
  </si>
  <si>
    <t>實</t>
  </si>
  <si>
    <t>차다</t>
  </si>
  <si>
    <t>封</t>
  </si>
  <si>
    <t>흙을 쌓아 봉하다</t>
  </si>
  <si>
    <t>小</t>
  </si>
  <si>
    <t>작다</t>
  </si>
  <si>
    <t>少</t>
  </si>
  <si>
    <t>적다</t>
  </si>
  <si>
    <t>머물러 살다</t>
  </si>
  <si>
    <t>屈</t>
  </si>
  <si>
    <t>몸을 굽히다</t>
  </si>
  <si>
    <t>屋</t>
  </si>
  <si>
    <t>屛</t>
  </si>
  <si>
    <t>숨을 죽이다</t>
  </si>
  <si>
    <t>履</t>
  </si>
  <si>
    <t>신을 신다</t>
  </si>
  <si>
    <t>山</t>
  </si>
  <si>
    <t>산</t>
  </si>
  <si>
    <t>州</t>
  </si>
  <si>
    <t>고을</t>
  </si>
  <si>
    <t>已</t>
  </si>
  <si>
    <t>이미</t>
  </si>
  <si>
    <t>저자</t>
  </si>
  <si>
    <t>布</t>
  </si>
  <si>
    <t>베</t>
  </si>
  <si>
    <t>幣</t>
  </si>
  <si>
    <t>예물로 쓰는 비단</t>
  </si>
  <si>
    <t>平</t>
  </si>
  <si>
    <t>평평하다</t>
  </si>
  <si>
    <t>年</t>
  </si>
  <si>
    <t>해</t>
  </si>
  <si>
    <t>幾</t>
  </si>
  <si>
    <t>몇</t>
  </si>
  <si>
    <t>廢</t>
  </si>
  <si>
    <t>그만두다</t>
  </si>
  <si>
    <t>廣</t>
  </si>
  <si>
    <t>넓다</t>
  </si>
  <si>
    <t>弱</t>
  </si>
  <si>
    <t>약하다</t>
  </si>
  <si>
    <t>强</t>
  </si>
  <si>
    <t>굳세다</t>
  </si>
  <si>
    <t>形</t>
  </si>
  <si>
    <t>모양</t>
  </si>
  <si>
    <t>彼</t>
  </si>
  <si>
    <t>저</t>
  </si>
  <si>
    <t>待</t>
  </si>
  <si>
    <t>기다리다</t>
  </si>
  <si>
    <t>後</t>
  </si>
  <si>
    <t>뒤</t>
  </si>
  <si>
    <t>得</t>
  </si>
  <si>
    <t>얻다</t>
  </si>
  <si>
    <t>從</t>
  </si>
  <si>
    <t>좇다</t>
  </si>
  <si>
    <t>덕</t>
  </si>
  <si>
    <t>마음</t>
  </si>
  <si>
    <t>必</t>
  </si>
  <si>
    <t>반드시</t>
  </si>
  <si>
    <t>숨쉬다</t>
  </si>
  <si>
    <t>惡</t>
  </si>
  <si>
    <t>모질다</t>
  </si>
  <si>
    <t>成</t>
  </si>
  <si>
    <t>이루다</t>
  </si>
  <si>
    <t>我</t>
  </si>
  <si>
    <t>或</t>
  </si>
  <si>
    <t>혹</t>
  </si>
  <si>
    <t>所</t>
  </si>
  <si>
    <t>바·곳</t>
  </si>
  <si>
    <t>手</t>
  </si>
  <si>
    <t>손</t>
  </si>
  <si>
    <t>折</t>
  </si>
  <si>
    <t>가지를 꺾다</t>
  </si>
  <si>
    <t>捕</t>
  </si>
  <si>
    <t>잡다</t>
  </si>
  <si>
    <t>損</t>
  </si>
  <si>
    <t>덜다</t>
  </si>
  <si>
    <t>搴</t>
  </si>
  <si>
    <t>뽑다</t>
  </si>
  <si>
    <t>操</t>
  </si>
  <si>
    <t>줄을 잡아 다루다</t>
  </si>
  <si>
    <t>收</t>
  </si>
  <si>
    <t>거두다</t>
  </si>
  <si>
    <t>攻</t>
  </si>
  <si>
    <t>치다</t>
  </si>
  <si>
    <t>故</t>
  </si>
  <si>
    <t>까닭</t>
  </si>
  <si>
    <t>싸움에 지다</t>
  </si>
  <si>
    <t>數</t>
  </si>
  <si>
    <t>세다·수</t>
  </si>
  <si>
    <t>文</t>
  </si>
  <si>
    <t>무늬·글</t>
  </si>
  <si>
    <t>斬</t>
  </si>
  <si>
    <t>베다</t>
  </si>
  <si>
    <t>新</t>
  </si>
  <si>
    <t>새롭다</t>
  </si>
  <si>
    <t>斷金</t>
  </si>
  <si>
    <t>쇠를 끊다</t>
  </si>
  <si>
    <t>方</t>
  </si>
  <si>
    <t>모나다·바야흐로</t>
  </si>
  <si>
    <t>於</t>
  </si>
  <si>
    <t>~에</t>
  </si>
  <si>
    <t>旅</t>
  </si>
  <si>
    <t>나그네</t>
  </si>
  <si>
    <t>旣</t>
  </si>
  <si>
    <t>日</t>
  </si>
  <si>
    <t>해·날</t>
  </si>
  <si>
    <t>가뭄</t>
  </si>
  <si>
    <t>明</t>
  </si>
  <si>
    <t>밝다</t>
  </si>
  <si>
    <t>易</t>
  </si>
  <si>
    <t>쉽다</t>
  </si>
  <si>
    <t>春</t>
  </si>
  <si>
    <t>봄</t>
  </si>
  <si>
    <t>是</t>
  </si>
  <si>
    <t>옳다·이것</t>
  </si>
  <si>
    <t>時</t>
  </si>
  <si>
    <t>때</t>
  </si>
  <si>
    <t>슬기</t>
  </si>
  <si>
    <t>暗</t>
  </si>
  <si>
    <t>어둡다</t>
  </si>
  <si>
    <t>말하다</t>
  </si>
  <si>
    <t>書</t>
  </si>
  <si>
    <t>글</t>
  </si>
  <si>
    <t>月</t>
  </si>
  <si>
    <t>달</t>
  </si>
  <si>
    <t>有</t>
  </si>
  <si>
    <t>服</t>
  </si>
  <si>
    <t>옷</t>
  </si>
  <si>
    <t>望</t>
  </si>
  <si>
    <t>바라보다</t>
  </si>
  <si>
    <t>朝</t>
  </si>
  <si>
    <t>아침·조정</t>
  </si>
  <si>
    <t>未</t>
  </si>
  <si>
    <t>아직 ~않다</t>
  </si>
  <si>
    <t>끝</t>
  </si>
  <si>
    <t>나무의 뿌리</t>
  </si>
  <si>
    <t>東</t>
  </si>
  <si>
    <t>동쪽</t>
  </si>
  <si>
    <t>천에 물을 들이다</t>
  </si>
  <si>
    <t>業</t>
  </si>
  <si>
    <t>생업</t>
  </si>
  <si>
    <t>樓</t>
  </si>
  <si>
    <t>다락</t>
  </si>
  <si>
    <t>機</t>
  </si>
  <si>
    <t>베틀</t>
  </si>
  <si>
    <t>저울추</t>
  </si>
  <si>
    <t>欲</t>
  </si>
  <si>
    <t>하고자 하다</t>
  </si>
  <si>
    <t>正</t>
  </si>
  <si>
    <t>바르다</t>
  </si>
  <si>
    <t>이것</t>
  </si>
  <si>
    <t>歲</t>
  </si>
  <si>
    <t>한 해</t>
  </si>
  <si>
    <t>돌아가다</t>
  </si>
  <si>
    <t>死</t>
  </si>
  <si>
    <t>죽다</t>
  </si>
  <si>
    <t>초목이 자라 불다</t>
  </si>
  <si>
    <t>氏</t>
  </si>
  <si>
    <t>성씨</t>
  </si>
  <si>
    <t>民</t>
  </si>
  <si>
    <t>氣</t>
  </si>
  <si>
    <t>기운</t>
  </si>
  <si>
    <t>水</t>
  </si>
  <si>
    <t>물</t>
  </si>
  <si>
    <t>求</t>
  </si>
  <si>
    <t>구하다</t>
  </si>
  <si>
    <t>江</t>
  </si>
  <si>
    <t>큰 강</t>
  </si>
  <si>
    <t>물에 빠져 가라앉다</t>
  </si>
  <si>
    <t>治</t>
  </si>
  <si>
    <t>다스리다</t>
  </si>
  <si>
    <t>法</t>
  </si>
  <si>
    <t>법</t>
  </si>
  <si>
    <t>泣</t>
  </si>
  <si>
    <t>울다</t>
  </si>
  <si>
    <t>流</t>
  </si>
  <si>
    <t>물이 흐르다</t>
  </si>
  <si>
    <t>물결</t>
  </si>
  <si>
    <t>바다</t>
  </si>
  <si>
    <t>浸</t>
  </si>
  <si>
    <t>물에 잠기다</t>
  </si>
  <si>
    <t>消</t>
  </si>
  <si>
    <t>녹아 없어지다</t>
  </si>
  <si>
    <t>물이 마르다</t>
  </si>
  <si>
    <t>깊다</t>
  </si>
  <si>
    <t>맑다</t>
  </si>
  <si>
    <t>淺</t>
  </si>
  <si>
    <t>얕다</t>
  </si>
  <si>
    <t>湊</t>
  </si>
  <si>
    <t>모여들다</t>
  </si>
  <si>
    <t>湧</t>
  </si>
  <si>
    <t>물이 솟다</t>
  </si>
  <si>
    <t>源</t>
  </si>
  <si>
    <t>溢</t>
  </si>
  <si>
    <t>물이 넘치다</t>
  </si>
  <si>
    <t>滯</t>
  </si>
  <si>
    <t>물이 막혀 고이다</t>
  </si>
  <si>
    <t>漢</t>
  </si>
  <si>
    <t>한나라·사내</t>
  </si>
  <si>
    <t>물속에 잠기다</t>
  </si>
  <si>
    <t>濁</t>
  </si>
  <si>
    <t>흐리다</t>
  </si>
  <si>
    <t>瀉</t>
  </si>
  <si>
    <t>물이 쏟아지다</t>
  </si>
  <si>
    <t>灌</t>
  </si>
  <si>
    <t>물을 쏟아붓다</t>
  </si>
  <si>
    <t>為</t>
  </si>
  <si>
    <t>하다</t>
  </si>
  <si>
    <t>焉</t>
  </si>
  <si>
    <t>어찌</t>
  </si>
  <si>
    <t>煖</t>
  </si>
  <si>
    <t>따뜻하다</t>
  </si>
  <si>
    <t>熟</t>
  </si>
  <si>
    <t>열매가 익다</t>
  </si>
  <si>
    <t>제비·연나라</t>
  </si>
  <si>
    <t>爪</t>
  </si>
  <si>
    <t>손톱·발톱</t>
  </si>
  <si>
    <t>爭</t>
  </si>
  <si>
    <t>다투다</t>
  </si>
  <si>
    <t>하다·되다</t>
  </si>
  <si>
    <t>爵</t>
  </si>
  <si>
    <t>술잔 모양의 벼슬</t>
  </si>
  <si>
    <t>牙</t>
  </si>
  <si>
    <t>어금니</t>
  </si>
  <si>
    <t>牛</t>
  </si>
  <si>
    <t>소</t>
  </si>
  <si>
    <t>物</t>
  </si>
  <si>
    <t>물건</t>
  </si>
  <si>
    <t>狹</t>
  </si>
  <si>
    <t>좁다</t>
  </si>
  <si>
    <t>홀로</t>
  </si>
  <si>
    <t>獵</t>
  </si>
  <si>
    <t>사냥하다</t>
  </si>
  <si>
    <t>玉</t>
  </si>
  <si>
    <t>옥</t>
  </si>
  <si>
    <t>王</t>
  </si>
  <si>
    <t>임금</t>
  </si>
  <si>
    <t>珠</t>
  </si>
  <si>
    <t>구슬</t>
  </si>
  <si>
    <t>옥의 결</t>
  </si>
  <si>
    <t>瓦</t>
  </si>
  <si>
    <t>기와</t>
  </si>
  <si>
    <t>甘</t>
  </si>
  <si>
    <t>맛이 달다</t>
  </si>
  <si>
    <t>낳다·살다</t>
  </si>
  <si>
    <t>用</t>
  </si>
  <si>
    <t>쓰다</t>
  </si>
  <si>
    <t>田</t>
  </si>
  <si>
    <t>밭</t>
  </si>
  <si>
    <t>留</t>
  </si>
  <si>
    <t>머무르다</t>
  </si>
  <si>
    <t>마땅하다</t>
  </si>
  <si>
    <t>병들다</t>
  </si>
  <si>
    <t>痛</t>
  </si>
  <si>
    <t>아프다</t>
  </si>
  <si>
    <t>瘁</t>
  </si>
  <si>
    <t>병들어 야위다</t>
  </si>
  <si>
    <t>瘳</t>
  </si>
  <si>
    <t>병이 낫다</t>
  </si>
  <si>
    <t>일백</t>
  </si>
  <si>
    <t>的</t>
  </si>
  <si>
    <t>~의 (백화)</t>
  </si>
  <si>
    <t>皆</t>
  </si>
  <si>
    <t>모두</t>
  </si>
  <si>
    <t>益</t>
  </si>
  <si>
    <t>더하다</t>
  </si>
  <si>
    <t>盡</t>
  </si>
  <si>
    <t>다하다</t>
  </si>
  <si>
    <t>目</t>
  </si>
  <si>
    <t>눈</t>
  </si>
  <si>
    <t>相</t>
  </si>
  <si>
    <t>서로</t>
  </si>
  <si>
    <t>眉</t>
  </si>
  <si>
    <t>눈썹</t>
  </si>
  <si>
    <t>眞</t>
  </si>
  <si>
    <t>참되다</t>
  </si>
  <si>
    <t>瞬</t>
  </si>
  <si>
    <t>눈을 깜빡이다</t>
  </si>
  <si>
    <t>마치는 조사</t>
  </si>
  <si>
    <t>知</t>
  </si>
  <si>
    <t>알다</t>
  </si>
  <si>
    <t>短</t>
  </si>
  <si>
    <t>짧다</t>
  </si>
  <si>
    <t>신령</t>
  </si>
  <si>
    <t>禦</t>
  </si>
  <si>
    <t>막아내다</t>
  </si>
  <si>
    <t>禮</t>
  </si>
  <si>
    <t>예</t>
  </si>
  <si>
    <t>秋</t>
  </si>
  <si>
    <t>가을</t>
  </si>
  <si>
    <t>구실</t>
  </si>
  <si>
    <t>稱</t>
  </si>
  <si>
    <t>일컫다</t>
  </si>
  <si>
    <t>穀</t>
  </si>
  <si>
    <t>곡식</t>
  </si>
  <si>
    <t>쌓아 올리다</t>
  </si>
  <si>
    <t>움집·구덩이</t>
  </si>
  <si>
    <t>立</t>
  </si>
  <si>
    <t>서다</t>
  </si>
  <si>
    <t>竭</t>
  </si>
  <si>
    <t>물이 다 마르다</t>
  </si>
  <si>
    <t>笑</t>
  </si>
  <si>
    <t>웃다</t>
  </si>
  <si>
    <t>等</t>
  </si>
  <si>
    <t>무리</t>
  </si>
  <si>
    <t>答</t>
  </si>
  <si>
    <t>대답하다</t>
  </si>
  <si>
    <t>節</t>
  </si>
  <si>
    <t>대나무의 마디</t>
  </si>
  <si>
    <t>築</t>
  </si>
  <si>
    <t>쌓다</t>
  </si>
  <si>
    <t>籍</t>
  </si>
  <si>
    <t>문서</t>
  </si>
  <si>
    <t>米</t>
  </si>
  <si>
    <t>쌀</t>
  </si>
  <si>
    <t>실이 모자라다</t>
  </si>
  <si>
    <t>終</t>
  </si>
  <si>
    <t>마치다</t>
  </si>
  <si>
    <t>실을 끊다</t>
  </si>
  <si>
    <t>給</t>
  </si>
  <si>
    <t>주다</t>
  </si>
  <si>
    <t>실</t>
  </si>
  <si>
    <t>베의 날실</t>
  </si>
  <si>
    <t>緯</t>
  </si>
  <si>
    <t>베의 씨실</t>
  </si>
  <si>
    <t>縱</t>
  </si>
  <si>
    <t>줄을 놓다</t>
  </si>
  <si>
    <t>繁</t>
  </si>
  <si>
    <t>초목이 우거지다</t>
  </si>
  <si>
    <t>가는 실</t>
  </si>
  <si>
    <t>置</t>
  </si>
  <si>
    <t>두다</t>
  </si>
  <si>
    <t>羊</t>
  </si>
  <si>
    <t>義</t>
  </si>
  <si>
    <t>옳음</t>
  </si>
  <si>
    <t>老</t>
  </si>
  <si>
    <t>늙다</t>
  </si>
  <si>
    <t>~하는 것·사람</t>
  </si>
  <si>
    <t>而</t>
  </si>
  <si>
    <t>말 잇는 조사</t>
  </si>
  <si>
    <t>耳</t>
  </si>
  <si>
    <t>귀</t>
  </si>
  <si>
    <t>聞</t>
  </si>
  <si>
    <t>듣다</t>
  </si>
  <si>
    <t>聲</t>
  </si>
  <si>
    <t>소리</t>
  </si>
  <si>
    <t>살이 찌다</t>
  </si>
  <si>
    <t>能</t>
  </si>
  <si>
    <t>능하다</t>
  </si>
  <si>
    <t>腸</t>
  </si>
  <si>
    <t>창자</t>
  </si>
  <si>
    <t>膏</t>
  </si>
  <si>
    <t>기름</t>
  </si>
  <si>
    <t>膓</t>
  </si>
  <si>
    <t>臣</t>
  </si>
  <si>
    <t>신하</t>
  </si>
  <si>
    <t>至</t>
  </si>
  <si>
    <t>致</t>
  </si>
  <si>
    <t>이르게 하다</t>
  </si>
  <si>
    <t>與</t>
  </si>
  <si>
    <t>興</t>
  </si>
  <si>
    <t>일어나다</t>
  </si>
  <si>
    <t>舊</t>
  </si>
  <si>
    <t>舌</t>
  </si>
  <si>
    <t>혀</t>
  </si>
  <si>
    <t>舖</t>
  </si>
  <si>
    <t>가게</t>
  </si>
  <si>
    <t>舟</t>
  </si>
  <si>
    <t>배</t>
  </si>
  <si>
    <t>色</t>
  </si>
  <si>
    <t>빛깔</t>
  </si>
  <si>
    <t>苗</t>
  </si>
  <si>
    <t>모종</t>
  </si>
  <si>
    <t>若</t>
  </si>
  <si>
    <t>苦</t>
  </si>
  <si>
    <t>맛이 쓰다</t>
  </si>
  <si>
    <t>茶</t>
  </si>
  <si>
    <t>차</t>
  </si>
  <si>
    <t>荒</t>
  </si>
  <si>
    <t>땅이 거칠어지다</t>
  </si>
  <si>
    <t>莫</t>
  </si>
  <si>
    <t>꽃</t>
  </si>
  <si>
    <t>萌</t>
  </si>
  <si>
    <t>싹이 트다</t>
  </si>
  <si>
    <t>일만</t>
  </si>
  <si>
    <t>落</t>
  </si>
  <si>
    <t>잎이 지다</t>
  </si>
  <si>
    <t>초목이 무성하다</t>
  </si>
  <si>
    <t>薄</t>
  </si>
  <si>
    <t>얇다</t>
  </si>
  <si>
    <t>藥</t>
  </si>
  <si>
    <t>약</t>
  </si>
  <si>
    <t>蘇</t>
  </si>
  <si>
    <t>풀이 되살아나다</t>
  </si>
  <si>
    <t>處</t>
  </si>
  <si>
    <t>곳</t>
  </si>
  <si>
    <t>虛</t>
  </si>
  <si>
    <t>비다</t>
  </si>
  <si>
    <t>血</t>
  </si>
  <si>
    <t>피</t>
  </si>
  <si>
    <t>걸어가다</t>
  </si>
  <si>
    <t>衛</t>
  </si>
  <si>
    <t>지켜 막다</t>
  </si>
  <si>
    <t>衣</t>
  </si>
  <si>
    <t>西</t>
  </si>
  <si>
    <t>서쪽</t>
  </si>
  <si>
    <t>要</t>
  </si>
  <si>
    <t>見</t>
  </si>
  <si>
    <t>보다</t>
  </si>
  <si>
    <t>解</t>
  </si>
  <si>
    <t>풀어 헤치다</t>
  </si>
  <si>
    <t>言</t>
  </si>
  <si>
    <t>設</t>
  </si>
  <si>
    <t>베풀다</t>
  </si>
  <si>
    <t>허락하다</t>
  </si>
  <si>
    <t>語</t>
  </si>
  <si>
    <t>여러</t>
  </si>
  <si>
    <t>謂</t>
  </si>
  <si>
    <t>譯</t>
  </si>
  <si>
    <t>통역하다</t>
  </si>
  <si>
    <t>재물이 모자라다</t>
  </si>
  <si>
    <t>貴</t>
  </si>
  <si>
    <t>귀하다</t>
  </si>
  <si>
    <t>賤</t>
  </si>
  <si>
    <t>천하다</t>
  </si>
  <si>
    <t>남다</t>
  </si>
  <si>
    <t>몸을 일으키다</t>
  </si>
  <si>
    <t>종종걸음으로 달리다</t>
  </si>
  <si>
    <t>足</t>
  </si>
  <si>
    <t>발</t>
  </si>
  <si>
    <t>路</t>
  </si>
  <si>
    <t>길</t>
  </si>
  <si>
    <t>踐</t>
  </si>
  <si>
    <t>발로 밟다</t>
  </si>
  <si>
    <t>身</t>
  </si>
  <si>
    <t>몸</t>
  </si>
  <si>
    <t>車</t>
  </si>
  <si>
    <t>수레</t>
  </si>
  <si>
    <t>輕</t>
  </si>
  <si>
    <t>가볍다</t>
  </si>
  <si>
    <t>輩</t>
  </si>
  <si>
    <t>輸</t>
  </si>
  <si>
    <t>실어 보내다</t>
  </si>
  <si>
    <t>輻</t>
  </si>
  <si>
    <t>수레바퀴의 살</t>
  </si>
  <si>
    <t>굴러 돌다</t>
  </si>
  <si>
    <t>農</t>
  </si>
  <si>
    <t>농사</t>
  </si>
  <si>
    <t>退</t>
  </si>
  <si>
    <t>물러나다</t>
  </si>
  <si>
    <t>送</t>
  </si>
  <si>
    <t>보내다</t>
  </si>
  <si>
    <t>짐승을 뒤쫓다</t>
  </si>
  <si>
    <t>통하다</t>
  </si>
  <si>
    <t>造</t>
  </si>
  <si>
    <t>짓다</t>
  </si>
  <si>
    <t>連</t>
  </si>
  <si>
    <t>잇다</t>
  </si>
  <si>
    <t>進</t>
  </si>
  <si>
    <t>나아가다</t>
  </si>
  <si>
    <t>遂</t>
  </si>
  <si>
    <t>마침내</t>
  </si>
  <si>
    <t>過</t>
  </si>
  <si>
    <t>지나다</t>
  </si>
  <si>
    <t>遠</t>
  </si>
  <si>
    <t>멀다</t>
  </si>
  <si>
    <t>옮겨 가다</t>
  </si>
  <si>
    <t>멀리 나아가다</t>
  </si>
  <si>
    <t>還</t>
  </si>
  <si>
    <t>돌아오다</t>
  </si>
  <si>
    <t>邊</t>
  </si>
  <si>
    <t>가장자리</t>
  </si>
  <si>
    <t>都</t>
  </si>
  <si>
    <t>도읍</t>
  </si>
  <si>
    <t>酒</t>
  </si>
  <si>
    <t>술</t>
  </si>
  <si>
    <t>采</t>
  </si>
  <si>
    <t>따다</t>
  </si>
  <si>
    <t>무겁다</t>
  </si>
  <si>
    <t>金</t>
  </si>
  <si>
    <t>쇠붙이</t>
  </si>
  <si>
    <t>큰 쇠</t>
  </si>
  <si>
    <t>鉤</t>
  </si>
  <si>
    <t>갈고리</t>
  </si>
  <si>
    <t>은</t>
  </si>
  <si>
    <t>엽전</t>
  </si>
  <si>
    <t>鎔</t>
  </si>
  <si>
    <t>쇠를 녹이다</t>
  </si>
  <si>
    <t>鏡</t>
  </si>
  <si>
    <t>거울</t>
  </si>
  <si>
    <t>鐵</t>
  </si>
  <si>
    <t>무쇠</t>
  </si>
  <si>
    <t>길다·자라다</t>
  </si>
  <si>
    <t>門</t>
  </si>
  <si>
    <t>문</t>
  </si>
  <si>
    <t>閉</t>
  </si>
  <si>
    <t>닫다</t>
  </si>
  <si>
    <t>開</t>
  </si>
  <si>
    <t>열다</t>
  </si>
  <si>
    <t>閒</t>
  </si>
  <si>
    <t>틈·한가하다</t>
  </si>
  <si>
    <t>關</t>
  </si>
  <si>
    <t>빗장·관문</t>
  </si>
  <si>
    <t>陰</t>
  </si>
  <si>
    <t>그늘</t>
  </si>
  <si>
    <t>陷</t>
  </si>
  <si>
    <t>적진을 무너뜨리다</t>
  </si>
  <si>
    <t>陽</t>
  </si>
  <si>
    <t>볕</t>
  </si>
  <si>
    <t>틈</t>
  </si>
  <si>
    <t>障</t>
  </si>
  <si>
    <t>가로막다</t>
  </si>
  <si>
    <t>비록</t>
  </si>
  <si>
    <t>難</t>
  </si>
  <si>
    <t>어렵다</t>
  </si>
  <si>
    <t>雲</t>
  </si>
  <si>
    <t>구름</t>
  </si>
  <si>
    <t>雷</t>
  </si>
  <si>
    <t>우레</t>
  </si>
  <si>
    <t>霜</t>
  </si>
  <si>
    <t>서리</t>
  </si>
  <si>
    <t>霧</t>
  </si>
  <si>
    <t>안개</t>
  </si>
  <si>
    <t>非</t>
  </si>
  <si>
    <t>面</t>
  </si>
  <si>
    <t>얼굴</t>
  </si>
  <si>
    <t>頭</t>
  </si>
  <si>
    <t>머리</t>
  </si>
  <si>
    <t>바람</t>
  </si>
  <si>
    <t>食</t>
  </si>
  <si>
    <t>먹다</t>
  </si>
  <si>
    <t>飮</t>
  </si>
  <si>
    <t>마시다</t>
  </si>
  <si>
    <t>餘</t>
  </si>
  <si>
    <t>馬</t>
  </si>
  <si>
    <t>말</t>
  </si>
  <si>
    <t>高</t>
  </si>
  <si>
    <t>높다</t>
  </si>
  <si>
    <t>鬼</t>
  </si>
  <si>
    <t>귀신</t>
  </si>
  <si>
    <t>魚</t>
  </si>
  <si>
    <t>물고기</t>
  </si>
  <si>
    <t>鹽</t>
  </si>
  <si>
    <t>소금</t>
  </si>
  <si>
    <t>麗</t>
  </si>
  <si>
    <t>곱다</t>
  </si>
  <si>
    <t>鼎</t>
  </si>
  <si>
    <t>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</si>
</sst>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charset val="1"/>
    </font>
    <font>
      <b/>
      <sz val="10"/>
      <color rgb="FFFFFFFF"/>
      <name val="Noto Sans CJK SC"/>
      <charset val="1"/>
    </font>
    <font>
      <b/>
      <sz val="10"/>
      <name val="Noto Sans CJK SC"/>
      <charset val="1"/>
    </font>
    <font>
      <sz val="10"/>
      <name val="Noto Sans CJK SC"/>
      <charset val="1"/>
    </font>
    <font>
      <sz val="9"/>
      <color rgb="FF808080"/>
      <name val="Noto Sans CJK SC"/>
      <charset val="1"/>
    </font>
    <font>
      <b/>
      <sz val="11"/>
      <name val="Noto Sans CJK SC"/>
      <charset val="1"/>
    </font>
    <font>
      <sz val="9"/>
      <color rgb="FF548235"/>
      <name val="Noto Sans CJK SC"/>
      <charset val="1"/>
    </font>
    <font>
      <sz val="9"/>
      <color rgb="FF7030A0"/>
      <name val="Noto Sans CJK SC"/>
      <charset val="1"/>
    </font>
    <font>
      <sz val="9"/>
      <color rgb="FFC55A11"/>
      <name val="Noto Sans CJK SC"/>
      <charset val="1"/>
    </font>
    <font>
      <sz val="8"/>
      <name val="돋움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rgb="FF44546A"/>
        <bgColor rgb="FF2F5496"/>
      </patternFill>
    </fill>
    <fill>
      <patternFill patternType="solid">
        <fgColor rgb="FFDDEBF7"/>
        <bgColor rgb="FFF6F0FA"/>
      </patternFill>
    </fill>
    <fill>
      <patternFill patternType="solid">
        <fgColor rgb="FFF2F8F0"/>
        <bgColor rgb="FFF6F0FA"/>
      </patternFill>
    </fill>
    <fill>
      <patternFill patternType="solid">
        <fgColor rgb="FFF6F0FA"/>
        <bgColor rgb="FFFDF2EC"/>
      </patternFill>
    </fill>
    <fill>
      <patternFill patternType="solid">
        <fgColor rgb="FFFDF2EC"/>
        <bgColor rgb="FFF6F0FA"/>
      </patternFill>
    </fill>
    <fill>
      <patternFill patternType="solid">
        <fgColor rgb="FFFFF2CC"/>
        <bgColor rgb="FFFDF2EC"/>
      </patternFill>
    </fill>
    <fill>
      <patternFill patternType="solid">
        <fgColor rgb="FFFCE4D6"/>
        <bgColor rgb="FFFFF2CC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2F5496"/>
      </left>
      <right style="medium">
        <color rgb="FF2F5496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0" fillId="0" borderId="0" xfId="0"/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left" vertical="top" wrapText="1"/>
    </xf>
    <xf numFmtId="0" fontId="5" fillId="3" borderId="2" xfId="0" applyFont="1" applyFill="1" applyBorder="1" applyAlignment="1">
      <alignment horizontal="left" vertical="top" wrapText="1"/>
    </xf>
    <xf numFmtId="0" fontId="6" fillId="4" borderId="1" xfId="0" applyFont="1" applyFill="1" applyBorder="1" applyAlignment="1">
      <alignment vertical="top" wrapText="1"/>
    </xf>
    <xf numFmtId="0" fontId="7" fillId="5" borderId="1" xfId="0" applyFont="1" applyFill="1" applyBorder="1" applyAlignment="1">
      <alignment vertical="top" wrapText="1"/>
    </xf>
    <xf numFmtId="0" fontId="8" fillId="6" borderId="1" xfId="0" applyFont="1" applyFill="1" applyBorder="1" applyAlignment="1">
      <alignment vertical="top" wrapText="1"/>
    </xf>
    <xf numFmtId="0" fontId="3" fillId="7" borderId="1" xfId="0" applyFont="1" applyFill="1" applyBorder="1" applyAlignment="1">
      <alignment horizontal="center" vertical="top"/>
    </xf>
    <xf numFmtId="0" fontId="3" fillId="7" borderId="1" xfId="0" applyFont="1" applyFill="1" applyBorder="1" applyAlignment="1">
      <alignment horizontal="left" vertical="top"/>
    </xf>
    <xf numFmtId="0" fontId="3" fillId="7" borderId="1" xfId="0" applyFont="1" applyFill="1" applyBorder="1" applyAlignment="1">
      <alignment horizontal="left" vertical="top" wrapText="1"/>
    </xf>
    <xf numFmtId="0" fontId="5" fillId="8" borderId="2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0" fontId="4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7030A0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8F0"/>
      <rgbColor rgb="FFF6F0FA"/>
      <rgbColor rgb="FFFDF2EC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C55A11"/>
      <rgbColor rgb="FF44546A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zoomScaleNormal="100" workbookViewId="0"/>
  </sheetViews>
  <sheetFormatPr defaultColWidth="8.7109375" defaultRowHeight="15"/>
  <cols>
    <col min="1" max="1" width="18" style="4" customWidth="1"/>
    <col min="2" max="2" width="100" style="4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3" t="s">
        <v>3</v>
      </c>
    </row>
    <row r="3" spans="1:2" ht="38.25" customHeight="1">
      <c r="A3" s="2" t="s">
        <v>4</v>
      </c>
      <c r="B3" s="3" t="s">
        <v>5</v>
      </c>
    </row>
    <row r="4" spans="1:2" ht="38.25" customHeight="1">
      <c r="A4" s="2" t="s">
        <v>6</v>
      </c>
      <c r="B4" s="3" t="s">
        <v>7</v>
      </c>
    </row>
    <row r="5" spans="1:2" ht="38.25" customHeight="1">
      <c r="A5" s="2" t="s">
        <v>8</v>
      </c>
      <c r="B5" s="3" t="s">
        <v>9</v>
      </c>
    </row>
    <row r="6" spans="1:2" ht="25.5" customHeight="1">
      <c r="A6" s="2" t="s">
        <v>10</v>
      </c>
      <c r="B6" s="3" t="s">
        <v>11</v>
      </c>
    </row>
    <row r="7" spans="1:2">
      <c r="A7" s="2" t="s">
        <v>12</v>
      </c>
      <c r="B7" s="3" t="s">
        <v>13</v>
      </c>
    </row>
    <row r="8" spans="1:2" ht="25.5" customHeight="1">
      <c r="A8" s="2" t="s">
        <v>14</v>
      </c>
      <c r="B8" s="3" t="s">
        <v>15</v>
      </c>
    </row>
    <row r="9" spans="1:2" ht="25.5" customHeight="1">
      <c r="A9" s="2" t="s">
        <v>16</v>
      </c>
      <c r="B9" s="3" t="s">
        <v>17</v>
      </c>
    </row>
    <row r="10" spans="1:2" ht="38.25" customHeight="1">
      <c r="A10" s="2" t="s">
        <v>18</v>
      </c>
      <c r="B10" s="3" t="s">
        <v>19</v>
      </c>
    </row>
    <row r="11" spans="1:2" ht="25.5" customHeight="1">
      <c r="A11" s="2" t="s">
        <v>20</v>
      </c>
      <c r="B11" s="3" t="s">
        <v>21</v>
      </c>
    </row>
    <row r="12" spans="1:2" ht="25.5" customHeight="1">
      <c r="A12" s="2" t="s">
        <v>22</v>
      </c>
      <c r="B12" s="3" t="s">
        <v>23</v>
      </c>
    </row>
    <row r="13" spans="1:2">
      <c r="A13" s="2" t="s">
        <v>24</v>
      </c>
      <c r="B13" s="3" t="s">
        <v>25</v>
      </c>
    </row>
    <row r="14" spans="1:2">
      <c r="A14" s="2" t="s">
        <v>26</v>
      </c>
      <c r="B14" s="3" t="s">
        <v>27</v>
      </c>
    </row>
    <row r="15" spans="1:2">
      <c r="A15" s="2" t="s">
        <v>28</v>
      </c>
      <c r="B15" s="3" t="s">
        <v>29</v>
      </c>
    </row>
    <row r="16" spans="1:2" ht="25.5" customHeight="1">
      <c r="A16" s="2" t="s">
        <v>30</v>
      </c>
      <c r="B16" s="3" t="s">
        <v>31</v>
      </c>
    </row>
    <row r="17" spans="1:2" ht="25.5" customHeight="1">
      <c r="A17" s="2" t="s">
        <v>32</v>
      </c>
      <c r="B17" s="3" t="s">
        <v>33</v>
      </c>
    </row>
    <row r="18" spans="1:2" ht="25.5" customHeight="1">
      <c r="A18" s="2" t="s">
        <v>34</v>
      </c>
      <c r="B18" s="3" t="s">
        <v>35</v>
      </c>
    </row>
  </sheetData>
  <phoneticPr fontId="9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"/>
  <sheetViews>
    <sheetView zoomScaleNormal="100" workbookViewId="0"/>
  </sheetViews>
  <sheetFormatPr defaultColWidth="8.7109375" defaultRowHeight="15"/>
  <cols>
    <col min="1" max="2" width="14" style="4" customWidth="1"/>
    <col min="3" max="3" width="12" style="4" customWidth="1"/>
    <col min="4" max="5" width="10" style="4" customWidth="1"/>
    <col min="6" max="8" width="12" style="4" customWidth="1"/>
  </cols>
  <sheetData>
    <row r="1" spans="1:8" ht="15" customHeight="1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</row>
    <row r="2" spans="1:8" ht="15" customHeight="1">
      <c r="A2" s="5" t="s">
        <v>44</v>
      </c>
      <c r="B2" s="6">
        <v>394</v>
      </c>
      <c r="C2" s="6">
        <f>COUNTIF(화식열전!$K$2:$K$395,"Y")+COUNTIF(화식열전!$K$2:$K$395,"N")</f>
        <v>394</v>
      </c>
      <c r="D2" s="6">
        <f t="shared" ref="D2:D9" si="0">B2-C2</f>
        <v>0</v>
      </c>
      <c r="E2" s="6">
        <f>COUNTIF(화식열전!$K$2:$K$395,"Y")</f>
        <v>73</v>
      </c>
      <c r="F2" s="6">
        <f>COUNTIF(화식열전!$K$2:$K$395,"N")</f>
        <v>321</v>
      </c>
      <c r="G2" s="7" t="s">
        <v>45</v>
      </c>
      <c r="H2" s="6" t="s">
        <v>46</v>
      </c>
    </row>
    <row r="3" spans="1:8" ht="15" customHeight="1">
      <c r="A3" s="5" t="s">
        <v>47</v>
      </c>
      <c r="B3" s="6">
        <v>324</v>
      </c>
      <c r="C3" s="6">
        <f>COUNTIF(도강록!$K$2:$K$325,"Y")+COUNTIF(도강록!$K$2:$K$325,"N")</f>
        <v>324</v>
      </c>
      <c r="D3" s="6">
        <f t="shared" si="0"/>
        <v>0</v>
      </c>
      <c r="E3" s="6">
        <f>COUNTIF(도강록!$K$2:$K$325,"Y")</f>
        <v>30</v>
      </c>
      <c r="F3" s="6">
        <f>COUNTIF(도강록!$K$2:$K$325,"N")</f>
        <v>294</v>
      </c>
      <c r="G3" s="7" t="s">
        <v>45</v>
      </c>
      <c r="H3" s="6" t="s">
        <v>46</v>
      </c>
    </row>
    <row r="4" spans="1:8" ht="15" customHeight="1">
      <c r="A4" s="5" t="s">
        <v>48</v>
      </c>
      <c r="B4" s="6">
        <v>295</v>
      </c>
      <c r="C4" s="6">
        <f>COUNTIF(성경잡지!$I$2:$I$296,"Y")+COUNTIF(성경잡지!$I$2:$I$296,"N")</f>
        <v>295</v>
      </c>
      <c r="D4" s="6">
        <f t="shared" si="0"/>
        <v>0</v>
      </c>
      <c r="E4" s="6">
        <f>COUNTIF(성경잡지!$I$2:$I$296,"Y")</f>
        <v>24</v>
      </c>
      <c r="F4" s="6">
        <f>COUNTIF(성경잡지!$I$2:$I$296,"N")</f>
        <v>271</v>
      </c>
      <c r="G4" s="6" t="s">
        <v>49</v>
      </c>
      <c r="H4" s="6" t="s">
        <v>50</v>
      </c>
    </row>
    <row r="5" spans="1:8" ht="15" customHeight="1">
      <c r="A5" s="5" t="s">
        <v>51</v>
      </c>
      <c r="B5" s="6">
        <v>273</v>
      </c>
      <c r="C5" s="6">
        <f>COUNTIF(일신수필!$I$2:$I$274,"Y")+COUNTIF(일신수필!$I$2:$I$274,"N")</f>
        <v>273</v>
      </c>
      <c r="D5" s="6">
        <f t="shared" si="0"/>
        <v>0</v>
      </c>
      <c r="E5" s="6">
        <f>COUNTIF(일신수필!$I$2:$I$274,"Y")</f>
        <v>29</v>
      </c>
      <c r="F5" s="6">
        <f>COUNTIF(일신수필!$I$2:$I$274,"N")</f>
        <v>244</v>
      </c>
      <c r="G5" s="6" t="s">
        <v>49</v>
      </c>
      <c r="H5" s="6" t="s">
        <v>50</v>
      </c>
    </row>
    <row r="6" spans="1:8" ht="15" customHeight="1">
      <c r="A6" s="5" t="s">
        <v>52</v>
      </c>
      <c r="B6" s="6">
        <v>254</v>
      </c>
      <c r="C6" s="6">
        <f>COUNTIF(관내정사!$I$2:$I$255,"Y")+COUNTIF(관내정사!$I$2:$I$255,"N")</f>
        <v>254</v>
      </c>
      <c r="D6" s="6">
        <f t="shared" si="0"/>
        <v>0</v>
      </c>
      <c r="E6" s="6">
        <f>COUNTIF(관내정사!$I$2:$I$255,"Y")</f>
        <v>27</v>
      </c>
      <c r="F6" s="6">
        <f>COUNTIF(관내정사!$I$2:$I$255,"N")</f>
        <v>227</v>
      </c>
      <c r="G6" s="6" t="s">
        <v>49</v>
      </c>
      <c r="H6" s="6" t="s">
        <v>50</v>
      </c>
    </row>
    <row r="7" spans="1:8" ht="15" customHeight="1">
      <c r="A7" s="5" t="s">
        <v>53</v>
      </c>
      <c r="B7" s="6">
        <v>254</v>
      </c>
      <c r="C7" s="6">
        <f>COUNTIF(옥갑야화!$K$2:$K$255,"Y")+COUNTIF(옥갑야화!$K$2:$K$255,"N")</f>
        <v>254</v>
      </c>
      <c r="D7" s="6">
        <f t="shared" si="0"/>
        <v>0</v>
      </c>
      <c r="E7" s="6">
        <f>COUNTIF(옥갑야화!$K$2:$K$255,"Y")</f>
        <v>40</v>
      </c>
      <c r="F7" s="6">
        <f>COUNTIF(옥갑야화!$K$2:$K$255,"N")</f>
        <v>214</v>
      </c>
      <c r="G7" s="6" t="s">
        <v>49</v>
      </c>
      <c r="H7" s="6" t="s">
        <v>46</v>
      </c>
    </row>
    <row r="8" spans="1:8" ht="15" customHeight="1">
      <c r="A8" s="5" t="s">
        <v>54</v>
      </c>
      <c r="B8" s="6">
        <v>65</v>
      </c>
      <c r="C8" s="6">
        <f>COUNTIF(행재잡록!$K$2:$K$66,"Y")+COUNTIF(행재잡록!$K$2:$K$66,"N")</f>
        <v>65</v>
      </c>
      <c r="D8" s="6">
        <f t="shared" si="0"/>
        <v>0</v>
      </c>
      <c r="E8" s="6">
        <f>COUNTIF(행재잡록!$K$2:$K$66,"Y")</f>
        <v>10</v>
      </c>
      <c r="F8" s="6">
        <f>COUNTIF(행재잡록!$K$2:$K$66,"N")</f>
        <v>55</v>
      </c>
      <c r="G8" s="6" t="s">
        <v>49</v>
      </c>
      <c r="H8" s="6" t="s">
        <v>46</v>
      </c>
    </row>
    <row r="9" spans="1:8" ht="15" customHeight="1">
      <c r="A9" s="5" t="s">
        <v>55</v>
      </c>
      <c r="B9" s="6">
        <v>21</v>
      </c>
      <c r="C9" s="6">
        <f>COUNTIF(심세편!$K$2:$K$22,"Y")+COUNTIF(심세편!$K$2:$K$22,"N")</f>
        <v>21</v>
      </c>
      <c r="D9" s="6">
        <f t="shared" si="0"/>
        <v>0</v>
      </c>
      <c r="E9" s="6">
        <f>COUNTIF(심세편!$K$2:$K$22,"Y")</f>
        <v>8</v>
      </c>
      <c r="F9" s="6">
        <f>COUNTIF(심세편!$K$2:$K$22,"N")</f>
        <v>13</v>
      </c>
      <c r="G9" s="6" t="s">
        <v>49</v>
      </c>
      <c r="H9" s="6" t="s">
        <v>46</v>
      </c>
    </row>
    <row r="10" spans="1:8" ht="15" customHeight="1">
      <c r="A10" s="8" t="s">
        <v>56</v>
      </c>
      <c r="B10" s="7">
        <f>SUM(B2:B9)</f>
        <v>1880</v>
      </c>
      <c r="C10" s="7">
        <f>SUM(C2:C9)</f>
        <v>1880</v>
      </c>
      <c r="D10" s="7">
        <f>SUM(D2:D9)</f>
        <v>0</v>
      </c>
      <c r="E10" s="7">
        <f>SUM(E2:E9)</f>
        <v>241</v>
      </c>
      <c r="F10" s="7">
        <f>SUM(F2:F9)</f>
        <v>1639</v>
      </c>
    </row>
    <row r="12" spans="1:8">
      <c r="A12" s="23" t="s">
        <v>57</v>
      </c>
    </row>
  </sheetData>
  <phoneticPr fontId="9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395"/>
  <sheetViews>
    <sheetView zoomScaleNormal="100" workbookViewId="0">
      <pane xSplit="10" ySplit="1" topLeftCell="M2" activePane="bottomRight" state="frozen"/>
      <selection pane="topRight" activeCell="K1" sqref="K1"/>
      <selection pane="bottomLeft" activeCell="A2" sqref="A2"/>
      <selection pane="bottomRight"/>
    </sheetView>
  </sheetViews>
  <sheetFormatPr defaultColWidth="8.7109375" defaultRowHeight="15"/>
  <cols>
    <col min="1" max="1" width="5" style="4" customWidth="1"/>
    <col min="2" max="3" width="6" style="4" customWidth="1"/>
    <col min="4" max="4" width="20" style="4" customWidth="1"/>
    <col min="5" max="5" width="30" style="4" customWidth="1"/>
    <col min="6" max="6" width="20" style="4" customWidth="1"/>
    <col min="7" max="7" width="13" style="4" customWidth="1"/>
    <col min="8" max="8" width="58" style="4" customWidth="1"/>
    <col min="9" max="10" width="34" style="4" customWidth="1"/>
    <col min="11" max="11" width="12" style="4" customWidth="1"/>
    <col min="12" max="12" width="14" style="4" customWidth="1"/>
    <col min="13" max="13" width="26" style="4" customWidth="1"/>
    <col min="14" max="14" width="8" style="4" customWidth="1"/>
    <col min="15" max="15" width="16" style="4" customWidth="1"/>
  </cols>
  <sheetData>
    <row r="1" spans="1:18" ht="31.5" customHeight="1">
      <c r="A1" s="9" t="s">
        <v>58</v>
      </c>
      <c r="B1" s="9" t="s">
        <v>59</v>
      </c>
      <c r="C1" s="9" t="s">
        <v>60</v>
      </c>
      <c r="D1" s="9" t="s">
        <v>61</v>
      </c>
      <c r="E1" s="9" t="s">
        <v>62</v>
      </c>
      <c r="F1" s="9" t="s">
        <v>63</v>
      </c>
      <c r="G1" s="9" t="s">
        <v>64</v>
      </c>
      <c r="H1" s="9" t="s">
        <v>65</v>
      </c>
      <c r="I1" s="9" t="s">
        <v>66</v>
      </c>
      <c r="J1" s="9" t="s">
        <v>67</v>
      </c>
      <c r="K1" s="9" t="s">
        <v>68</v>
      </c>
      <c r="L1" s="9" t="s">
        <v>69</v>
      </c>
      <c r="M1" s="9" t="s">
        <v>70</v>
      </c>
      <c r="N1" s="9" t="s">
        <v>71</v>
      </c>
      <c r="O1" s="9" t="s">
        <v>72</v>
      </c>
      <c r="P1" s="9" t="s">
        <v>73</v>
      </c>
      <c r="Q1" s="9" t="s">
        <v>74</v>
      </c>
      <c r="R1" s="9" t="s">
        <v>75</v>
      </c>
    </row>
    <row r="2" spans="1:18" ht="16.5" customHeight="1">
      <c r="A2" s="10">
        <v>1</v>
      </c>
      <c r="B2" s="10">
        <v>2</v>
      </c>
      <c r="C2" s="10">
        <v>13</v>
      </c>
      <c r="D2" s="11" t="s">
        <v>76</v>
      </c>
      <c r="E2" s="12" t="s">
        <v>77</v>
      </c>
      <c r="F2" s="11" t="s">
        <v>78</v>
      </c>
      <c r="G2" s="10"/>
      <c r="H2" s="13" t="s">
        <v>79</v>
      </c>
      <c r="I2" s="14" t="s">
        <v>80</v>
      </c>
      <c r="J2" s="15" t="s">
        <v>81</v>
      </c>
      <c r="K2" s="16" t="s">
        <v>82</v>
      </c>
      <c r="L2" s="17"/>
      <c r="M2" s="17"/>
      <c r="N2" s="17"/>
      <c r="O2" s="17"/>
      <c r="P2" s="18"/>
      <c r="Q2" s="16" t="s">
        <v>83</v>
      </c>
      <c r="R2" s="18"/>
    </row>
    <row r="3" spans="1:18" ht="16.5" customHeight="1">
      <c r="A3" s="10">
        <v>2</v>
      </c>
      <c r="B3" s="10">
        <v>2</v>
      </c>
      <c r="C3" s="10">
        <v>14</v>
      </c>
      <c r="D3" s="11" t="s">
        <v>77</v>
      </c>
      <c r="E3" s="19" t="s">
        <v>78</v>
      </c>
      <c r="F3" s="11" t="s">
        <v>84</v>
      </c>
      <c r="G3" s="10" t="s">
        <v>85</v>
      </c>
      <c r="H3" s="13" t="s">
        <v>86</v>
      </c>
      <c r="I3" s="14" t="s">
        <v>87</v>
      </c>
      <c r="J3" s="15" t="s">
        <v>88</v>
      </c>
      <c r="K3" s="16" t="s">
        <v>89</v>
      </c>
      <c r="L3" s="17" t="s">
        <v>90</v>
      </c>
      <c r="M3" s="17" t="s">
        <v>91</v>
      </c>
      <c r="N3" s="17" t="s">
        <v>92</v>
      </c>
      <c r="O3" s="17" t="s">
        <v>93</v>
      </c>
      <c r="P3" s="18" t="s">
        <v>94</v>
      </c>
      <c r="Q3" s="16" t="s">
        <v>83</v>
      </c>
      <c r="R3" s="18"/>
    </row>
    <row r="4" spans="1:18" ht="16.5" customHeight="1">
      <c r="A4" s="10">
        <v>3</v>
      </c>
      <c r="B4" s="10">
        <v>2</v>
      </c>
      <c r="C4" s="10">
        <v>15</v>
      </c>
      <c r="D4" s="11" t="s">
        <v>78</v>
      </c>
      <c r="E4" s="12" t="s">
        <v>84</v>
      </c>
      <c r="F4" s="11" t="s">
        <v>95</v>
      </c>
      <c r="G4" s="10"/>
      <c r="H4" s="13" t="s">
        <v>96</v>
      </c>
      <c r="I4" s="14" t="s">
        <v>97</v>
      </c>
      <c r="J4" s="15" t="s">
        <v>98</v>
      </c>
      <c r="K4" s="16" t="s">
        <v>82</v>
      </c>
      <c r="L4" s="17"/>
      <c r="M4" s="17"/>
      <c r="N4" s="17"/>
      <c r="O4" s="17"/>
      <c r="P4" s="18"/>
      <c r="Q4" s="16" t="s">
        <v>83</v>
      </c>
      <c r="R4" s="18"/>
    </row>
    <row r="5" spans="1:18" ht="16.5" customHeight="1">
      <c r="A5" s="10">
        <v>4</v>
      </c>
      <c r="B5" s="10">
        <v>3</v>
      </c>
      <c r="C5" s="10">
        <v>38</v>
      </c>
      <c r="D5" s="11" t="s">
        <v>99</v>
      </c>
      <c r="E5" s="12" t="s">
        <v>100</v>
      </c>
      <c r="F5" s="11" t="s">
        <v>101</v>
      </c>
      <c r="G5" s="10"/>
      <c r="H5" s="13" t="s">
        <v>102</v>
      </c>
      <c r="I5" s="14" t="s">
        <v>103</v>
      </c>
      <c r="J5" s="15" t="s">
        <v>104</v>
      </c>
      <c r="K5" s="16" t="s">
        <v>82</v>
      </c>
      <c r="L5" s="17"/>
      <c r="M5" s="17"/>
      <c r="N5" s="17"/>
      <c r="O5" s="17"/>
      <c r="P5" s="18"/>
      <c r="Q5" s="16" t="s">
        <v>83</v>
      </c>
      <c r="R5" s="18"/>
    </row>
    <row r="6" spans="1:18" ht="16.5" customHeight="1">
      <c r="A6" s="10">
        <v>5</v>
      </c>
      <c r="B6" s="10">
        <v>3</v>
      </c>
      <c r="C6" s="10">
        <v>39</v>
      </c>
      <c r="D6" s="11" t="s">
        <v>100</v>
      </c>
      <c r="E6" s="19" t="s">
        <v>101</v>
      </c>
      <c r="F6" s="11" t="s">
        <v>105</v>
      </c>
      <c r="G6" s="10" t="s">
        <v>106</v>
      </c>
      <c r="H6" s="13" t="s">
        <v>107</v>
      </c>
      <c r="I6" s="14" t="s">
        <v>108</v>
      </c>
      <c r="J6" s="15" t="s">
        <v>109</v>
      </c>
      <c r="K6" s="16" t="s">
        <v>89</v>
      </c>
      <c r="L6" s="17" t="s">
        <v>90</v>
      </c>
      <c r="M6" s="17" t="s">
        <v>91</v>
      </c>
      <c r="N6" s="17" t="s">
        <v>110</v>
      </c>
      <c r="O6" s="17" t="s">
        <v>111</v>
      </c>
      <c r="P6" s="18" t="s">
        <v>112</v>
      </c>
      <c r="Q6" s="16" t="s">
        <v>113</v>
      </c>
      <c r="R6" s="18"/>
    </row>
    <row r="7" spans="1:18" ht="16.5" customHeight="1">
      <c r="A7" s="10">
        <v>6</v>
      </c>
      <c r="B7" s="10">
        <v>3</v>
      </c>
      <c r="C7" s="10">
        <v>40</v>
      </c>
      <c r="D7" s="11" t="s">
        <v>101</v>
      </c>
      <c r="E7" s="12" t="s">
        <v>105</v>
      </c>
      <c r="F7" s="11" t="s">
        <v>114</v>
      </c>
      <c r="G7" s="10"/>
      <c r="H7" s="13" t="s">
        <v>115</v>
      </c>
      <c r="I7" s="14" t="s">
        <v>116</v>
      </c>
      <c r="J7" s="15" t="s">
        <v>117</v>
      </c>
      <c r="K7" s="16" t="s">
        <v>82</v>
      </c>
      <c r="L7" s="17"/>
      <c r="M7" s="17"/>
      <c r="N7" s="17"/>
      <c r="O7" s="17"/>
      <c r="P7" s="18"/>
      <c r="Q7" s="16" t="s">
        <v>83</v>
      </c>
      <c r="R7" s="18"/>
    </row>
    <row r="8" spans="1:18" ht="16.5" customHeight="1">
      <c r="A8" s="10">
        <v>7</v>
      </c>
      <c r="B8" s="10">
        <v>4</v>
      </c>
      <c r="C8" s="10">
        <v>3</v>
      </c>
      <c r="D8" s="11" t="s">
        <v>118</v>
      </c>
      <c r="E8" s="12" t="s">
        <v>119</v>
      </c>
      <c r="F8" s="11" t="s">
        <v>120</v>
      </c>
      <c r="G8" s="10"/>
      <c r="H8" s="13" t="s">
        <v>121</v>
      </c>
      <c r="I8" s="14" t="s">
        <v>122</v>
      </c>
      <c r="J8" s="15" t="s">
        <v>123</v>
      </c>
      <c r="K8" s="16" t="s">
        <v>82</v>
      </c>
      <c r="L8" s="17"/>
      <c r="M8" s="17"/>
      <c r="N8" s="17"/>
      <c r="O8" s="17"/>
      <c r="P8" s="18"/>
      <c r="Q8" s="16" t="s">
        <v>83</v>
      </c>
      <c r="R8" s="18"/>
    </row>
    <row r="9" spans="1:18" ht="16.5" customHeight="1">
      <c r="A9" s="10">
        <v>8</v>
      </c>
      <c r="B9" s="10">
        <v>4</v>
      </c>
      <c r="C9" s="10">
        <v>4</v>
      </c>
      <c r="D9" s="11" t="s">
        <v>119</v>
      </c>
      <c r="E9" s="19" t="s">
        <v>120</v>
      </c>
      <c r="F9" s="11" t="s">
        <v>124</v>
      </c>
      <c r="G9" s="10" t="s">
        <v>106</v>
      </c>
      <c r="H9" s="13" t="s">
        <v>125</v>
      </c>
      <c r="I9" s="14" t="s">
        <v>126</v>
      </c>
      <c r="J9" s="15" t="s">
        <v>127</v>
      </c>
      <c r="K9" s="16" t="s">
        <v>89</v>
      </c>
      <c r="L9" s="17" t="s">
        <v>128</v>
      </c>
      <c r="M9" s="17" t="s">
        <v>91</v>
      </c>
      <c r="N9" s="17" t="s">
        <v>129</v>
      </c>
      <c r="O9" s="17" t="s">
        <v>130</v>
      </c>
      <c r="P9" s="18" t="s">
        <v>131</v>
      </c>
      <c r="Q9" s="16" t="s">
        <v>83</v>
      </c>
      <c r="R9" s="18"/>
    </row>
    <row r="10" spans="1:18" ht="16.5" customHeight="1">
      <c r="A10" s="10">
        <v>9</v>
      </c>
      <c r="B10" s="10">
        <v>4</v>
      </c>
      <c r="C10" s="10">
        <v>5</v>
      </c>
      <c r="D10" s="11" t="s">
        <v>120</v>
      </c>
      <c r="E10" s="19" t="s">
        <v>124</v>
      </c>
      <c r="F10" s="11" t="s">
        <v>132</v>
      </c>
      <c r="G10" s="10" t="s">
        <v>133</v>
      </c>
      <c r="H10" s="13" t="s">
        <v>134</v>
      </c>
      <c r="I10" s="14" t="s">
        <v>135</v>
      </c>
      <c r="J10" s="15" t="s">
        <v>136</v>
      </c>
      <c r="K10" s="16" t="s">
        <v>82</v>
      </c>
      <c r="L10" s="17"/>
      <c r="M10" s="17"/>
      <c r="N10" s="17"/>
      <c r="O10" s="17"/>
      <c r="P10" s="18"/>
      <c r="Q10" s="16" t="s">
        <v>83</v>
      </c>
      <c r="R10" s="18"/>
    </row>
    <row r="11" spans="1:18" ht="16.5" customHeight="1">
      <c r="A11" s="10">
        <v>10</v>
      </c>
      <c r="B11" s="10">
        <v>4</v>
      </c>
      <c r="C11" s="10">
        <v>6</v>
      </c>
      <c r="D11" s="11" t="s">
        <v>124</v>
      </c>
      <c r="E11" s="19" t="s">
        <v>132</v>
      </c>
      <c r="F11" s="11" t="s">
        <v>137</v>
      </c>
      <c r="G11" s="10" t="s">
        <v>133</v>
      </c>
      <c r="H11" s="13" t="s">
        <v>138</v>
      </c>
      <c r="I11" s="14" t="s">
        <v>139</v>
      </c>
      <c r="J11" s="15" t="s">
        <v>140</v>
      </c>
      <c r="K11" s="16" t="s">
        <v>82</v>
      </c>
      <c r="L11" s="17"/>
      <c r="M11" s="17"/>
      <c r="N11" s="17"/>
      <c r="O11" s="17"/>
      <c r="P11" s="18"/>
      <c r="Q11" s="16" t="s">
        <v>83</v>
      </c>
      <c r="R11" s="18"/>
    </row>
    <row r="12" spans="1:18" ht="16.5" customHeight="1">
      <c r="A12" s="10">
        <v>11</v>
      </c>
      <c r="B12" s="10">
        <v>4</v>
      </c>
      <c r="C12" s="10">
        <v>7</v>
      </c>
      <c r="D12" s="11" t="s">
        <v>132</v>
      </c>
      <c r="E12" s="12" t="s">
        <v>137</v>
      </c>
      <c r="F12" s="11" t="s">
        <v>141</v>
      </c>
      <c r="G12" s="10"/>
      <c r="H12" s="13" t="s">
        <v>142</v>
      </c>
      <c r="I12" s="14" t="s">
        <v>143</v>
      </c>
      <c r="J12" s="15" t="s">
        <v>144</v>
      </c>
      <c r="K12" s="16" t="s">
        <v>89</v>
      </c>
      <c r="L12" s="17" t="s">
        <v>90</v>
      </c>
      <c r="M12" s="17" t="s">
        <v>91</v>
      </c>
      <c r="N12" s="17" t="s">
        <v>145</v>
      </c>
      <c r="O12" s="17" t="s">
        <v>146</v>
      </c>
      <c r="P12" s="18" t="s">
        <v>147</v>
      </c>
      <c r="Q12" s="16" t="s">
        <v>148</v>
      </c>
      <c r="R12" s="18"/>
    </row>
    <row r="13" spans="1:18" ht="16.5" customHeight="1">
      <c r="A13" s="10">
        <v>12</v>
      </c>
      <c r="B13" s="10">
        <v>4</v>
      </c>
      <c r="C13" s="10">
        <v>11</v>
      </c>
      <c r="D13" s="11" t="s">
        <v>149</v>
      </c>
      <c r="E13" s="12" t="s">
        <v>150</v>
      </c>
      <c r="F13" s="11" t="s">
        <v>151</v>
      </c>
      <c r="G13" s="10"/>
      <c r="H13" s="13" t="s">
        <v>152</v>
      </c>
      <c r="I13" s="14" t="s">
        <v>153</v>
      </c>
      <c r="J13" s="15" t="s">
        <v>154</v>
      </c>
      <c r="K13" s="16" t="s">
        <v>89</v>
      </c>
      <c r="L13" s="17" t="s">
        <v>155</v>
      </c>
      <c r="M13" s="17" t="s">
        <v>91</v>
      </c>
      <c r="N13" s="17" t="s">
        <v>156</v>
      </c>
      <c r="O13" s="17" t="s">
        <v>157</v>
      </c>
      <c r="P13" s="18" t="s">
        <v>158</v>
      </c>
      <c r="Q13" s="16" t="s">
        <v>113</v>
      </c>
      <c r="R13" s="18"/>
    </row>
    <row r="14" spans="1:18" ht="16.5" customHeight="1">
      <c r="A14" s="10">
        <v>13</v>
      </c>
      <c r="B14" s="10">
        <v>4</v>
      </c>
      <c r="C14" s="10">
        <v>12</v>
      </c>
      <c r="D14" s="11" t="s">
        <v>150</v>
      </c>
      <c r="E14" s="19" t="s">
        <v>151</v>
      </c>
      <c r="F14" s="11" t="s">
        <v>159</v>
      </c>
      <c r="G14" s="10" t="s">
        <v>160</v>
      </c>
      <c r="H14" s="13" t="s">
        <v>161</v>
      </c>
      <c r="I14" s="14" t="s">
        <v>162</v>
      </c>
      <c r="J14" s="15" t="s">
        <v>163</v>
      </c>
      <c r="K14" s="16" t="s">
        <v>89</v>
      </c>
      <c r="L14" s="17" t="s">
        <v>90</v>
      </c>
      <c r="M14" s="17" t="s">
        <v>164</v>
      </c>
      <c r="N14" s="17" t="s">
        <v>165</v>
      </c>
      <c r="O14" s="17" t="s">
        <v>166</v>
      </c>
      <c r="P14" s="18" t="s">
        <v>167</v>
      </c>
      <c r="Q14" s="16" t="s">
        <v>83</v>
      </c>
      <c r="R14" s="18"/>
    </row>
    <row r="15" spans="1:18" ht="16.5" customHeight="1">
      <c r="A15" s="10">
        <v>14</v>
      </c>
      <c r="B15" s="10">
        <v>4</v>
      </c>
      <c r="C15" s="10">
        <v>13</v>
      </c>
      <c r="D15" s="11" t="s">
        <v>151</v>
      </c>
      <c r="E15" s="19" t="s">
        <v>159</v>
      </c>
      <c r="F15" s="11" t="s">
        <v>168</v>
      </c>
      <c r="G15" s="10" t="s">
        <v>160</v>
      </c>
      <c r="H15" s="13" t="s">
        <v>169</v>
      </c>
      <c r="I15" s="14" t="s">
        <v>170</v>
      </c>
      <c r="J15" s="15" t="s">
        <v>171</v>
      </c>
      <c r="K15" s="16" t="s">
        <v>89</v>
      </c>
      <c r="L15" s="17" t="s">
        <v>90</v>
      </c>
      <c r="M15" s="17" t="s">
        <v>164</v>
      </c>
      <c r="N15" s="17" t="s">
        <v>172</v>
      </c>
      <c r="O15" s="17" t="s">
        <v>173</v>
      </c>
      <c r="P15" s="18" t="s">
        <v>174</v>
      </c>
      <c r="Q15" s="16" t="s">
        <v>83</v>
      </c>
      <c r="R15" s="18"/>
    </row>
    <row r="16" spans="1:18" ht="16.5" customHeight="1">
      <c r="A16" s="10">
        <v>15</v>
      </c>
      <c r="B16" s="10">
        <v>4</v>
      </c>
      <c r="C16" s="10">
        <v>14</v>
      </c>
      <c r="D16" s="11" t="s">
        <v>159</v>
      </c>
      <c r="E16" s="19" t="s">
        <v>168</v>
      </c>
      <c r="F16" s="11" t="s">
        <v>175</v>
      </c>
      <c r="G16" s="10" t="s">
        <v>176</v>
      </c>
      <c r="H16" s="13" t="s">
        <v>177</v>
      </c>
      <c r="I16" s="14" t="s">
        <v>178</v>
      </c>
      <c r="J16" s="15" t="s">
        <v>179</v>
      </c>
      <c r="K16" s="16" t="s">
        <v>82</v>
      </c>
      <c r="L16" s="17"/>
      <c r="M16" s="17"/>
      <c r="N16" s="17"/>
      <c r="O16" s="17"/>
      <c r="P16" s="18"/>
      <c r="Q16" s="16" t="s">
        <v>83</v>
      </c>
      <c r="R16" s="18"/>
    </row>
    <row r="17" spans="1:18" ht="16.5" customHeight="1">
      <c r="A17" s="10">
        <v>16</v>
      </c>
      <c r="B17" s="10">
        <v>4</v>
      </c>
      <c r="C17" s="10">
        <v>15</v>
      </c>
      <c r="D17" s="11" t="s">
        <v>168</v>
      </c>
      <c r="E17" s="12" t="s">
        <v>175</v>
      </c>
      <c r="F17" s="11" t="s">
        <v>180</v>
      </c>
      <c r="G17" s="10"/>
      <c r="H17" s="13" t="s">
        <v>181</v>
      </c>
      <c r="I17" s="14" t="s">
        <v>182</v>
      </c>
      <c r="J17" s="15" t="s">
        <v>183</v>
      </c>
      <c r="K17" s="16" t="s">
        <v>89</v>
      </c>
      <c r="L17" s="17" t="s">
        <v>90</v>
      </c>
      <c r="M17" s="17" t="s">
        <v>91</v>
      </c>
      <c r="N17" s="17" t="s">
        <v>92</v>
      </c>
      <c r="O17" s="17" t="s">
        <v>184</v>
      </c>
      <c r="P17" s="18" t="s">
        <v>185</v>
      </c>
      <c r="Q17" s="16" t="s">
        <v>113</v>
      </c>
      <c r="R17" s="18"/>
    </row>
    <row r="18" spans="1:18" ht="16.5" customHeight="1">
      <c r="A18" s="10">
        <v>17</v>
      </c>
      <c r="B18" s="10">
        <v>4</v>
      </c>
      <c r="C18" s="10">
        <v>39</v>
      </c>
      <c r="D18" s="11" t="s">
        <v>186</v>
      </c>
      <c r="E18" s="12" t="s">
        <v>187</v>
      </c>
      <c r="F18" s="11" t="s">
        <v>188</v>
      </c>
      <c r="G18" s="10"/>
      <c r="H18" s="13" t="s">
        <v>189</v>
      </c>
      <c r="I18" s="14" t="s">
        <v>190</v>
      </c>
      <c r="J18" s="15" t="s">
        <v>191</v>
      </c>
      <c r="K18" s="16" t="s">
        <v>82</v>
      </c>
      <c r="L18" s="17"/>
      <c r="M18" s="17"/>
      <c r="N18" s="17"/>
      <c r="O18" s="17"/>
      <c r="P18" s="18"/>
      <c r="Q18" s="16" t="s">
        <v>83</v>
      </c>
      <c r="R18" s="18"/>
    </row>
    <row r="19" spans="1:18" ht="16.5" customHeight="1">
      <c r="A19" s="10">
        <v>18</v>
      </c>
      <c r="B19" s="10">
        <v>4</v>
      </c>
      <c r="C19" s="10">
        <v>40</v>
      </c>
      <c r="D19" s="11" t="s">
        <v>187</v>
      </c>
      <c r="E19" s="19" t="s">
        <v>188</v>
      </c>
      <c r="F19" s="11" t="s">
        <v>192</v>
      </c>
      <c r="G19" s="10" t="s">
        <v>160</v>
      </c>
      <c r="H19" s="13" t="s">
        <v>193</v>
      </c>
      <c r="I19" s="14" t="s">
        <v>194</v>
      </c>
      <c r="J19" s="15" t="s">
        <v>195</v>
      </c>
      <c r="K19" s="16" t="s">
        <v>82</v>
      </c>
      <c r="L19" s="17"/>
      <c r="M19" s="17"/>
      <c r="N19" s="17"/>
      <c r="O19" s="17"/>
      <c r="P19" s="18"/>
      <c r="Q19" s="16" t="s">
        <v>83</v>
      </c>
      <c r="R19" s="18"/>
    </row>
    <row r="20" spans="1:18" ht="16.5" customHeight="1">
      <c r="A20" s="10">
        <v>19</v>
      </c>
      <c r="B20" s="10">
        <v>4</v>
      </c>
      <c r="C20" s="10">
        <v>41</v>
      </c>
      <c r="D20" s="11" t="s">
        <v>188</v>
      </c>
      <c r="E20" s="19" t="s">
        <v>192</v>
      </c>
      <c r="F20" s="11" t="s">
        <v>196</v>
      </c>
      <c r="G20" s="10" t="s">
        <v>160</v>
      </c>
      <c r="H20" s="13" t="s">
        <v>197</v>
      </c>
      <c r="I20" s="14" t="s">
        <v>198</v>
      </c>
      <c r="J20" s="15" t="s">
        <v>199</v>
      </c>
      <c r="K20" s="16" t="s">
        <v>82</v>
      </c>
      <c r="L20" s="17"/>
      <c r="M20" s="17"/>
      <c r="N20" s="17"/>
      <c r="O20" s="17"/>
      <c r="P20" s="18"/>
      <c r="Q20" s="16" t="s">
        <v>83</v>
      </c>
      <c r="R20" s="18"/>
    </row>
    <row r="21" spans="1:18" ht="16.5" customHeight="1">
      <c r="A21" s="10">
        <v>20</v>
      </c>
      <c r="B21" s="10">
        <v>4</v>
      </c>
      <c r="C21" s="10">
        <v>42</v>
      </c>
      <c r="D21" s="11" t="s">
        <v>192</v>
      </c>
      <c r="E21" s="12" t="s">
        <v>196</v>
      </c>
      <c r="F21" s="11"/>
      <c r="G21" s="10"/>
      <c r="H21" s="13" t="s">
        <v>200</v>
      </c>
      <c r="I21" s="14" t="s">
        <v>201</v>
      </c>
      <c r="J21" s="15" t="s">
        <v>202</v>
      </c>
      <c r="K21" s="16" t="s">
        <v>82</v>
      </c>
      <c r="L21" s="17"/>
      <c r="M21" s="17"/>
      <c r="N21" s="17"/>
      <c r="O21" s="17"/>
      <c r="P21" s="18"/>
      <c r="Q21" s="16" t="s">
        <v>83</v>
      </c>
      <c r="R21" s="18"/>
    </row>
    <row r="22" spans="1:18" ht="26.25" customHeight="1">
      <c r="A22" s="10">
        <v>21</v>
      </c>
      <c r="B22" s="10">
        <v>5</v>
      </c>
      <c r="C22" s="10">
        <v>4</v>
      </c>
      <c r="D22" s="11" t="s">
        <v>203</v>
      </c>
      <c r="E22" s="12" t="s">
        <v>204</v>
      </c>
      <c r="F22" s="11" t="s">
        <v>205</v>
      </c>
      <c r="G22" s="10"/>
      <c r="H22" s="13" t="s">
        <v>206</v>
      </c>
      <c r="I22" s="14" t="s">
        <v>207</v>
      </c>
      <c r="J22" s="15" t="s">
        <v>208</v>
      </c>
      <c r="K22" s="16" t="s">
        <v>89</v>
      </c>
      <c r="L22" s="17" t="s">
        <v>155</v>
      </c>
      <c r="M22" s="17" t="s">
        <v>209</v>
      </c>
      <c r="N22" s="17" t="s">
        <v>210</v>
      </c>
      <c r="O22" s="17" t="s">
        <v>211</v>
      </c>
      <c r="P22" s="18" t="s">
        <v>212</v>
      </c>
      <c r="Q22" s="16" t="s">
        <v>83</v>
      </c>
      <c r="R22" s="18" t="s">
        <v>213</v>
      </c>
    </row>
    <row r="23" spans="1:18" ht="16.5" customHeight="1">
      <c r="A23" s="10">
        <v>22</v>
      </c>
      <c r="B23" s="10">
        <v>5</v>
      </c>
      <c r="C23" s="10">
        <v>5</v>
      </c>
      <c r="D23" s="11" t="s">
        <v>204</v>
      </c>
      <c r="E23" s="19" t="s">
        <v>205</v>
      </c>
      <c r="F23" s="11" t="s">
        <v>214</v>
      </c>
      <c r="G23" s="10" t="s">
        <v>160</v>
      </c>
      <c r="H23" s="13" t="s">
        <v>215</v>
      </c>
      <c r="I23" s="14" t="s">
        <v>216</v>
      </c>
      <c r="J23" s="15" t="s">
        <v>217</v>
      </c>
      <c r="K23" s="16" t="s">
        <v>82</v>
      </c>
      <c r="L23" s="17"/>
      <c r="M23" s="17"/>
      <c r="N23" s="17"/>
      <c r="O23" s="17"/>
      <c r="P23" s="18"/>
      <c r="Q23" s="16" t="s">
        <v>83</v>
      </c>
      <c r="R23" s="18"/>
    </row>
    <row r="24" spans="1:18" ht="16.5" customHeight="1">
      <c r="A24" s="10">
        <v>23</v>
      </c>
      <c r="B24" s="10">
        <v>5</v>
      </c>
      <c r="C24" s="10">
        <v>6</v>
      </c>
      <c r="D24" s="11" t="s">
        <v>205</v>
      </c>
      <c r="E24" s="12" t="s">
        <v>214</v>
      </c>
      <c r="F24" s="11" t="s">
        <v>218</v>
      </c>
      <c r="G24" s="10"/>
      <c r="H24" s="13" t="s">
        <v>219</v>
      </c>
      <c r="I24" s="14" t="s">
        <v>220</v>
      </c>
      <c r="J24" s="15" t="s">
        <v>221</v>
      </c>
      <c r="K24" s="16" t="s">
        <v>89</v>
      </c>
      <c r="L24" s="17" t="s">
        <v>222</v>
      </c>
      <c r="M24" s="17" t="s">
        <v>209</v>
      </c>
      <c r="N24" s="17" t="s">
        <v>223</v>
      </c>
      <c r="O24" s="17" t="s">
        <v>224</v>
      </c>
      <c r="P24" s="18" t="s">
        <v>225</v>
      </c>
      <c r="Q24" s="16" t="s">
        <v>83</v>
      </c>
      <c r="R24" s="18"/>
    </row>
    <row r="25" spans="1:18" ht="16.5" customHeight="1">
      <c r="A25" s="10">
        <v>24</v>
      </c>
      <c r="B25" s="10">
        <v>5</v>
      </c>
      <c r="C25" s="10">
        <v>7</v>
      </c>
      <c r="D25" s="11" t="s">
        <v>214</v>
      </c>
      <c r="E25" s="12" t="s">
        <v>218</v>
      </c>
      <c r="F25" s="11" t="s">
        <v>160</v>
      </c>
      <c r="G25" s="10"/>
      <c r="H25" s="13" t="s">
        <v>226</v>
      </c>
      <c r="I25" s="14" t="s">
        <v>227</v>
      </c>
      <c r="J25" s="15" t="s">
        <v>227</v>
      </c>
      <c r="K25" s="16" t="s">
        <v>82</v>
      </c>
      <c r="L25" s="17"/>
      <c r="M25" s="17"/>
      <c r="N25" s="17"/>
      <c r="O25" s="17"/>
      <c r="P25" s="18"/>
      <c r="Q25" s="16" t="s">
        <v>83</v>
      </c>
      <c r="R25" s="18"/>
    </row>
    <row r="26" spans="1:18" ht="16.5" customHeight="1">
      <c r="A26" s="10">
        <v>25</v>
      </c>
      <c r="B26" s="10">
        <v>5</v>
      </c>
      <c r="C26" s="10">
        <v>8</v>
      </c>
      <c r="D26" s="11" t="s">
        <v>218</v>
      </c>
      <c r="E26" s="19" t="s">
        <v>160</v>
      </c>
      <c r="F26" s="11" t="s">
        <v>228</v>
      </c>
      <c r="G26" s="10" t="s">
        <v>160</v>
      </c>
      <c r="H26" s="13" t="s">
        <v>229</v>
      </c>
      <c r="I26" s="14" t="s">
        <v>230</v>
      </c>
      <c r="J26" s="15" t="s">
        <v>231</v>
      </c>
      <c r="K26" s="16" t="s">
        <v>82</v>
      </c>
      <c r="L26" s="17"/>
      <c r="M26" s="17"/>
      <c r="N26" s="17"/>
      <c r="O26" s="17"/>
      <c r="P26" s="18"/>
      <c r="Q26" s="16" t="s">
        <v>83</v>
      </c>
      <c r="R26" s="18"/>
    </row>
    <row r="27" spans="1:18" ht="16.5" customHeight="1">
      <c r="A27" s="10">
        <v>26</v>
      </c>
      <c r="B27" s="10">
        <v>5</v>
      </c>
      <c r="C27" s="10">
        <v>9</v>
      </c>
      <c r="D27" s="11" t="s">
        <v>160</v>
      </c>
      <c r="E27" s="12" t="s">
        <v>228</v>
      </c>
      <c r="F27" s="11" t="s">
        <v>232</v>
      </c>
      <c r="G27" s="10"/>
      <c r="H27" s="13" t="s">
        <v>233</v>
      </c>
      <c r="I27" s="14" t="s">
        <v>234</v>
      </c>
      <c r="J27" s="15" t="s">
        <v>235</v>
      </c>
      <c r="K27" s="16" t="s">
        <v>82</v>
      </c>
      <c r="L27" s="17"/>
      <c r="M27" s="17"/>
      <c r="N27" s="17"/>
      <c r="O27" s="17"/>
      <c r="P27" s="18"/>
      <c r="Q27" s="16" t="s">
        <v>83</v>
      </c>
      <c r="R27" s="18"/>
    </row>
    <row r="28" spans="1:18" ht="26.25" customHeight="1">
      <c r="A28" s="10">
        <v>27</v>
      </c>
      <c r="B28" s="10">
        <v>5</v>
      </c>
      <c r="C28" s="10">
        <v>11</v>
      </c>
      <c r="D28" s="11" t="s">
        <v>232</v>
      </c>
      <c r="E28" s="12" t="s">
        <v>236</v>
      </c>
      <c r="F28" s="11" t="s">
        <v>237</v>
      </c>
      <c r="G28" s="10"/>
      <c r="H28" s="13" t="s">
        <v>238</v>
      </c>
      <c r="I28" s="14" t="s">
        <v>239</v>
      </c>
      <c r="J28" s="15" t="s">
        <v>240</v>
      </c>
      <c r="K28" s="16" t="s">
        <v>89</v>
      </c>
      <c r="L28" s="17" t="s">
        <v>90</v>
      </c>
      <c r="M28" s="17" t="s">
        <v>209</v>
      </c>
      <c r="N28" s="17" t="s">
        <v>241</v>
      </c>
      <c r="O28" s="17" t="s">
        <v>242</v>
      </c>
      <c r="P28" s="18" t="s">
        <v>243</v>
      </c>
      <c r="Q28" s="16" t="s">
        <v>113</v>
      </c>
      <c r="R28" s="18"/>
    </row>
    <row r="29" spans="1:18" ht="16.5" customHeight="1">
      <c r="A29" s="10">
        <v>28</v>
      </c>
      <c r="B29" s="10">
        <v>5</v>
      </c>
      <c r="C29" s="10">
        <v>12</v>
      </c>
      <c r="D29" s="11" t="s">
        <v>236</v>
      </c>
      <c r="E29" s="19" t="s">
        <v>237</v>
      </c>
      <c r="F29" s="11" t="s">
        <v>244</v>
      </c>
      <c r="G29" s="10" t="s">
        <v>160</v>
      </c>
      <c r="H29" s="13" t="s">
        <v>245</v>
      </c>
      <c r="I29" s="14" t="s">
        <v>246</v>
      </c>
      <c r="J29" s="15" t="s">
        <v>247</v>
      </c>
      <c r="K29" s="16" t="s">
        <v>82</v>
      </c>
      <c r="L29" s="17"/>
      <c r="M29" s="17"/>
      <c r="N29" s="17"/>
      <c r="O29" s="17"/>
      <c r="P29" s="18"/>
      <c r="Q29" s="16" t="s">
        <v>83</v>
      </c>
      <c r="R29" s="18"/>
    </row>
    <row r="30" spans="1:18" ht="16.5" customHeight="1">
      <c r="A30" s="10">
        <v>29</v>
      </c>
      <c r="B30" s="10">
        <v>5</v>
      </c>
      <c r="C30" s="10">
        <v>13</v>
      </c>
      <c r="D30" s="11" t="s">
        <v>237</v>
      </c>
      <c r="E30" s="19" t="s">
        <v>244</v>
      </c>
      <c r="F30" s="11" t="s">
        <v>248</v>
      </c>
      <c r="G30" s="10" t="s">
        <v>160</v>
      </c>
      <c r="H30" s="13" t="s">
        <v>249</v>
      </c>
      <c r="I30" s="14" t="s">
        <v>250</v>
      </c>
      <c r="J30" s="15" t="s">
        <v>251</v>
      </c>
      <c r="K30" s="16" t="s">
        <v>89</v>
      </c>
      <c r="L30" s="17" t="s">
        <v>90</v>
      </c>
      <c r="M30" s="17" t="s">
        <v>91</v>
      </c>
      <c r="N30" s="17" t="s">
        <v>252</v>
      </c>
      <c r="O30" s="17" t="s">
        <v>253</v>
      </c>
      <c r="P30" s="18" t="s">
        <v>254</v>
      </c>
      <c r="Q30" s="16" t="s">
        <v>83</v>
      </c>
      <c r="R30" s="18"/>
    </row>
    <row r="31" spans="1:18" ht="16.5" customHeight="1">
      <c r="A31" s="10">
        <v>30</v>
      </c>
      <c r="B31" s="10">
        <v>5</v>
      </c>
      <c r="C31" s="10">
        <v>14</v>
      </c>
      <c r="D31" s="11" t="s">
        <v>244</v>
      </c>
      <c r="E31" s="12" t="s">
        <v>248</v>
      </c>
      <c r="F31" s="11" t="s">
        <v>255</v>
      </c>
      <c r="G31" s="10"/>
      <c r="H31" s="13" t="s">
        <v>256</v>
      </c>
      <c r="I31" s="14" t="s">
        <v>257</v>
      </c>
      <c r="J31" s="15" t="s">
        <v>258</v>
      </c>
      <c r="K31" s="16" t="s">
        <v>82</v>
      </c>
      <c r="L31" s="17"/>
      <c r="M31" s="17"/>
      <c r="N31" s="17"/>
      <c r="O31" s="17"/>
      <c r="P31" s="18"/>
      <c r="Q31" s="16" t="s">
        <v>83</v>
      </c>
      <c r="R31" s="18"/>
    </row>
    <row r="32" spans="1:18" ht="16.5" customHeight="1">
      <c r="A32" s="10">
        <v>31</v>
      </c>
      <c r="B32" s="10">
        <v>5</v>
      </c>
      <c r="C32" s="10">
        <v>18</v>
      </c>
      <c r="D32" s="11" t="s">
        <v>259</v>
      </c>
      <c r="E32" s="12" t="s">
        <v>260</v>
      </c>
      <c r="F32" s="11" t="s">
        <v>261</v>
      </c>
      <c r="G32" s="10"/>
      <c r="H32" s="13" t="s">
        <v>262</v>
      </c>
      <c r="I32" s="14" t="s">
        <v>263</v>
      </c>
      <c r="J32" s="15" t="s">
        <v>264</v>
      </c>
      <c r="K32" s="16" t="s">
        <v>82</v>
      </c>
      <c r="L32" s="17"/>
      <c r="M32" s="17"/>
      <c r="N32" s="17"/>
      <c r="O32" s="17"/>
      <c r="P32" s="18"/>
      <c r="Q32" s="16" t="s">
        <v>83</v>
      </c>
      <c r="R32" s="18"/>
    </row>
    <row r="33" spans="1:18" ht="16.5" customHeight="1">
      <c r="A33" s="10">
        <v>32</v>
      </c>
      <c r="B33" s="10">
        <v>5</v>
      </c>
      <c r="C33" s="10">
        <v>19</v>
      </c>
      <c r="D33" s="11" t="s">
        <v>260</v>
      </c>
      <c r="E33" s="19" t="s">
        <v>261</v>
      </c>
      <c r="F33" s="11" t="s">
        <v>265</v>
      </c>
      <c r="G33" s="10" t="s">
        <v>266</v>
      </c>
      <c r="H33" s="13" t="s">
        <v>267</v>
      </c>
      <c r="I33" s="14" t="s">
        <v>268</v>
      </c>
      <c r="J33" s="15" t="s">
        <v>269</v>
      </c>
      <c r="K33" s="16" t="s">
        <v>82</v>
      </c>
      <c r="L33" s="17"/>
      <c r="M33" s="17"/>
      <c r="N33" s="17"/>
      <c r="O33" s="17"/>
      <c r="P33" s="18"/>
      <c r="Q33" s="16" t="s">
        <v>83</v>
      </c>
      <c r="R33" s="18"/>
    </row>
    <row r="34" spans="1:18" ht="16.5" customHeight="1">
      <c r="A34" s="10">
        <v>33</v>
      </c>
      <c r="B34" s="10">
        <v>5</v>
      </c>
      <c r="C34" s="10">
        <v>20</v>
      </c>
      <c r="D34" s="11" t="s">
        <v>261</v>
      </c>
      <c r="E34" s="12" t="s">
        <v>265</v>
      </c>
      <c r="F34" s="11" t="s">
        <v>270</v>
      </c>
      <c r="G34" s="10"/>
      <c r="H34" s="13" t="s">
        <v>271</v>
      </c>
      <c r="I34" s="14" t="s">
        <v>272</v>
      </c>
      <c r="J34" s="15" t="s">
        <v>273</v>
      </c>
      <c r="K34" s="16" t="s">
        <v>82</v>
      </c>
      <c r="L34" s="17"/>
      <c r="M34" s="17"/>
      <c r="N34" s="17"/>
      <c r="O34" s="17"/>
      <c r="P34" s="18"/>
      <c r="Q34" s="16" t="s">
        <v>83</v>
      </c>
      <c r="R34" s="18"/>
    </row>
    <row r="35" spans="1:18" ht="16.5" customHeight="1">
      <c r="A35" s="10">
        <v>34</v>
      </c>
      <c r="B35" s="10">
        <v>5</v>
      </c>
      <c r="C35" s="10">
        <v>23</v>
      </c>
      <c r="D35" s="11" t="s">
        <v>274</v>
      </c>
      <c r="E35" s="12" t="s">
        <v>275</v>
      </c>
      <c r="F35" s="11" t="s">
        <v>276</v>
      </c>
      <c r="G35" s="10"/>
      <c r="H35" s="13" t="s">
        <v>277</v>
      </c>
      <c r="I35" s="14" t="s">
        <v>278</v>
      </c>
      <c r="J35" s="15" t="s">
        <v>279</v>
      </c>
      <c r="K35" s="16" t="s">
        <v>82</v>
      </c>
      <c r="L35" s="17"/>
      <c r="M35" s="17"/>
      <c r="N35" s="17"/>
      <c r="O35" s="17"/>
      <c r="P35" s="18"/>
      <c r="Q35" s="16" t="s">
        <v>83</v>
      </c>
      <c r="R35" s="18"/>
    </row>
    <row r="36" spans="1:18" ht="16.5" customHeight="1">
      <c r="A36" s="10">
        <v>35</v>
      </c>
      <c r="B36" s="10">
        <v>5</v>
      </c>
      <c r="C36" s="10">
        <v>24</v>
      </c>
      <c r="D36" s="11" t="s">
        <v>275</v>
      </c>
      <c r="E36" s="19" t="s">
        <v>276</v>
      </c>
      <c r="F36" s="11" t="s">
        <v>280</v>
      </c>
      <c r="G36" s="10" t="s">
        <v>85</v>
      </c>
      <c r="H36" s="13" t="s">
        <v>281</v>
      </c>
      <c r="I36" s="14" t="s">
        <v>282</v>
      </c>
      <c r="J36" s="15" t="s">
        <v>283</v>
      </c>
      <c r="K36" s="16" t="s">
        <v>89</v>
      </c>
      <c r="L36" s="17" t="s">
        <v>222</v>
      </c>
      <c r="M36" s="17" t="s">
        <v>91</v>
      </c>
      <c r="N36" s="17" t="s">
        <v>284</v>
      </c>
      <c r="O36" s="17" t="s">
        <v>285</v>
      </c>
      <c r="P36" s="18" t="s">
        <v>286</v>
      </c>
      <c r="Q36" s="16" t="s">
        <v>113</v>
      </c>
      <c r="R36" s="18"/>
    </row>
    <row r="37" spans="1:18" ht="16.5" customHeight="1">
      <c r="A37" s="10">
        <v>36</v>
      </c>
      <c r="B37" s="10">
        <v>5</v>
      </c>
      <c r="C37" s="10">
        <v>25</v>
      </c>
      <c r="D37" s="11" t="s">
        <v>276</v>
      </c>
      <c r="E37" s="12" t="s">
        <v>280</v>
      </c>
      <c r="F37" s="11" t="s">
        <v>287</v>
      </c>
      <c r="G37" s="10"/>
      <c r="H37" s="13" t="s">
        <v>277</v>
      </c>
      <c r="I37" s="14" t="s">
        <v>288</v>
      </c>
      <c r="J37" s="15" t="s">
        <v>289</v>
      </c>
      <c r="K37" s="16" t="s">
        <v>82</v>
      </c>
      <c r="L37" s="17"/>
      <c r="M37" s="17"/>
      <c r="N37" s="17"/>
      <c r="O37" s="17"/>
      <c r="P37" s="18"/>
      <c r="Q37" s="16" t="s">
        <v>83</v>
      </c>
      <c r="R37" s="18"/>
    </row>
    <row r="38" spans="1:18" ht="16.5" customHeight="1">
      <c r="A38" s="10">
        <v>37</v>
      </c>
      <c r="B38" s="10">
        <v>5</v>
      </c>
      <c r="C38" s="10">
        <v>26</v>
      </c>
      <c r="D38" s="11" t="s">
        <v>280</v>
      </c>
      <c r="E38" s="19" t="s">
        <v>287</v>
      </c>
      <c r="F38" s="11" t="s">
        <v>290</v>
      </c>
      <c r="G38" s="10" t="s">
        <v>85</v>
      </c>
      <c r="H38" s="13" t="s">
        <v>291</v>
      </c>
      <c r="I38" s="14" t="s">
        <v>292</v>
      </c>
      <c r="J38" s="15" t="s">
        <v>293</v>
      </c>
      <c r="K38" s="16" t="s">
        <v>89</v>
      </c>
      <c r="L38" s="17" t="s">
        <v>222</v>
      </c>
      <c r="M38" s="17" t="s">
        <v>91</v>
      </c>
      <c r="N38" s="17" t="s">
        <v>294</v>
      </c>
      <c r="O38" s="17" t="s">
        <v>285</v>
      </c>
      <c r="P38" s="18" t="s">
        <v>286</v>
      </c>
      <c r="Q38" s="16" t="s">
        <v>113</v>
      </c>
      <c r="R38" s="18"/>
    </row>
    <row r="39" spans="1:18" ht="16.5" customHeight="1">
      <c r="A39" s="10">
        <v>38</v>
      </c>
      <c r="B39" s="10">
        <v>5</v>
      </c>
      <c r="C39" s="10">
        <v>27</v>
      </c>
      <c r="D39" s="11" t="s">
        <v>287</v>
      </c>
      <c r="E39" s="12" t="s">
        <v>290</v>
      </c>
      <c r="F39" s="11" t="s">
        <v>295</v>
      </c>
      <c r="G39" s="10"/>
      <c r="H39" s="13" t="s">
        <v>296</v>
      </c>
      <c r="I39" s="14" t="s">
        <v>297</v>
      </c>
      <c r="J39" s="15" t="s">
        <v>298</v>
      </c>
      <c r="K39" s="16" t="s">
        <v>82</v>
      </c>
      <c r="L39" s="17"/>
      <c r="M39" s="17"/>
      <c r="N39" s="17"/>
      <c r="O39" s="17"/>
      <c r="P39" s="18"/>
      <c r="Q39" s="16" t="s">
        <v>83</v>
      </c>
      <c r="R39" s="18"/>
    </row>
    <row r="40" spans="1:18" ht="16.5" customHeight="1">
      <c r="A40" s="10">
        <v>39</v>
      </c>
      <c r="B40" s="10">
        <v>5</v>
      </c>
      <c r="C40" s="10">
        <v>29</v>
      </c>
      <c r="D40" s="11" t="s">
        <v>295</v>
      </c>
      <c r="E40" s="12" t="s">
        <v>299</v>
      </c>
      <c r="F40" s="11" t="s">
        <v>300</v>
      </c>
      <c r="G40" s="10"/>
      <c r="H40" s="13" t="s">
        <v>301</v>
      </c>
      <c r="I40" s="14" t="s">
        <v>302</v>
      </c>
      <c r="J40" s="15" t="s">
        <v>303</v>
      </c>
      <c r="K40" s="16" t="s">
        <v>82</v>
      </c>
      <c r="L40" s="17"/>
      <c r="M40" s="17"/>
      <c r="N40" s="17"/>
      <c r="O40" s="17"/>
      <c r="P40" s="18"/>
      <c r="Q40" s="16" t="s">
        <v>83</v>
      </c>
      <c r="R40" s="18"/>
    </row>
    <row r="41" spans="1:18" ht="16.5" customHeight="1">
      <c r="A41" s="10">
        <v>40</v>
      </c>
      <c r="B41" s="10">
        <v>5</v>
      </c>
      <c r="C41" s="10">
        <v>30</v>
      </c>
      <c r="D41" s="11" t="s">
        <v>299</v>
      </c>
      <c r="E41" s="19" t="s">
        <v>300</v>
      </c>
      <c r="F41" s="11" t="s">
        <v>304</v>
      </c>
      <c r="G41" s="10" t="s">
        <v>305</v>
      </c>
      <c r="H41" s="13" t="s">
        <v>306</v>
      </c>
      <c r="I41" s="14" t="s">
        <v>307</v>
      </c>
      <c r="J41" s="15" t="s">
        <v>308</v>
      </c>
      <c r="K41" s="16" t="s">
        <v>82</v>
      </c>
      <c r="L41" s="17"/>
      <c r="M41" s="17"/>
      <c r="N41" s="17"/>
      <c r="O41" s="17"/>
      <c r="P41" s="18"/>
      <c r="Q41" s="16" t="s">
        <v>83</v>
      </c>
      <c r="R41" s="18"/>
    </row>
    <row r="42" spans="1:18" ht="16.5" customHeight="1">
      <c r="A42" s="10">
        <v>41</v>
      </c>
      <c r="B42" s="10">
        <v>5</v>
      </c>
      <c r="C42" s="10">
        <v>31</v>
      </c>
      <c r="D42" s="11" t="s">
        <v>300</v>
      </c>
      <c r="E42" s="12" t="s">
        <v>304</v>
      </c>
      <c r="F42" s="11" t="s">
        <v>309</v>
      </c>
      <c r="G42" s="10"/>
      <c r="H42" s="13" t="s">
        <v>310</v>
      </c>
      <c r="I42" s="14" t="s">
        <v>311</v>
      </c>
      <c r="J42" s="15" t="s">
        <v>312</v>
      </c>
      <c r="K42" s="16" t="s">
        <v>82</v>
      </c>
      <c r="L42" s="17"/>
      <c r="M42" s="17"/>
      <c r="N42" s="17"/>
      <c r="O42" s="17"/>
      <c r="P42" s="18"/>
      <c r="Q42" s="16" t="s">
        <v>83</v>
      </c>
      <c r="R42" s="18"/>
    </row>
    <row r="43" spans="1:18" ht="16.5" customHeight="1">
      <c r="A43" s="10">
        <v>42</v>
      </c>
      <c r="B43" s="10">
        <v>6</v>
      </c>
      <c r="C43" s="10">
        <v>7</v>
      </c>
      <c r="D43" s="11" t="s">
        <v>313</v>
      </c>
      <c r="E43" s="12" t="s">
        <v>314</v>
      </c>
      <c r="F43" s="11" t="s">
        <v>315</v>
      </c>
      <c r="G43" s="10"/>
      <c r="H43" s="13" t="s">
        <v>316</v>
      </c>
      <c r="I43" s="14" t="s">
        <v>317</v>
      </c>
      <c r="J43" s="15" t="s">
        <v>318</v>
      </c>
      <c r="K43" s="16" t="s">
        <v>82</v>
      </c>
      <c r="L43" s="17"/>
      <c r="M43" s="17"/>
      <c r="N43" s="17"/>
      <c r="O43" s="17"/>
      <c r="P43" s="18"/>
      <c r="Q43" s="16" t="s">
        <v>83</v>
      </c>
      <c r="R43" s="18"/>
    </row>
    <row r="44" spans="1:18" ht="26.25" customHeight="1">
      <c r="A44" s="10">
        <v>43</v>
      </c>
      <c r="B44" s="10">
        <v>6</v>
      </c>
      <c r="C44" s="10">
        <v>8</v>
      </c>
      <c r="D44" s="11" t="s">
        <v>314</v>
      </c>
      <c r="E44" s="19" t="s">
        <v>315</v>
      </c>
      <c r="F44" s="11" t="s">
        <v>319</v>
      </c>
      <c r="G44" s="10" t="s">
        <v>320</v>
      </c>
      <c r="H44" s="13" t="s">
        <v>321</v>
      </c>
      <c r="I44" s="14" t="s">
        <v>322</v>
      </c>
      <c r="J44" s="15" t="s">
        <v>323</v>
      </c>
      <c r="K44" s="16" t="s">
        <v>82</v>
      </c>
      <c r="L44" s="17"/>
      <c r="M44" s="17"/>
      <c r="N44" s="17"/>
      <c r="O44" s="17"/>
      <c r="P44" s="18"/>
      <c r="Q44" s="16" t="s">
        <v>83</v>
      </c>
      <c r="R44" s="18"/>
    </row>
    <row r="45" spans="1:18" ht="16.5" customHeight="1">
      <c r="A45" s="10">
        <v>44</v>
      </c>
      <c r="B45" s="10">
        <v>6</v>
      </c>
      <c r="C45" s="10">
        <v>9</v>
      </c>
      <c r="D45" s="11" t="s">
        <v>315</v>
      </c>
      <c r="E45" s="12" t="s">
        <v>319</v>
      </c>
      <c r="F45" s="11" t="s">
        <v>324</v>
      </c>
      <c r="G45" s="10"/>
      <c r="H45" s="13" t="s">
        <v>325</v>
      </c>
      <c r="I45" s="14" t="s">
        <v>326</v>
      </c>
      <c r="J45" s="15" t="s">
        <v>327</v>
      </c>
      <c r="K45" s="16" t="s">
        <v>89</v>
      </c>
      <c r="L45" s="17" t="s">
        <v>128</v>
      </c>
      <c r="M45" s="17" t="s">
        <v>91</v>
      </c>
      <c r="N45" s="17" t="s">
        <v>328</v>
      </c>
      <c r="O45" s="17" t="s">
        <v>329</v>
      </c>
      <c r="P45" s="18" t="s">
        <v>330</v>
      </c>
      <c r="Q45" s="16" t="s">
        <v>83</v>
      </c>
      <c r="R45" s="18"/>
    </row>
    <row r="46" spans="1:18" ht="16.5" customHeight="1">
      <c r="A46" s="10">
        <v>45</v>
      </c>
      <c r="B46" s="10">
        <v>6</v>
      </c>
      <c r="C46" s="10">
        <v>16</v>
      </c>
      <c r="D46" s="11" t="s">
        <v>331</v>
      </c>
      <c r="E46" s="12" t="s">
        <v>332</v>
      </c>
      <c r="F46" s="11" t="s">
        <v>333</v>
      </c>
      <c r="G46" s="10"/>
      <c r="H46" s="13" t="s">
        <v>334</v>
      </c>
      <c r="I46" s="14" t="s">
        <v>335</v>
      </c>
      <c r="J46" s="15" t="s">
        <v>336</v>
      </c>
      <c r="K46" s="16" t="s">
        <v>82</v>
      </c>
      <c r="L46" s="17"/>
      <c r="M46" s="17"/>
      <c r="N46" s="17"/>
      <c r="O46" s="17"/>
      <c r="P46" s="18"/>
      <c r="Q46" s="16" t="s">
        <v>83</v>
      </c>
      <c r="R46" s="18"/>
    </row>
    <row r="47" spans="1:18" ht="16.5" customHeight="1">
      <c r="A47" s="10">
        <v>46</v>
      </c>
      <c r="B47" s="10">
        <v>6</v>
      </c>
      <c r="C47" s="10">
        <v>17</v>
      </c>
      <c r="D47" s="11" t="s">
        <v>332</v>
      </c>
      <c r="E47" s="19" t="s">
        <v>333</v>
      </c>
      <c r="F47" s="11" t="s">
        <v>337</v>
      </c>
      <c r="G47" s="10" t="s">
        <v>338</v>
      </c>
      <c r="H47" s="13" t="s">
        <v>339</v>
      </c>
      <c r="I47" s="14" t="s">
        <v>340</v>
      </c>
      <c r="J47" s="15" t="s">
        <v>341</v>
      </c>
      <c r="K47" s="16" t="s">
        <v>89</v>
      </c>
      <c r="L47" s="17" t="s">
        <v>342</v>
      </c>
      <c r="M47" s="17" t="s">
        <v>91</v>
      </c>
      <c r="N47" s="17" t="s">
        <v>333</v>
      </c>
      <c r="O47" s="17" t="s">
        <v>343</v>
      </c>
      <c r="P47" s="18" t="s">
        <v>344</v>
      </c>
      <c r="Q47" s="16" t="s">
        <v>83</v>
      </c>
      <c r="R47" s="18"/>
    </row>
    <row r="48" spans="1:18" ht="16.5" customHeight="1">
      <c r="A48" s="10">
        <v>47</v>
      </c>
      <c r="B48" s="10">
        <v>6</v>
      </c>
      <c r="C48" s="10">
        <v>18</v>
      </c>
      <c r="D48" s="11" t="s">
        <v>333</v>
      </c>
      <c r="E48" s="19" t="s">
        <v>337</v>
      </c>
      <c r="F48" s="11" t="s">
        <v>345</v>
      </c>
      <c r="G48" s="10" t="s">
        <v>338</v>
      </c>
      <c r="H48" s="13" t="s">
        <v>346</v>
      </c>
      <c r="I48" s="14" t="s">
        <v>347</v>
      </c>
      <c r="J48" s="15" t="s">
        <v>348</v>
      </c>
      <c r="K48" s="16" t="s">
        <v>82</v>
      </c>
      <c r="L48" s="17"/>
      <c r="M48" s="17"/>
      <c r="N48" s="17"/>
      <c r="O48" s="17"/>
      <c r="P48" s="18"/>
      <c r="Q48" s="16" t="s">
        <v>83</v>
      </c>
      <c r="R48" s="18"/>
    </row>
    <row r="49" spans="1:18" ht="16.5" customHeight="1">
      <c r="A49" s="10">
        <v>48</v>
      </c>
      <c r="B49" s="10">
        <v>6</v>
      </c>
      <c r="C49" s="10">
        <v>19</v>
      </c>
      <c r="D49" s="11" t="s">
        <v>337</v>
      </c>
      <c r="E49" s="12" t="s">
        <v>345</v>
      </c>
      <c r="F49" s="11" t="s">
        <v>349</v>
      </c>
      <c r="G49" s="10"/>
      <c r="H49" s="13" t="s">
        <v>350</v>
      </c>
      <c r="I49" s="14" t="s">
        <v>351</v>
      </c>
      <c r="J49" s="15" t="s">
        <v>352</v>
      </c>
      <c r="K49" s="16" t="s">
        <v>89</v>
      </c>
      <c r="L49" s="17" t="s">
        <v>155</v>
      </c>
      <c r="M49" s="17" t="s">
        <v>91</v>
      </c>
      <c r="N49" s="17" t="s">
        <v>353</v>
      </c>
      <c r="O49" s="17" t="s">
        <v>184</v>
      </c>
      <c r="P49" s="18" t="s">
        <v>354</v>
      </c>
      <c r="Q49" s="16" t="s">
        <v>113</v>
      </c>
      <c r="R49" s="18"/>
    </row>
    <row r="50" spans="1:18" ht="16.5" customHeight="1">
      <c r="A50" s="10">
        <v>49</v>
      </c>
      <c r="B50" s="10">
        <v>6</v>
      </c>
      <c r="C50" s="10">
        <v>26</v>
      </c>
      <c r="D50" s="11" t="s">
        <v>355</v>
      </c>
      <c r="E50" s="12" t="s">
        <v>356</v>
      </c>
      <c r="F50" s="11" t="s">
        <v>357</v>
      </c>
      <c r="G50" s="10"/>
      <c r="H50" s="13" t="s">
        <v>358</v>
      </c>
      <c r="I50" s="14" t="s">
        <v>359</v>
      </c>
      <c r="J50" s="15" t="s">
        <v>360</v>
      </c>
      <c r="K50" s="16" t="s">
        <v>89</v>
      </c>
      <c r="L50" s="17" t="s">
        <v>155</v>
      </c>
      <c r="M50" s="17" t="s">
        <v>91</v>
      </c>
      <c r="N50" s="17" t="s">
        <v>361</v>
      </c>
      <c r="O50" s="17" t="s">
        <v>362</v>
      </c>
      <c r="P50" s="18" t="s">
        <v>363</v>
      </c>
      <c r="Q50" s="16" t="s">
        <v>113</v>
      </c>
      <c r="R50" s="18"/>
    </row>
    <row r="51" spans="1:18" ht="16.5" customHeight="1">
      <c r="A51" s="10">
        <v>50</v>
      </c>
      <c r="B51" s="10">
        <v>6</v>
      </c>
      <c r="C51" s="10">
        <v>27</v>
      </c>
      <c r="D51" s="11" t="s">
        <v>356</v>
      </c>
      <c r="E51" s="19" t="s">
        <v>357</v>
      </c>
      <c r="F51" s="11" t="s">
        <v>364</v>
      </c>
      <c r="G51" s="10" t="s">
        <v>133</v>
      </c>
      <c r="H51" s="13" t="s">
        <v>365</v>
      </c>
      <c r="I51" s="14" t="s">
        <v>366</v>
      </c>
      <c r="J51" s="15" t="s">
        <v>367</v>
      </c>
      <c r="K51" s="16" t="s">
        <v>89</v>
      </c>
      <c r="L51" s="17" t="s">
        <v>368</v>
      </c>
      <c r="M51" s="17" t="s">
        <v>91</v>
      </c>
      <c r="N51" s="17" t="s">
        <v>369</v>
      </c>
      <c r="O51" s="17" t="s">
        <v>370</v>
      </c>
      <c r="P51" s="18" t="s">
        <v>371</v>
      </c>
      <c r="Q51" s="16" t="s">
        <v>83</v>
      </c>
      <c r="R51" s="18"/>
    </row>
    <row r="52" spans="1:18" ht="16.5" customHeight="1">
      <c r="A52" s="10">
        <v>51</v>
      </c>
      <c r="B52" s="10">
        <v>6</v>
      </c>
      <c r="C52" s="10">
        <v>28</v>
      </c>
      <c r="D52" s="11" t="s">
        <v>357</v>
      </c>
      <c r="E52" s="12" t="s">
        <v>364</v>
      </c>
      <c r="F52" s="11" t="s">
        <v>372</v>
      </c>
      <c r="G52" s="10"/>
      <c r="H52" s="13" t="s">
        <v>373</v>
      </c>
      <c r="I52" s="14" t="s">
        <v>374</v>
      </c>
      <c r="J52" s="15" t="s">
        <v>375</v>
      </c>
      <c r="K52" s="16" t="s">
        <v>82</v>
      </c>
      <c r="L52" s="17"/>
      <c r="M52" s="17"/>
      <c r="N52" s="17"/>
      <c r="O52" s="17"/>
      <c r="P52" s="18"/>
      <c r="Q52" s="16" t="s">
        <v>83</v>
      </c>
      <c r="R52" s="18"/>
    </row>
    <row r="53" spans="1:18" ht="16.5" customHeight="1">
      <c r="A53" s="10">
        <v>52</v>
      </c>
      <c r="B53" s="10">
        <v>6</v>
      </c>
      <c r="C53" s="10">
        <v>31</v>
      </c>
      <c r="D53" s="11" t="s">
        <v>376</v>
      </c>
      <c r="E53" s="12" t="s">
        <v>377</v>
      </c>
      <c r="F53" s="11" t="s">
        <v>378</v>
      </c>
      <c r="G53" s="10"/>
      <c r="H53" s="13" t="s">
        <v>379</v>
      </c>
      <c r="I53" s="14" t="s">
        <v>380</v>
      </c>
      <c r="J53" s="15" t="s">
        <v>381</v>
      </c>
      <c r="K53" s="16" t="s">
        <v>82</v>
      </c>
      <c r="L53" s="17"/>
      <c r="M53" s="17"/>
      <c r="N53" s="17"/>
      <c r="O53" s="17"/>
      <c r="P53" s="18"/>
      <c r="Q53" s="16" t="s">
        <v>83</v>
      </c>
      <c r="R53" s="18"/>
    </row>
    <row r="54" spans="1:18" ht="16.5" customHeight="1">
      <c r="A54" s="10">
        <v>53</v>
      </c>
      <c r="B54" s="10">
        <v>6</v>
      </c>
      <c r="C54" s="10">
        <v>32</v>
      </c>
      <c r="D54" s="11" t="s">
        <v>377</v>
      </c>
      <c r="E54" s="19" t="s">
        <v>378</v>
      </c>
      <c r="F54" s="11" t="s">
        <v>382</v>
      </c>
      <c r="G54" s="10" t="s">
        <v>85</v>
      </c>
      <c r="H54" s="13" t="s">
        <v>383</v>
      </c>
      <c r="I54" s="14" t="s">
        <v>384</v>
      </c>
      <c r="J54" s="15" t="s">
        <v>385</v>
      </c>
      <c r="K54" s="16" t="s">
        <v>89</v>
      </c>
      <c r="L54" s="17" t="s">
        <v>155</v>
      </c>
      <c r="M54" s="17" t="s">
        <v>91</v>
      </c>
      <c r="N54" s="17" t="s">
        <v>361</v>
      </c>
      <c r="O54" s="17" t="s">
        <v>362</v>
      </c>
      <c r="P54" s="18" t="s">
        <v>363</v>
      </c>
      <c r="Q54" s="16" t="s">
        <v>83</v>
      </c>
      <c r="R54" s="18"/>
    </row>
    <row r="55" spans="1:18" ht="16.5" customHeight="1">
      <c r="A55" s="10">
        <v>54</v>
      </c>
      <c r="B55" s="10">
        <v>6</v>
      </c>
      <c r="C55" s="10">
        <v>33</v>
      </c>
      <c r="D55" s="11" t="s">
        <v>378</v>
      </c>
      <c r="E55" s="12" t="s">
        <v>382</v>
      </c>
      <c r="F55" s="11" t="s">
        <v>386</v>
      </c>
      <c r="G55" s="10"/>
      <c r="H55" s="13" t="s">
        <v>387</v>
      </c>
      <c r="I55" s="14" t="s">
        <v>388</v>
      </c>
      <c r="J55" s="15" t="s">
        <v>389</v>
      </c>
      <c r="K55" s="16" t="s">
        <v>82</v>
      </c>
      <c r="L55" s="17"/>
      <c r="M55" s="17"/>
      <c r="N55" s="17"/>
      <c r="O55" s="17"/>
      <c r="P55" s="18"/>
      <c r="Q55" s="16" t="s">
        <v>83</v>
      </c>
      <c r="R55" s="18"/>
    </row>
    <row r="56" spans="1:18" ht="16.5" customHeight="1">
      <c r="A56" s="10">
        <v>55</v>
      </c>
      <c r="B56" s="10">
        <v>6</v>
      </c>
      <c r="C56" s="10">
        <v>37</v>
      </c>
      <c r="D56" s="11" t="s">
        <v>390</v>
      </c>
      <c r="E56" s="12" t="s">
        <v>391</v>
      </c>
      <c r="F56" s="11" t="s">
        <v>392</v>
      </c>
      <c r="G56" s="10"/>
      <c r="H56" s="13" t="s">
        <v>393</v>
      </c>
      <c r="I56" s="14" t="s">
        <v>394</v>
      </c>
      <c r="J56" s="15" t="s">
        <v>395</v>
      </c>
      <c r="K56" s="16" t="s">
        <v>82</v>
      </c>
      <c r="L56" s="17"/>
      <c r="M56" s="17"/>
      <c r="N56" s="17"/>
      <c r="O56" s="17"/>
      <c r="P56" s="18"/>
      <c r="Q56" s="16" t="s">
        <v>83</v>
      </c>
      <c r="R56" s="18"/>
    </row>
    <row r="57" spans="1:18" ht="16.5" customHeight="1">
      <c r="A57" s="10">
        <v>56</v>
      </c>
      <c r="B57" s="10">
        <v>6</v>
      </c>
      <c r="C57" s="10">
        <v>38</v>
      </c>
      <c r="D57" s="11" t="s">
        <v>391</v>
      </c>
      <c r="E57" s="19" t="s">
        <v>392</v>
      </c>
      <c r="F57" s="11" t="s">
        <v>396</v>
      </c>
      <c r="G57" s="10" t="s">
        <v>397</v>
      </c>
      <c r="H57" s="13" t="s">
        <v>398</v>
      </c>
      <c r="I57" s="14" t="s">
        <v>399</v>
      </c>
      <c r="J57" s="15" t="s">
        <v>400</v>
      </c>
      <c r="K57" s="16" t="s">
        <v>89</v>
      </c>
      <c r="L57" s="17" t="s">
        <v>368</v>
      </c>
      <c r="M57" s="17" t="s">
        <v>91</v>
      </c>
      <c r="N57" s="17" t="s">
        <v>397</v>
      </c>
      <c r="O57" s="17" t="s">
        <v>401</v>
      </c>
      <c r="P57" s="18" t="s">
        <v>402</v>
      </c>
      <c r="Q57" s="16" t="s">
        <v>83</v>
      </c>
      <c r="R57" s="18"/>
    </row>
    <row r="58" spans="1:18" ht="16.5" customHeight="1">
      <c r="A58" s="10">
        <v>57</v>
      </c>
      <c r="B58" s="10">
        <v>6</v>
      </c>
      <c r="C58" s="10">
        <v>39</v>
      </c>
      <c r="D58" s="11" t="s">
        <v>392</v>
      </c>
      <c r="E58" s="19" t="s">
        <v>396</v>
      </c>
      <c r="F58" s="11" t="s">
        <v>403</v>
      </c>
      <c r="G58" s="10" t="s">
        <v>404</v>
      </c>
      <c r="H58" s="13" t="s">
        <v>405</v>
      </c>
      <c r="I58" s="14" t="s">
        <v>406</v>
      </c>
      <c r="J58" s="15" t="s">
        <v>407</v>
      </c>
      <c r="K58" s="16" t="s">
        <v>82</v>
      </c>
      <c r="L58" s="17"/>
      <c r="M58" s="17"/>
      <c r="N58" s="17"/>
      <c r="O58" s="17"/>
      <c r="P58" s="18"/>
      <c r="Q58" s="16" t="s">
        <v>83</v>
      </c>
      <c r="R58" s="18"/>
    </row>
    <row r="59" spans="1:18" ht="16.5" customHeight="1">
      <c r="A59" s="10">
        <v>58</v>
      </c>
      <c r="B59" s="10">
        <v>6</v>
      </c>
      <c r="C59" s="10">
        <v>40</v>
      </c>
      <c r="D59" s="11" t="s">
        <v>396</v>
      </c>
      <c r="E59" s="19" t="s">
        <v>403</v>
      </c>
      <c r="F59" s="11" t="s">
        <v>408</v>
      </c>
      <c r="G59" s="10" t="s">
        <v>320</v>
      </c>
      <c r="H59" s="13" t="s">
        <v>409</v>
      </c>
      <c r="I59" s="14" t="s">
        <v>410</v>
      </c>
      <c r="J59" s="15" t="s">
        <v>411</v>
      </c>
      <c r="K59" s="16" t="s">
        <v>82</v>
      </c>
      <c r="L59" s="17"/>
      <c r="M59" s="17"/>
      <c r="N59" s="17"/>
      <c r="O59" s="17"/>
      <c r="P59" s="18"/>
      <c r="Q59" s="16" t="s">
        <v>83</v>
      </c>
      <c r="R59" s="18"/>
    </row>
    <row r="60" spans="1:18" ht="16.5" customHeight="1">
      <c r="A60" s="10">
        <v>59</v>
      </c>
      <c r="B60" s="10">
        <v>6</v>
      </c>
      <c r="C60" s="10">
        <v>41</v>
      </c>
      <c r="D60" s="11" t="s">
        <v>403</v>
      </c>
      <c r="E60" s="12" t="s">
        <v>408</v>
      </c>
      <c r="F60" s="11" t="s">
        <v>412</v>
      </c>
      <c r="G60" s="10"/>
      <c r="H60" s="13" t="s">
        <v>413</v>
      </c>
      <c r="I60" s="14" t="s">
        <v>414</v>
      </c>
      <c r="J60" s="15" t="s">
        <v>415</v>
      </c>
      <c r="K60" s="16" t="s">
        <v>89</v>
      </c>
      <c r="L60" s="17" t="s">
        <v>90</v>
      </c>
      <c r="M60" s="17" t="s">
        <v>91</v>
      </c>
      <c r="N60" s="17" t="s">
        <v>416</v>
      </c>
      <c r="O60" s="17" t="s">
        <v>417</v>
      </c>
      <c r="P60" s="18" t="s">
        <v>418</v>
      </c>
      <c r="Q60" s="16" t="s">
        <v>83</v>
      </c>
      <c r="R60" s="18"/>
    </row>
    <row r="61" spans="1:18" ht="16.5" customHeight="1">
      <c r="A61" s="10">
        <v>60</v>
      </c>
      <c r="B61" s="10">
        <v>6</v>
      </c>
      <c r="C61" s="10">
        <v>48</v>
      </c>
      <c r="D61" s="11" t="s">
        <v>419</v>
      </c>
      <c r="E61" s="12" t="s">
        <v>420</v>
      </c>
      <c r="F61" s="11" t="s">
        <v>421</v>
      </c>
      <c r="G61" s="10"/>
      <c r="H61" s="13" t="s">
        <v>422</v>
      </c>
      <c r="I61" s="14" t="s">
        <v>423</v>
      </c>
      <c r="J61" s="15" t="s">
        <v>424</v>
      </c>
      <c r="K61" s="16" t="s">
        <v>89</v>
      </c>
      <c r="L61" s="17" t="s">
        <v>155</v>
      </c>
      <c r="M61" s="17" t="s">
        <v>91</v>
      </c>
      <c r="N61" s="17" t="s">
        <v>425</v>
      </c>
      <c r="O61" s="17" t="s">
        <v>426</v>
      </c>
      <c r="P61" s="18" t="s">
        <v>427</v>
      </c>
      <c r="Q61" s="16" t="s">
        <v>113</v>
      </c>
      <c r="R61" s="18"/>
    </row>
    <row r="62" spans="1:18" ht="26.25" customHeight="1">
      <c r="A62" s="10">
        <v>61</v>
      </c>
      <c r="B62" s="10">
        <v>6</v>
      </c>
      <c r="C62" s="10">
        <v>49</v>
      </c>
      <c r="D62" s="11" t="s">
        <v>420</v>
      </c>
      <c r="E62" s="19" t="s">
        <v>421</v>
      </c>
      <c r="F62" s="11" t="s">
        <v>428</v>
      </c>
      <c r="G62" s="10" t="s">
        <v>429</v>
      </c>
      <c r="H62" s="13" t="s">
        <v>430</v>
      </c>
      <c r="I62" s="14" t="s">
        <v>431</v>
      </c>
      <c r="J62" s="15" t="s">
        <v>432</v>
      </c>
      <c r="K62" s="16" t="s">
        <v>89</v>
      </c>
      <c r="L62" s="17" t="s">
        <v>155</v>
      </c>
      <c r="M62" s="17" t="s">
        <v>91</v>
      </c>
      <c r="N62" s="17" t="s">
        <v>433</v>
      </c>
      <c r="O62" s="17" t="s">
        <v>111</v>
      </c>
      <c r="P62" s="18" t="s">
        <v>434</v>
      </c>
      <c r="Q62" s="16" t="s">
        <v>113</v>
      </c>
      <c r="R62" s="18"/>
    </row>
    <row r="63" spans="1:18" ht="16.5" customHeight="1">
      <c r="A63" s="10">
        <v>62</v>
      </c>
      <c r="B63" s="10">
        <v>6</v>
      </c>
      <c r="C63" s="10">
        <v>50</v>
      </c>
      <c r="D63" s="11" t="s">
        <v>421</v>
      </c>
      <c r="E63" s="12" t="s">
        <v>428</v>
      </c>
      <c r="F63" s="11" t="s">
        <v>435</v>
      </c>
      <c r="G63" s="10"/>
      <c r="H63" s="13" t="s">
        <v>436</v>
      </c>
      <c r="I63" s="14" t="s">
        <v>437</v>
      </c>
      <c r="J63" s="15" t="s">
        <v>438</v>
      </c>
      <c r="K63" s="16" t="s">
        <v>82</v>
      </c>
      <c r="L63" s="17"/>
      <c r="M63" s="17"/>
      <c r="N63" s="17"/>
      <c r="O63" s="17"/>
      <c r="P63" s="18"/>
      <c r="Q63" s="16" t="s">
        <v>83</v>
      </c>
      <c r="R63" s="18"/>
    </row>
    <row r="64" spans="1:18" ht="16.5" customHeight="1">
      <c r="A64" s="10">
        <v>63</v>
      </c>
      <c r="B64" s="10">
        <v>6</v>
      </c>
      <c r="C64" s="10">
        <v>51</v>
      </c>
      <c r="D64" s="11" t="s">
        <v>428</v>
      </c>
      <c r="E64" s="19" t="s">
        <v>435</v>
      </c>
      <c r="F64" s="11" t="s">
        <v>439</v>
      </c>
      <c r="G64" s="10" t="s">
        <v>160</v>
      </c>
      <c r="H64" s="13" t="s">
        <v>440</v>
      </c>
      <c r="I64" s="14" t="s">
        <v>441</v>
      </c>
      <c r="J64" s="15" t="s">
        <v>442</v>
      </c>
      <c r="K64" s="16" t="s">
        <v>82</v>
      </c>
      <c r="L64" s="17"/>
      <c r="M64" s="17"/>
      <c r="N64" s="17"/>
      <c r="O64" s="17"/>
      <c r="P64" s="18"/>
      <c r="Q64" s="16" t="s">
        <v>83</v>
      </c>
      <c r="R64" s="18"/>
    </row>
    <row r="65" spans="1:18" ht="16.5" customHeight="1">
      <c r="A65" s="10">
        <v>64</v>
      </c>
      <c r="B65" s="10">
        <v>6</v>
      </c>
      <c r="C65" s="10">
        <v>52</v>
      </c>
      <c r="D65" s="11" t="s">
        <v>435</v>
      </c>
      <c r="E65" s="12" t="s">
        <v>439</v>
      </c>
      <c r="F65" s="11" t="s">
        <v>443</v>
      </c>
      <c r="G65" s="10"/>
      <c r="H65" s="13" t="s">
        <v>444</v>
      </c>
      <c r="I65" s="14" t="s">
        <v>445</v>
      </c>
      <c r="J65" s="15" t="s">
        <v>446</v>
      </c>
      <c r="K65" s="16" t="s">
        <v>89</v>
      </c>
      <c r="L65" s="17" t="s">
        <v>90</v>
      </c>
      <c r="M65" s="17" t="s">
        <v>447</v>
      </c>
      <c r="N65" s="17" t="s">
        <v>448</v>
      </c>
      <c r="O65" s="17" t="s">
        <v>449</v>
      </c>
      <c r="P65" s="18" t="s">
        <v>450</v>
      </c>
      <c r="Q65" s="16" t="s">
        <v>148</v>
      </c>
      <c r="R65" s="18"/>
    </row>
    <row r="66" spans="1:18" ht="16.5" customHeight="1">
      <c r="A66" s="10">
        <v>65</v>
      </c>
      <c r="B66" s="10">
        <v>7</v>
      </c>
      <c r="C66" s="10">
        <v>14</v>
      </c>
      <c r="D66" s="11" t="s">
        <v>451</v>
      </c>
      <c r="E66" s="12" t="s">
        <v>452</v>
      </c>
      <c r="F66" s="11" t="s">
        <v>453</v>
      </c>
      <c r="G66" s="10"/>
      <c r="H66" s="13" t="s">
        <v>454</v>
      </c>
      <c r="I66" s="14" t="s">
        <v>455</v>
      </c>
      <c r="J66" s="15" t="s">
        <v>456</v>
      </c>
      <c r="K66" s="16" t="s">
        <v>82</v>
      </c>
      <c r="L66" s="17"/>
      <c r="M66" s="17"/>
      <c r="N66" s="17"/>
      <c r="O66" s="17"/>
      <c r="P66" s="18"/>
      <c r="Q66" s="16" t="s">
        <v>83</v>
      </c>
      <c r="R66" s="18"/>
    </row>
    <row r="67" spans="1:18" ht="16.5" customHeight="1">
      <c r="A67" s="10">
        <v>66</v>
      </c>
      <c r="B67" s="10">
        <v>7</v>
      </c>
      <c r="C67" s="10">
        <v>15</v>
      </c>
      <c r="D67" s="11" t="s">
        <v>452</v>
      </c>
      <c r="E67" s="19" t="s">
        <v>453</v>
      </c>
      <c r="F67" s="11" t="s">
        <v>457</v>
      </c>
      <c r="G67" s="10" t="s">
        <v>320</v>
      </c>
      <c r="H67" s="13" t="s">
        <v>458</v>
      </c>
      <c r="I67" s="14" t="s">
        <v>459</v>
      </c>
      <c r="J67" s="15" t="s">
        <v>460</v>
      </c>
      <c r="K67" s="16" t="s">
        <v>82</v>
      </c>
      <c r="L67" s="17"/>
      <c r="M67" s="17"/>
      <c r="N67" s="17"/>
      <c r="O67" s="17"/>
      <c r="P67" s="18"/>
      <c r="Q67" s="16" t="s">
        <v>83</v>
      </c>
      <c r="R67" s="18"/>
    </row>
    <row r="68" spans="1:18" ht="16.5" customHeight="1">
      <c r="A68" s="10">
        <v>67</v>
      </c>
      <c r="B68" s="10">
        <v>7</v>
      </c>
      <c r="C68" s="10">
        <v>16</v>
      </c>
      <c r="D68" s="11" t="s">
        <v>453</v>
      </c>
      <c r="E68" s="19" t="s">
        <v>457</v>
      </c>
      <c r="F68" s="11" t="s">
        <v>461</v>
      </c>
      <c r="G68" s="10" t="s">
        <v>462</v>
      </c>
      <c r="H68" s="13" t="s">
        <v>463</v>
      </c>
      <c r="I68" s="14" t="s">
        <v>464</v>
      </c>
      <c r="J68" s="15" t="s">
        <v>465</v>
      </c>
      <c r="K68" s="16" t="s">
        <v>89</v>
      </c>
      <c r="L68" s="17" t="s">
        <v>90</v>
      </c>
      <c r="M68" s="17" t="s">
        <v>91</v>
      </c>
      <c r="N68" s="17" t="s">
        <v>466</v>
      </c>
      <c r="O68" s="17" t="s">
        <v>467</v>
      </c>
      <c r="P68" s="18" t="s">
        <v>468</v>
      </c>
      <c r="Q68" s="16" t="s">
        <v>83</v>
      </c>
      <c r="R68" s="18"/>
    </row>
    <row r="69" spans="1:18" ht="26.25" customHeight="1">
      <c r="A69" s="10">
        <v>68</v>
      </c>
      <c r="B69" s="10">
        <v>7</v>
      </c>
      <c r="C69" s="10">
        <v>17</v>
      </c>
      <c r="D69" s="11" t="s">
        <v>457</v>
      </c>
      <c r="E69" s="12" t="s">
        <v>461</v>
      </c>
      <c r="F69" s="11" t="s">
        <v>469</v>
      </c>
      <c r="G69" s="10"/>
      <c r="H69" s="13" t="s">
        <v>470</v>
      </c>
      <c r="I69" s="14" t="s">
        <v>471</v>
      </c>
      <c r="J69" s="15" t="s">
        <v>472</v>
      </c>
      <c r="K69" s="16" t="s">
        <v>89</v>
      </c>
      <c r="L69" s="17" t="s">
        <v>473</v>
      </c>
      <c r="M69" s="17" t="s">
        <v>91</v>
      </c>
      <c r="N69" s="17" t="s">
        <v>474</v>
      </c>
      <c r="O69" s="17" t="s">
        <v>475</v>
      </c>
      <c r="P69" s="18" t="s">
        <v>476</v>
      </c>
      <c r="Q69" s="16" t="s">
        <v>113</v>
      </c>
      <c r="R69" s="18"/>
    </row>
    <row r="70" spans="1:18" ht="16.5" customHeight="1">
      <c r="A70" s="10">
        <v>69</v>
      </c>
      <c r="B70" s="10">
        <v>7</v>
      </c>
      <c r="C70" s="10">
        <v>20</v>
      </c>
      <c r="D70" s="11" t="s">
        <v>477</v>
      </c>
      <c r="E70" s="12" t="s">
        <v>478</v>
      </c>
      <c r="F70" s="11" t="s">
        <v>479</v>
      </c>
      <c r="G70" s="10"/>
      <c r="H70" s="13" t="s">
        <v>480</v>
      </c>
      <c r="I70" s="14" t="s">
        <v>481</v>
      </c>
      <c r="J70" s="15" t="s">
        <v>482</v>
      </c>
      <c r="K70" s="16" t="s">
        <v>82</v>
      </c>
      <c r="L70" s="17"/>
      <c r="M70" s="17"/>
      <c r="N70" s="17"/>
      <c r="O70" s="17"/>
      <c r="P70" s="18"/>
      <c r="Q70" s="16" t="s">
        <v>83</v>
      </c>
      <c r="R70" s="18"/>
    </row>
    <row r="71" spans="1:18" ht="16.5" customHeight="1">
      <c r="A71" s="10">
        <v>70</v>
      </c>
      <c r="B71" s="10">
        <v>7</v>
      </c>
      <c r="C71" s="10">
        <v>21</v>
      </c>
      <c r="D71" s="11" t="s">
        <v>478</v>
      </c>
      <c r="E71" s="19" t="s">
        <v>479</v>
      </c>
      <c r="F71" s="11" t="s">
        <v>483</v>
      </c>
      <c r="G71" s="10" t="s">
        <v>266</v>
      </c>
      <c r="H71" s="13" t="s">
        <v>484</v>
      </c>
      <c r="I71" s="14" t="s">
        <v>485</v>
      </c>
      <c r="J71" s="15" t="s">
        <v>486</v>
      </c>
      <c r="K71" s="16" t="s">
        <v>82</v>
      </c>
      <c r="L71" s="17"/>
      <c r="M71" s="17"/>
      <c r="N71" s="17"/>
      <c r="O71" s="17"/>
      <c r="P71" s="18"/>
      <c r="Q71" s="16" t="s">
        <v>83</v>
      </c>
      <c r="R71" s="18"/>
    </row>
    <row r="72" spans="1:18" ht="16.5" customHeight="1">
      <c r="A72" s="10">
        <v>71</v>
      </c>
      <c r="B72" s="10">
        <v>7</v>
      </c>
      <c r="C72" s="10">
        <v>22</v>
      </c>
      <c r="D72" s="11" t="s">
        <v>479</v>
      </c>
      <c r="E72" s="19" t="s">
        <v>483</v>
      </c>
      <c r="F72" s="11" t="s">
        <v>487</v>
      </c>
      <c r="G72" s="10" t="s">
        <v>305</v>
      </c>
      <c r="H72" s="13" t="s">
        <v>488</v>
      </c>
      <c r="I72" s="14" t="s">
        <v>489</v>
      </c>
      <c r="J72" s="15" t="s">
        <v>490</v>
      </c>
      <c r="K72" s="16" t="s">
        <v>82</v>
      </c>
      <c r="L72" s="17"/>
      <c r="M72" s="17"/>
      <c r="N72" s="17"/>
      <c r="O72" s="17"/>
      <c r="P72" s="18"/>
      <c r="Q72" s="16" t="s">
        <v>83</v>
      </c>
      <c r="R72" s="18"/>
    </row>
    <row r="73" spans="1:18" ht="26.25" customHeight="1">
      <c r="A73" s="10">
        <v>72</v>
      </c>
      <c r="B73" s="10">
        <v>7</v>
      </c>
      <c r="C73" s="10">
        <v>23</v>
      </c>
      <c r="D73" s="11" t="s">
        <v>483</v>
      </c>
      <c r="E73" s="19" t="s">
        <v>487</v>
      </c>
      <c r="F73" s="11" t="s">
        <v>491</v>
      </c>
      <c r="G73" s="10" t="s">
        <v>160</v>
      </c>
      <c r="H73" s="13" t="s">
        <v>492</v>
      </c>
      <c r="I73" s="14" t="s">
        <v>493</v>
      </c>
      <c r="J73" s="15" t="s">
        <v>494</v>
      </c>
      <c r="K73" s="16" t="s">
        <v>89</v>
      </c>
      <c r="L73" s="17" t="s">
        <v>222</v>
      </c>
      <c r="M73" s="17" t="s">
        <v>209</v>
      </c>
      <c r="N73" s="17" t="s">
        <v>223</v>
      </c>
      <c r="O73" s="17" t="s">
        <v>224</v>
      </c>
      <c r="P73" s="18" t="s">
        <v>225</v>
      </c>
      <c r="Q73" s="16" t="s">
        <v>83</v>
      </c>
      <c r="R73" s="18"/>
    </row>
    <row r="74" spans="1:18" ht="26.25" customHeight="1">
      <c r="A74" s="10">
        <v>73</v>
      </c>
      <c r="B74" s="10">
        <v>7</v>
      </c>
      <c r="C74" s="10">
        <v>24</v>
      </c>
      <c r="D74" s="11" t="s">
        <v>487</v>
      </c>
      <c r="E74" s="12" t="s">
        <v>491</v>
      </c>
      <c r="F74" s="11" t="s">
        <v>495</v>
      </c>
      <c r="G74" s="10"/>
      <c r="H74" s="13" t="s">
        <v>496</v>
      </c>
      <c r="I74" s="14" t="s">
        <v>497</v>
      </c>
      <c r="J74" s="15" t="s">
        <v>498</v>
      </c>
      <c r="K74" s="16" t="s">
        <v>82</v>
      </c>
      <c r="L74" s="17"/>
      <c r="M74" s="17"/>
      <c r="N74" s="17"/>
      <c r="O74" s="17"/>
      <c r="P74" s="18"/>
      <c r="Q74" s="16" t="s">
        <v>83</v>
      </c>
      <c r="R74" s="18"/>
    </row>
    <row r="75" spans="1:18" ht="16.5" customHeight="1">
      <c r="A75" s="10">
        <v>74</v>
      </c>
      <c r="B75" s="10">
        <v>7</v>
      </c>
      <c r="C75" s="10">
        <v>25</v>
      </c>
      <c r="D75" s="11" t="s">
        <v>491</v>
      </c>
      <c r="E75" s="12" t="s">
        <v>495</v>
      </c>
      <c r="F75" s="11"/>
      <c r="G75" s="10"/>
      <c r="H75" s="13" t="s">
        <v>499</v>
      </c>
      <c r="I75" s="14" t="s">
        <v>500</v>
      </c>
      <c r="J75" s="15" t="s">
        <v>501</v>
      </c>
      <c r="K75" s="16" t="s">
        <v>82</v>
      </c>
      <c r="L75" s="17"/>
      <c r="M75" s="17"/>
      <c r="N75" s="17"/>
      <c r="O75" s="17"/>
      <c r="P75" s="18"/>
      <c r="Q75" s="16" t="s">
        <v>83</v>
      </c>
      <c r="R75" s="18"/>
    </row>
    <row r="76" spans="1:18" ht="16.5" customHeight="1">
      <c r="A76" s="10">
        <v>75</v>
      </c>
      <c r="B76" s="10">
        <v>8</v>
      </c>
      <c r="C76" s="10">
        <v>1</v>
      </c>
      <c r="D76" s="11"/>
      <c r="E76" s="19" t="s">
        <v>502</v>
      </c>
      <c r="F76" s="11" t="s">
        <v>503</v>
      </c>
      <c r="G76" s="10" t="s">
        <v>397</v>
      </c>
      <c r="H76" s="13" t="s">
        <v>504</v>
      </c>
      <c r="I76" s="14" t="s">
        <v>505</v>
      </c>
      <c r="J76" s="15" t="s">
        <v>506</v>
      </c>
      <c r="K76" s="16" t="s">
        <v>89</v>
      </c>
      <c r="L76" s="17" t="s">
        <v>368</v>
      </c>
      <c r="M76" s="17" t="s">
        <v>91</v>
      </c>
      <c r="N76" s="17" t="s">
        <v>397</v>
      </c>
      <c r="O76" s="17" t="s">
        <v>507</v>
      </c>
      <c r="P76" s="18" t="s">
        <v>508</v>
      </c>
      <c r="Q76" s="16" t="s">
        <v>113</v>
      </c>
      <c r="R76" s="18"/>
    </row>
    <row r="77" spans="1:18" ht="16.5" customHeight="1">
      <c r="A77" s="10">
        <v>76</v>
      </c>
      <c r="B77" s="10">
        <v>8</v>
      </c>
      <c r="C77" s="10">
        <v>2</v>
      </c>
      <c r="D77" s="11" t="s">
        <v>502</v>
      </c>
      <c r="E77" s="12" t="s">
        <v>503</v>
      </c>
      <c r="F77" s="11" t="s">
        <v>509</v>
      </c>
      <c r="G77" s="10"/>
      <c r="H77" s="13" t="s">
        <v>510</v>
      </c>
      <c r="I77" s="14" t="s">
        <v>511</v>
      </c>
      <c r="J77" s="15" t="s">
        <v>512</v>
      </c>
      <c r="K77" s="16" t="s">
        <v>82</v>
      </c>
      <c r="L77" s="17"/>
      <c r="M77" s="17"/>
      <c r="N77" s="17"/>
      <c r="O77" s="17"/>
      <c r="P77" s="18"/>
      <c r="Q77" s="16" t="s">
        <v>83</v>
      </c>
      <c r="R77" s="18"/>
    </row>
    <row r="78" spans="1:18" ht="26.25" customHeight="1">
      <c r="A78" s="10">
        <v>77</v>
      </c>
      <c r="B78" s="10">
        <v>8</v>
      </c>
      <c r="C78" s="10">
        <v>3</v>
      </c>
      <c r="D78" s="11" t="s">
        <v>503</v>
      </c>
      <c r="E78" s="19" t="s">
        <v>509</v>
      </c>
      <c r="F78" s="11"/>
      <c r="G78" s="10" t="s">
        <v>160</v>
      </c>
      <c r="H78" s="13" t="s">
        <v>513</v>
      </c>
      <c r="I78" s="14" t="s">
        <v>514</v>
      </c>
      <c r="J78" s="15" t="s">
        <v>515</v>
      </c>
      <c r="K78" s="16" t="s">
        <v>82</v>
      </c>
      <c r="L78" s="17"/>
      <c r="M78" s="17"/>
      <c r="N78" s="17"/>
      <c r="O78" s="17"/>
      <c r="P78" s="18"/>
      <c r="Q78" s="16" t="s">
        <v>83</v>
      </c>
      <c r="R78" s="18"/>
    </row>
    <row r="79" spans="1:18" ht="16.5" customHeight="1">
      <c r="A79" s="10">
        <v>78</v>
      </c>
      <c r="B79" s="10">
        <v>9</v>
      </c>
      <c r="C79" s="10">
        <v>1</v>
      </c>
      <c r="D79" s="11"/>
      <c r="E79" s="12" t="s">
        <v>516</v>
      </c>
      <c r="F79" s="11" t="s">
        <v>517</v>
      </c>
      <c r="G79" s="10"/>
      <c r="H79" s="13" t="s">
        <v>518</v>
      </c>
      <c r="I79" s="14" t="s">
        <v>519</v>
      </c>
      <c r="J79" s="15" t="s">
        <v>520</v>
      </c>
      <c r="K79" s="16" t="s">
        <v>82</v>
      </c>
      <c r="L79" s="17"/>
      <c r="M79" s="17"/>
      <c r="N79" s="17"/>
      <c r="O79" s="17"/>
      <c r="P79" s="18"/>
      <c r="Q79" s="16" t="s">
        <v>83</v>
      </c>
      <c r="R79" s="18"/>
    </row>
    <row r="80" spans="1:18" ht="16.5" customHeight="1">
      <c r="A80" s="10">
        <v>79</v>
      </c>
      <c r="B80" s="10">
        <v>9</v>
      </c>
      <c r="C80" s="10">
        <v>2</v>
      </c>
      <c r="D80" s="11" t="s">
        <v>516</v>
      </c>
      <c r="E80" s="12" t="s">
        <v>517</v>
      </c>
      <c r="F80" s="11" t="s">
        <v>521</v>
      </c>
      <c r="G80" s="10"/>
      <c r="H80" s="13" t="s">
        <v>522</v>
      </c>
      <c r="I80" s="14" t="s">
        <v>523</v>
      </c>
      <c r="J80" s="15" t="s">
        <v>524</v>
      </c>
      <c r="K80" s="16" t="s">
        <v>82</v>
      </c>
      <c r="L80" s="17"/>
      <c r="M80" s="17"/>
      <c r="N80" s="17"/>
      <c r="O80" s="17"/>
      <c r="P80" s="18"/>
      <c r="Q80" s="16" t="s">
        <v>83</v>
      </c>
      <c r="R80" s="18"/>
    </row>
    <row r="81" spans="1:18" ht="16.5" customHeight="1">
      <c r="A81" s="10">
        <v>80</v>
      </c>
      <c r="B81" s="10">
        <v>9</v>
      </c>
      <c r="C81" s="10">
        <v>3</v>
      </c>
      <c r="D81" s="11" t="s">
        <v>517</v>
      </c>
      <c r="E81" s="19" t="s">
        <v>521</v>
      </c>
      <c r="F81" s="11" t="s">
        <v>525</v>
      </c>
      <c r="G81" s="10" t="s">
        <v>133</v>
      </c>
      <c r="H81" s="13" t="s">
        <v>526</v>
      </c>
      <c r="I81" s="14" t="s">
        <v>527</v>
      </c>
      <c r="J81" s="15" t="s">
        <v>528</v>
      </c>
      <c r="K81" s="16" t="s">
        <v>82</v>
      </c>
      <c r="L81" s="17"/>
      <c r="M81" s="17"/>
      <c r="N81" s="17"/>
      <c r="O81" s="17"/>
      <c r="P81" s="18"/>
      <c r="Q81" s="16" t="s">
        <v>83</v>
      </c>
      <c r="R81" s="18"/>
    </row>
    <row r="82" spans="1:18" ht="16.5" customHeight="1">
      <c r="A82" s="10">
        <v>81</v>
      </c>
      <c r="B82" s="10">
        <v>9</v>
      </c>
      <c r="C82" s="10">
        <v>4</v>
      </c>
      <c r="D82" s="11" t="s">
        <v>521</v>
      </c>
      <c r="E82" s="12" t="s">
        <v>525</v>
      </c>
      <c r="F82" s="11" t="s">
        <v>529</v>
      </c>
      <c r="G82" s="10"/>
      <c r="H82" s="13" t="s">
        <v>530</v>
      </c>
      <c r="I82" s="14" t="s">
        <v>531</v>
      </c>
      <c r="J82" s="15" t="s">
        <v>532</v>
      </c>
      <c r="K82" s="16" t="s">
        <v>82</v>
      </c>
      <c r="L82" s="17"/>
      <c r="M82" s="17"/>
      <c r="N82" s="17"/>
      <c r="O82" s="17"/>
      <c r="P82" s="18"/>
      <c r="Q82" s="16" t="s">
        <v>83</v>
      </c>
      <c r="R82" s="18"/>
    </row>
    <row r="83" spans="1:18" ht="16.5" customHeight="1">
      <c r="A83" s="10">
        <v>82</v>
      </c>
      <c r="B83" s="10">
        <v>9</v>
      </c>
      <c r="C83" s="10">
        <v>9</v>
      </c>
      <c r="D83" s="11" t="s">
        <v>533</v>
      </c>
      <c r="E83" s="12" t="s">
        <v>534</v>
      </c>
      <c r="F83" s="11" t="s">
        <v>535</v>
      </c>
      <c r="G83" s="10"/>
      <c r="H83" s="13" t="s">
        <v>536</v>
      </c>
      <c r="I83" s="14" t="s">
        <v>537</v>
      </c>
      <c r="J83" s="15" t="s">
        <v>538</v>
      </c>
      <c r="K83" s="16" t="s">
        <v>82</v>
      </c>
      <c r="L83" s="17"/>
      <c r="M83" s="17"/>
      <c r="N83" s="17"/>
      <c r="O83" s="17"/>
      <c r="P83" s="18"/>
      <c r="Q83" s="16" t="s">
        <v>83</v>
      </c>
      <c r="R83" s="18"/>
    </row>
    <row r="84" spans="1:18" ht="16.5" customHeight="1">
      <c r="A84" s="10">
        <v>83</v>
      </c>
      <c r="B84" s="10">
        <v>9</v>
      </c>
      <c r="C84" s="10">
        <v>10</v>
      </c>
      <c r="D84" s="11" t="s">
        <v>534</v>
      </c>
      <c r="E84" s="19" t="s">
        <v>535</v>
      </c>
      <c r="F84" s="11" t="s">
        <v>539</v>
      </c>
      <c r="G84" s="10" t="s">
        <v>540</v>
      </c>
      <c r="H84" s="13" t="s">
        <v>541</v>
      </c>
      <c r="I84" s="14" t="s">
        <v>542</v>
      </c>
      <c r="J84" s="15" t="s">
        <v>543</v>
      </c>
      <c r="K84" s="16" t="s">
        <v>82</v>
      </c>
      <c r="L84" s="17"/>
      <c r="M84" s="17"/>
      <c r="N84" s="17"/>
      <c r="O84" s="17"/>
      <c r="P84" s="18"/>
      <c r="Q84" s="16" t="s">
        <v>83</v>
      </c>
      <c r="R84" s="18"/>
    </row>
    <row r="85" spans="1:18" ht="26.25" customHeight="1">
      <c r="A85" s="10">
        <v>84</v>
      </c>
      <c r="B85" s="10">
        <v>9</v>
      </c>
      <c r="C85" s="10">
        <v>11</v>
      </c>
      <c r="D85" s="11" t="s">
        <v>535</v>
      </c>
      <c r="E85" s="12" t="s">
        <v>539</v>
      </c>
      <c r="F85" s="11" t="s">
        <v>544</v>
      </c>
      <c r="G85" s="10"/>
      <c r="H85" s="13" t="s">
        <v>545</v>
      </c>
      <c r="I85" s="14" t="s">
        <v>546</v>
      </c>
      <c r="J85" s="15" t="s">
        <v>547</v>
      </c>
      <c r="K85" s="16" t="s">
        <v>82</v>
      </c>
      <c r="L85" s="17"/>
      <c r="M85" s="17"/>
      <c r="N85" s="17"/>
      <c r="O85" s="17"/>
      <c r="P85" s="18"/>
      <c r="Q85" s="16" t="s">
        <v>83</v>
      </c>
      <c r="R85" s="18"/>
    </row>
    <row r="86" spans="1:18" ht="26.25" customHeight="1">
      <c r="A86" s="10">
        <v>85</v>
      </c>
      <c r="B86" s="10">
        <v>9</v>
      </c>
      <c r="C86" s="10">
        <v>15</v>
      </c>
      <c r="D86" s="11" t="s">
        <v>548</v>
      </c>
      <c r="E86" s="12" t="s">
        <v>549</v>
      </c>
      <c r="F86" s="11" t="s">
        <v>550</v>
      </c>
      <c r="G86" s="10"/>
      <c r="H86" s="13" t="s">
        <v>551</v>
      </c>
      <c r="I86" s="14" t="s">
        <v>552</v>
      </c>
      <c r="J86" s="15" t="s">
        <v>553</v>
      </c>
      <c r="K86" s="16" t="s">
        <v>82</v>
      </c>
      <c r="L86" s="17"/>
      <c r="M86" s="17"/>
      <c r="N86" s="17"/>
      <c r="O86" s="17"/>
      <c r="P86" s="18"/>
      <c r="Q86" s="16" t="s">
        <v>83</v>
      </c>
      <c r="R86" s="18"/>
    </row>
    <row r="87" spans="1:18" ht="26.25" customHeight="1">
      <c r="A87" s="10">
        <v>86</v>
      </c>
      <c r="B87" s="10">
        <v>9</v>
      </c>
      <c r="C87" s="10">
        <v>16</v>
      </c>
      <c r="D87" s="11" t="s">
        <v>549</v>
      </c>
      <c r="E87" s="19" t="s">
        <v>550</v>
      </c>
      <c r="F87" s="11" t="s">
        <v>554</v>
      </c>
      <c r="G87" s="10" t="s">
        <v>540</v>
      </c>
      <c r="H87" s="13" t="s">
        <v>555</v>
      </c>
      <c r="I87" s="14" t="s">
        <v>556</v>
      </c>
      <c r="J87" s="15" t="s">
        <v>557</v>
      </c>
      <c r="K87" s="16" t="s">
        <v>82</v>
      </c>
      <c r="L87" s="17"/>
      <c r="M87" s="17"/>
      <c r="N87" s="17"/>
      <c r="O87" s="17"/>
      <c r="P87" s="18"/>
      <c r="Q87" s="16" t="s">
        <v>83</v>
      </c>
      <c r="R87" s="18"/>
    </row>
    <row r="88" spans="1:18" ht="26.25" customHeight="1">
      <c r="A88" s="10">
        <v>87</v>
      </c>
      <c r="B88" s="10">
        <v>9</v>
      </c>
      <c r="C88" s="10">
        <v>17</v>
      </c>
      <c r="D88" s="11" t="s">
        <v>550</v>
      </c>
      <c r="E88" s="12" t="s">
        <v>554</v>
      </c>
      <c r="F88" s="11"/>
      <c r="G88" s="10"/>
      <c r="H88" s="13" t="s">
        <v>558</v>
      </c>
      <c r="I88" s="14" t="s">
        <v>559</v>
      </c>
      <c r="J88" s="15" t="s">
        <v>560</v>
      </c>
      <c r="K88" s="16" t="s">
        <v>89</v>
      </c>
      <c r="L88" s="17" t="s">
        <v>90</v>
      </c>
      <c r="M88" s="17" t="s">
        <v>91</v>
      </c>
      <c r="N88" s="17" t="s">
        <v>252</v>
      </c>
      <c r="O88" s="17" t="s">
        <v>253</v>
      </c>
      <c r="P88" s="18" t="s">
        <v>561</v>
      </c>
      <c r="Q88" s="16" t="s">
        <v>83</v>
      </c>
      <c r="R88" s="18"/>
    </row>
    <row r="89" spans="1:18" ht="16.5" customHeight="1">
      <c r="A89" s="10">
        <v>88</v>
      </c>
      <c r="B89" s="10">
        <v>10</v>
      </c>
      <c r="C89" s="10">
        <v>26</v>
      </c>
      <c r="D89" s="11" t="s">
        <v>562</v>
      </c>
      <c r="E89" s="12" t="s">
        <v>563</v>
      </c>
      <c r="F89" s="11" t="s">
        <v>564</v>
      </c>
      <c r="G89" s="10"/>
      <c r="H89" s="13" t="s">
        <v>565</v>
      </c>
      <c r="I89" s="14" t="s">
        <v>566</v>
      </c>
      <c r="J89" s="15" t="s">
        <v>567</v>
      </c>
      <c r="K89" s="16" t="s">
        <v>82</v>
      </c>
      <c r="L89" s="17"/>
      <c r="M89" s="17"/>
      <c r="N89" s="17"/>
      <c r="O89" s="17"/>
      <c r="P89" s="18"/>
      <c r="Q89" s="16" t="s">
        <v>83</v>
      </c>
      <c r="R89" s="18"/>
    </row>
    <row r="90" spans="1:18" ht="16.5" customHeight="1">
      <c r="A90" s="10">
        <v>89</v>
      </c>
      <c r="B90" s="10">
        <v>10</v>
      </c>
      <c r="C90" s="10">
        <v>27</v>
      </c>
      <c r="D90" s="11" t="s">
        <v>563</v>
      </c>
      <c r="E90" s="19" t="s">
        <v>564</v>
      </c>
      <c r="F90" s="11" t="s">
        <v>568</v>
      </c>
      <c r="G90" s="10" t="s">
        <v>569</v>
      </c>
      <c r="H90" s="13" t="s">
        <v>570</v>
      </c>
      <c r="I90" s="14" t="s">
        <v>571</v>
      </c>
      <c r="J90" s="15" t="s">
        <v>572</v>
      </c>
      <c r="K90" s="16" t="s">
        <v>89</v>
      </c>
      <c r="L90" s="17" t="s">
        <v>90</v>
      </c>
      <c r="M90" s="17" t="s">
        <v>91</v>
      </c>
      <c r="N90" s="17" t="s">
        <v>573</v>
      </c>
      <c r="O90" s="17" t="s">
        <v>467</v>
      </c>
      <c r="P90" s="18" t="s">
        <v>468</v>
      </c>
      <c r="Q90" s="16" t="s">
        <v>83</v>
      </c>
      <c r="R90" s="18"/>
    </row>
    <row r="91" spans="1:18" ht="16.5" customHeight="1">
      <c r="A91" s="10">
        <v>90</v>
      </c>
      <c r="B91" s="10">
        <v>10</v>
      </c>
      <c r="C91" s="10">
        <v>28</v>
      </c>
      <c r="D91" s="11" t="s">
        <v>564</v>
      </c>
      <c r="E91" s="19" t="s">
        <v>568</v>
      </c>
      <c r="F91" s="11" t="s">
        <v>574</v>
      </c>
      <c r="G91" s="10" t="s">
        <v>575</v>
      </c>
      <c r="H91" s="13" t="s">
        <v>576</v>
      </c>
      <c r="I91" s="14" t="s">
        <v>577</v>
      </c>
      <c r="J91" s="15" t="s">
        <v>578</v>
      </c>
      <c r="K91" s="16" t="s">
        <v>89</v>
      </c>
      <c r="L91" s="17" t="s">
        <v>155</v>
      </c>
      <c r="M91" s="17" t="s">
        <v>91</v>
      </c>
      <c r="N91" s="17" t="s">
        <v>579</v>
      </c>
      <c r="O91" s="17" t="s">
        <v>507</v>
      </c>
      <c r="P91" s="18" t="s">
        <v>580</v>
      </c>
      <c r="Q91" s="16" t="s">
        <v>113</v>
      </c>
      <c r="R91" s="18"/>
    </row>
    <row r="92" spans="1:18" ht="16.5" customHeight="1">
      <c r="A92" s="10">
        <v>91</v>
      </c>
      <c r="B92" s="10">
        <v>10</v>
      </c>
      <c r="C92" s="10">
        <v>29</v>
      </c>
      <c r="D92" s="11" t="s">
        <v>568</v>
      </c>
      <c r="E92" s="12" t="s">
        <v>574</v>
      </c>
      <c r="F92" s="11" t="s">
        <v>581</v>
      </c>
      <c r="G92" s="10"/>
      <c r="H92" s="13" t="s">
        <v>582</v>
      </c>
      <c r="I92" s="14" t="s">
        <v>583</v>
      </c>
      <c r="J92" s="15" t="s">
        <v>584</v>
      </c>
      <c r="K92" s="16" t="s">
        <v>82</v>
      </c>
      <c r="L92" s="17"/>
      <c r="M92" s="17"/>
      <c r="N92" s="17"/>
      <c r="O92" s="17"/>
      <c r="P92" s="18"/>
      <c r="Q92" s="16" t="s">
        <v>83</v>
      </c>
      <c r="R92" s="18"/>
    </row>
    <row r="93" spans="1:18" ht="16.5" customHeight="1">
      <c r="A93" s="10">
        <v>92</v>
      </c>
      <c r="B93" s="10">
        <v>10</v>
      </c>
      <c r="C93" s="10">
        <v>39</v>
      </c>
      <c r="D93" s="11" t="s">
        <v>274</v>
      </c>
      <c r="E93" s="12" t="s">
        <v>585</v>
      </c>
      <c r="F93" s="11" t="s">
        <v>462</v>
      </c>
      <c r="G93" s="10"/>
      <c r="H93" s="13" t="s">
        <v>586</v>
      </c>
      <c r="I93" s="14" t="s">
        <v>587</v>
      </c>
      <c r="J93" s="15" t="s">
        <v>588</v>
      </c>
      <c r="K93" s="16" t="s">
        <v>82</v>
      </c>
      <c r="L93" s="17"/>
      <c r="M93" s="17"/>
      <c r="N93" s="17"/>
      <c r="O93" s="17"/>
      <c r="P93" s="18"/>
      <c r="Q93" s="16" t="s">
        <v>83</v>
      </c>
      <c r="R93" s="18"/>
    </row>
    <row r="94" spans="1:18" ht="16.5" customHeight="1">
      <c r="A94" s="10">
        <v>93</v>
      </c>
      <c r="B94" s="10">
        <v>10</v>
      </c>
      <c r="C94" s="10">
        <v>40</v>
      </c>
      <c r="D94" s="11" t="s">
        <v>585</v>
      </c>
      <c r="E94" s="19" t="s">
        <v>462</v>
      </c>
      <c r="F94" s="11" t="s">
        <v>589</v>
      </c>
      <c r="G94" s="10" t="s">
        <v>462</v>
      </c>
      <c r="H94" s="13"/>
      <c r="I94" s="14" t="s">
        <v>590</v>
      </c>
      <c r="J94" s="15" t="s">
        <v>591</v>
      </c>
      <c r="K94" s="16" t="s">
        <v>82</v>
      </c>
      <c r="L94" s="17"/>
      <c r="M94" s="17"/>
      <c r="N94" s="17"/>
      <c r="O94" s="17"/>
      <c r="P94" s="18"/>
      <c r="Q94" s="16" t="s">
        <v>83</v>
      </c>
      <c r="R94" s="18"/>
    </row>
    <row r="95" spans="1:18" ht="16.5" customHeight="1">
      <c r="A95" s="10">
        <v>94</v>
      </c>
      <c r="B95" s="10">
        <v>10</v>
      </c>
      <c r="C95" s="10">
        <v>41</v>
      </c>
      <c r="D95" s="11" t="s">
        <v>462</v>
      </c>
      <c r="E95" s="12" t="s">
        <v>589</v>
      </c>
      <c r="F95" s="11" t="s">
        <v>592</v>
      </c>
      <c r="G95" s="10"/>
      <c r="H95" s="13"/>
      <c r="I95" s="14" t="s">
        <v>593</v>
      </c>
      <c r="J95" s="15" t="s">
        <v>594</v>
      </c>
      <c r="K95" s="16" t="s">
        <v>89</v>
      </c>
      <c r="L95" s="17" t="s">
        <v>473</v>
      </c>
      <c r="M95" s="17" t="s">
        <v>91</v>
      </c>
      <c r="N95" s="17" t="s">
        <v>595</v>
      </c>
      <c r="O95" s="17" t="s">
        <v>596</v>
      </c>
      <c r="P95" s="18" t="s">
        <v>597</v>
      </c>
      <c r="Q95" s="16" t="s">
        <v>113</v>
      </c>
      <c r="R95" s="18"/>
    </row>
    <row r="96" spans="1:18" ht="16.5" customHeight="1">
      <c r="A96" s="10">
        <v>95</v>
      </c>
      <c r="B96" s="10">
        <v>10</v>
      </c>
      <c r="C96" s="10">
        <v>43</v>
      </c>
      <c r="D96" s="11" t="s">
        <v>592</v>
      </c>
      <c r="E96" s="12" t="s">
        <v>598</v>
      </c>
      <c r="F96" s="11" t="s">
        <v>599</v>
      </c>
      <c r="G96" s="10"/>
      <c r="H96" s="13" t="s">
        <v>600</v>
      </c>
      <c r="I96" s="14" t="s">
        <v>601</v>
      </c>
      <c r="J96" s="15" t="s">
        <v>602</v>
      </c>
      <c r="K96" s="16" t="s">
        <v>82</v>
      </c>
      <c r="L96" s="17"/>
      <c r="M96" s="17"/>
      <c r="N96" s="17"/>
      <c r="O96" s="17"/>
      <c r="P96" s="18"/>
      <c r="Q96" s="16" t="s">
        <v>83</v>
      </c>
      <c r="R96" s="18"/>
    </row>
    <row r="97" spans="1:18" ht="26.25" customHeight="1">
      <c r="A97" s="10">
        <v>96</v>
      </c>
      <c r="B97" s="10">
        <v>10</v>
      </c>
      <c r="C97" s="10">
        <v>44</v>
      </c>
      <c r="D97" s="11" t="s">
        <v>598</v>
      </c>
      <c r="E97" s="19" t="s">
        <v>599</v>
      </c>
      <c r="F97" s="11" t="s">
        <v>603</v>
      </c>
      <c r="G97" s="10" t="s">
        <v>106</v>
      </c>
      <c r="H97" s="13" t="s">
        <v>604</v>
      </c>
      <c r="I97" s="14" t="s">
        <v>605</v>
      </c>
      <c r="J97" s="15" t="s">
        <v>606</v>
      </c>
      <c r="K97" s="16" t="s">
        <v>82</v>
      </c>
      <c r="L97" s="17"/>
      <c r="M97" s="17"/>
      <c r="N97" s="17"/>
      <c r="O97" s="17"/>
      <c r="P97" s="18"/>
      <c r="Q97" s="16" t="s">
        <v>83</v>
      </c>
      <c r="R97" s="18"/>
    </row>
    <row r="98" spans="1:18" ht="26.25" customHeight="1">
      <c r="A98" s="10">
        <v>97</v>
      </c>
      <c r="B98" s="10">
        <v>10</v>
      </c>
      <c r="C98" s="10">
        <v>45</v>
      </c>
      <c r="D98" s="11" t="s">
        <v>599</v>
      </c>
      <c r="E98" s="12" t="s">
        <v>603</v>
      </c>
      <c r="F98" s="11" t="s">
        <v>607</v>
      </c>
      <c r="G98" s="10"/>
      <c r="H98" s="13" t="s">
        <v>608</v>
      </c>
      <c r="I98" s="14" t="s">
        <v>609</v>
      </c>
      <c r="J98" s="15" t="s">
        <v>610</v>
      </c>
      <c r="K98" s="16" t="s">
        <v>82</v>
      </c>
      <c r="L98" s="17"/>
      <c r="M98" s="17"/>
      <c r="N98" s="17"/>
      <c r="O98" s="17"/>
      <c r="P98" s="18"/>
      <c r="Q98" s="16" t="s">
        <v>83</v>
      </c>
      <c r="R98" s="18"/>
    </row>
    <row r="99" spans="1:18" ht="16.5" customHeight="1">
      <c r="A99" s="10">
        <v>98</v>
      </c>
      <c r="B99" s="10">
        <v>11</v>
      </c>
      <c r="C99" s="10">
        <v>2</v>
      </c>
      <c r="D99" s="11" t="s">
        <v>611</v>
      </c>
      <c r="E99" s="12" t="s">
        <v>612</v>
      </c>
      <c r="F99" s="11" t="s">
        <v>613</v>
      </c>
      <c r="G99" s="10"/>
      <c r="H99" s="13" t="s">
        <v>614</v>
      </c>
      <c r="I99" s="14" t="s">
        <v>615</v>
      </c>
      <c r="J99" s="15" t="s">
        <v>616</v>
      </c>
      <c r="K99" s="16" t="s">
        <v>82</v>
      </c>
      <c r="L99" s="17"/>
      <c r="M99" s="17"/>
      <c r="N99" s="17"/>
      <c r="O99" s="17"/>
      <c r="P99" s="18"/>
      <c r="Q99" s="16" t="s">
        <v>83</v>
      </c>
      <c r="R99" s="18"/>
    </row>
    <row r="100" spans="1:18" ht="16.5" customHeight="1">
      <c r="A100" s="10">
        <v>99</v>
      </c>
      <c r="B100" s="10">
        <v>11</v>
      </c>
      <c r="C100" s="10">
        <v>3</v>
      </c>
      <c r="D100" s="11" t="s">
        <v>612</v>
      </c>
      <c r="E100" s="19" t="s">
        <v>613</v>
      </c>
      <c r="F100" s="11"/>
      <c r="G100" s="10" t="s">
        <v>160</v>
      </c>
      <c r="H100" s="13" t="s">
        <v>617</v>
      </c>
      <c r="I100" s="14" t="s">
        <v>618</v>
      </c>
      <c r="J100" s="15" t="s">
        <v>619</v>
      </c>
      <c r="K100" s="16" t="s">
        <v>89</v>
      </c>
      <c r="L100" s="17" t="s">
        <v>90</v>
      </c>
      <c r="M100" s="17" t="s">
        <v>91</v>
      </c>
      <c r="N100" s="17" t="s">
        <v>620</v>
      </c>
      <c r="O100" s="17" t="s">
        <v>621</v>
      </c>
      <c r="P100" s="18" t="s">
        <v>622</v>
      </c>
      <c r="Q100" s="16" t="s">
        <v>83</v>
      </c>
      <c r="R100" s="18"/>
    </row>
    <row r="101" spans="1:18" ht="16.5" customHeight="1">
      <c r="A101" s="10">
        <v>100</v>
      </c>
      <c r="B101" s="10">
        <v>12</v>
      </c>
      <c r="C101" s="10">
        <v>1</v>
      </c>
      <c r="D101" s="11"/>
      <c r="E101" s="12" t="s">
        <v>623</v>
      </c>
      <c r="F101" s="11" t="s">
        <v>624</v>
      </c>
      <c r="G101" s="10"/>
      <c r="H101" s="13" t="s">
        <v>625</v>
      </c>
      <c r="I101" s="14" t="s">
        <v>626</v>
      </c>
      <c r="J101" s="15" t="s">
        <v>627</v>
      </c>
      <c r="K101" s="16" t="s">
        <v>82</v>
      </c>
      <c r="L101" s="17"/>
      <c r="M101" s="17"/>
      <c r="N101" s="17"/>
      <c r="O101" s="17"/>
      <c r="P101" s="18"/>
      <c r="Q101" s="16" t="s">
        <v>83</v>
      </c>
      <c r="R101" s="18"/>
    </row>
    <row r="102" spans="1:18" ht="16.5" customHeight="1">
      <c r="A102" s="10">
        <v>101</v>
      </c>
      <c r="B102" s="10">
        <v>12</v>
      </c>
      <c r="C102" s="10">
        <v>2</v>
      </c>
      <c r="D102" s="11" t="s">
        <v>623</v>
      </c>
      <c r="E102" s="12" t="s">
        <v>624</v>
      </c>
      <c r="F102" s="11" t="s">
        <v>628</v>
      </c>
      <c r="G102" s="10"/>
      <c r="H102" s="13" t="s">
        <v>629</v>
      </c>
      <c r="I102" s="14" t="s">
        <v>630</v>
      </c>
      <c r="J102" s="15" t="s">
        <v>631</v>
      </c>
      <c r="K102" s="16" t="s">
        <v>82</v>
      </c>
      <c r="L102" s="17"/>
      <c r="M102" s="17"/>
      <c r="N102" s="17"/>
      <c r="O102" s="17"/>
      <c r="P102" s="18"/>
      <c r="Q102" s="16" t="s">
        <v>83</v>
      </c>
      <c r="R102" s="18"/>
    </row>
    <row r="103" spans="1:18" ht="16.5" customHeight="1">
      <c r="A103" s="10">
        <v>102</v>
      </c>
      <c r="B103" s="10">
        <v>12</v>
      </c>
      <c r="C103" s="10">
        <v>3</v>
      </c>
      <c r="D103" s="11" t="s">
        <v>624</v>
      </c>
      <c r="E103" s="19" t="s">
        <v>628</v>
      </c>
      <c r="F103" s="11" t="s">
        <v>632</v>
      </c>
      <c r="G103" s="10" t="s">
        <v>633</v>
      </c>
      <c r="H103" s="13" t="s">
        <v>634</v>
      </c>
      <c r="I103" s="14" t="s">
        <v>635</v>
      </c>
      <c r="J103" s="15" t="s">
        <v>636</v>
      </c>
      <c r="K103" s="16" t="s">
        <v>82</v>
      </c>
      <c r="L103" s="17"/>
      <c r="M103" s="17"/>
      <c r="N103" s="17"/>
      <c r="O103" s="17"/>
      <c r="P103" s="18"/>
      <c r="Q103" s="16" t="s">
        <v>83</v>
      </c>
      <c r="R103" s="18"/>
    </row>
    <row r="104" spans="1:18" ht="16.5" customHeight="1">
      <c r="A104" s="10">
        <v>103</v>
      </c>
      <c r="B104" s="10">
        <v>12</v>
      </c>
      <c r="C104" s="10">
        <v>4</v>
      </c>
      <c r="D104" s="11" t="s">
        <v>628</v>
      </c>
      <c r="E104" s="12" t="s">
        <v>632</v>
      </c>
      <c r="F104" s="11" t="s">
        <v>637</v>
      </c>
      <c r="G104" s="10"/>
      <c r="H104" s="13" t="s">
        <v>638</v>
      </c>
      <c r="I104" s="14" t="s">
        <v>639</v>
      </c>
      <c r="J104" s="15" t="s">
        <v>640</v>
      </c>
      <c r="K104" s="16" t="s">
        <v>82</v>
      </c>
      <c r="L104" s="17"/>
      <c r="M104" s="17"/>
      <c r="N104" s="17"/>
      <c r="O104" s="17"/>
      <c r="P104" s="18"/>
      <c r="Q104" s="16" t="s">
        <v>83</v>
      </c>
      <c r="R104" s="18"/>
    </row>
    <row r="105" spans="1:18" ht="16.5" customHeight="1">
      <c r="A105" s="10">
        <v>104</v>
      </c>
      <c r="B105" s="10">
        <v>12</v>
      </c>
      <c r="C105" s="10">
        <v>5</v>
      </c>
      <c r="D105" s="11" t="s">
        <v>632</v>
      </c>
      <c r="E105" s="12" t="s">
        <v>637</v>
      </c>
      <c r="F105" s="11" t="s">
        <v>641</v>
      </c>
      <c r="G105" s="10"/>
      <c r="H105" s="13" t="s">
        <v>642</v>
      </c>
      <c r="I105" s="14" t="s">
        <v>643</v>
      </c>
      <c r="J105" s="15" t="s">
        <v>644</v>
      </c>
      <c r="K105" s="16" t="s">
        <v>82</v>
      </c>
      <c r="L105" s="17"/>
      <c r="M105" s="17"/>
      <c r="N105" s="17"/>
      <c r="O105" s="17"/>
      <c r="P105" s="18"/>
      <c r="Q105" s="16" t="s">
        <v>83</v>
      </c>
      <c r="R105" s="18"/>
    </row>
    <row r="106" spans="1:18" ht="16.5" customHeight="1">
      <c r="A106" s="10">
        <v>105</v>
      </c>
      <c r="B106" s="10">
        <v>12</v>
      </c>
      <c r="C106" s="10">
        <v>6</v>
      </c>
      <c r="D106" s="11" t="s">
        <v>637</v>
      </c>
      <c r="E106" s="19" t="s">
        <v>641</v>
      </c>
      <c r="F106" s="11" t="s">
        <v>645</v>
      </c>
      <c r="G106" s="10" t="s">
        <v>646</v>
      </c>
      <c r="H106" s="13" t="s">
        <v>647</v>
      </c>
      <c r="I106" s="14" t="s">
        <v>648</v>
      </c>
      <c r="J106" s="15" t="s">
        <v>649</v>
      </c>
      <c r="K106" s="16" t="s">
        <v>82</v>
      </c>
      <c r="L106" s="17"/>
      <c r="M106" s="17"/>
      <c r="N106" s="17"/>
      <c r="O106" s="17"/>
      <c r="P106" s="18"/>
      <c r="Q106" s="16" t="s">
        <v>83</v>
      </c>
      <c r="R106" s="18"/>
    </row>
    <row r="107" spans="1:18" ht="16.5" customHeight="1">
      <c r="A107" s="10">
        <v>106</v>
      </c>
      <c r="B107" s="10">
        <v>12</v>
      </c>
      <c r="C107" s="10">
        <v>7</v>
      </c>
      <c r="D107" s="11" t="s">
        <v>641</v>
      </c>
      <c r="E107" s="12" t="s">
        <v>645</v>
      </c>
      <c r="F107" s="11" t="s">
        <v>650</v>
      </c>
      <c r="G107" s="10"/>
      <c r="H107" s="13" t="s">
        <v>651</v>
      </c>
      <c r="I107" s="14" t="s">
        <v>652</v>
      </c>
      <c r="J107" s="15" t="s">
        <v>653</v>
      </c>
      <c r="K107" s="16" t="s">
        <v>82</v>
      </c>
      <c r="L107" s="17"/>
      <c r="M107" s="17"/>
      <c r="N107" s="17"/>
      <c r="O107" s="17"/>
      <c r="P107" s="18"/>
      <c r="Q107" s="16" t="s">
        <v>83</v>
      </c>
      <c r="R107" s="18"/>
    </row>
    <row r="108" spans="1:18" ht="16.5" customHeight="1">
      <c r="A108" s="10">
        <v>107</v>
      </c>
      <c r="B108" s="10">
        <v>12</v>
      </c>
      <c r="C108" s="10">
        <v>13</v>
      </c>
      <c r="D108" s="11" t="s">
        <v>654</v>
      </c>
      <c r="E108" s="12" t="s">
        <v>655</v>
      </c>
      <c r="F108" s="11" t="s">
        <v>656</v>
      </c>
      <c r="G108" s="10"/>
      <c r="H108" s="13" t="s">
        <v>657</v>
      </c>
      <c r="I108" s="14" t="s">
        <v>658</v>
      </c>
      <c r="J108" s="15" t="s">
        <v>659</v>
      </c>
      <c r="K108" s="16" t="s">
        <v>82</v>
      </c>
      <c r="L108" s="17"/>
      <c r="M108" s="17"/>
      <c r="N108" s="17"/>
      <c r="O108" s="17"/>
      <c r="P108" s="18"/>
      <c r="Q108" s="16" t="s">
        <v>83</v>
      </c>
      <c r="R108" s="18"/>
    </row>
    <row r="109" spans="1:18" ht="16.5" customHeight="1">
      <c r="A109" s="10">
        <v>108</v>
      </c>
      <c r="B109" s="10">
        <v>12</v>
      </c>
      <c r="C109" s="10">
        <v>14</v>
      </c>
      <c r="D109" s="11" t="s">
        <v>655</v>
      </c>
      <c r="E109" s="19" t="s">
        <v>656</v>
      </c>
      <c r="F109" s="11" t="s">
        <v>660</v>
      </c>
      <c r="G109" s="10" t="s">
        <v>85</v>
      </c>
      <c r="H109" s="13" t="s">
        <v>661</v>
      </c>
      <c r="I109" s="14" t="s">
        <v>662</v>
      </c>
      <c r="J109" s="15" t="s">
        <v>663</v>
      </c>
      <c r="K109" s="16" t="s">
        <v>82</v>
      </c>
      <c r="L109" s="17"/>
      <c r="M109" s="17"/>
      <c r="N109" s="17"/>
      <c r="O109" s="17"/>
      <c r="P109" s="18"/>
      <c r="Q109" s="16" t="s">
        <v>83</v>
      </c>
      <c r="R109" s="18"/>
    </row>
    <row r="110" spans="1:18" ht="16.5" customHeight="1">
      <c r="A110" s="10">
        <v>109</v>
      </c>
      <c r="B110" s="10">
        <v>12</v>
      </c>
      <c r="C110" s="10">
        <v>15</v>
      </c>
      <c r="D110" s="11" t="s">
        <v>656</v>
      </c>
      <c r="E110" s="12" t="s">
        <v>660</v>
      </c>
      <c r="F110" s="11" t="s">
        <v>664</v>
      </c>
      <c r="G110" s="10"/>
      <c r="H110" s="13" t="s">
        <v>665</v>
      </c>
      <c r="I110" s="14" t="s">
        <v>666</v>
      </c>
      <c r="J110" s="15" t="s">
        <v>667</v>
      </c>
      <c r="K110" s="16" t="s">
        <v>82</v>
      </c>
      <c r="L110" s="17"/>
      <c r="M110" s="17"/>
      <c r="N110" s="17"/>
      <c r="O110" s="17"/>
      <c r="P110" s="18"/>
      <c r="Q110" s="16" t="s">
        <v>83</v>
      </c>
      <c r="R110" s="18"/>
    </row>
    <row r="111" spans="1:18" ht="16.5" customHeight="1">
      <c r="A111" s="10">
        <v>110</v>
      </c>
      <c r="B111" s="10">
        <v>12</v>
      </c>
      <c r="C111" s="10">
        <v>19</v>
      </c>
      <c r="D111" s="11" t="s">
        <v>668</v>
      </c>
      <c r="E111" s="12" t="s">
        <v>669</v>
      </c>
      <c r="F111" s="11" t="s">
        <v>670</v>
      </c>
      <c r="G111" s="10"/>
      <c r="H111" s="13" t="s">
        <v>671</v>
      </c>
      <c r="I111" s="14" t="s">
        <v>672</v>
      </c>
      <c r="J111" s="15" t="s">
        <v>673</v>
      </c>
      <c r="K111" s="16" t="s">
        <v>82</v>
      </c>
      <c r="L111" s="17"/>
      <c r="M111" s="17"/>
      <c r="N111" s="17"/>
      <c r="O111" s="17"/>
      <c r="P111" s="18"/>
      <c r="Q111" s="16" t="s">
        <v>83</v>
      </c>
      <c r="R111" s="18"/>
    </row>
    <row r="112" spans="1:18" ht="16.5" customHeight="1">
      <c r="A112" s="10">
        <v>111</v>
      </c>
      <c r="B112" s="10">
        <v>12</v>
      </c>
      <c r="C112" s="10">
        <v>20</v>
      </c>
      <c r="D112" s="11" t="s">
        <v>669</v>
      </c>
      <c r="E112" s="19" t="s">
        <v>670</v>
      </c>
      <c r="F112" s="11" t="s">
        <v>674</v>
      </c>
      <c r="G112" s="10" t="s">
        <v>133</v>
      </c>
      <c r="H112" s="13" t="s">
        <v>675</v>
      </c>
      <c r="I112" s="14" t="s">
        <v>676</v>
      </c>
      <c r="J112" s="15" t="s">
        <v>677</v>
      </c>
      <c r="K112" s="16" t="s">
        <v>89</v>
      </c>
      <c r="L112" s="17" t="s">
        <v>473</v>
      </c>
      <c r="M112" s="17" t="s">
        <v>91</v>
      </c>
      <c r="N112" s="17" t="s">
        <v>678</v>
      </c>
      <c r="O112" s="17" t="s">
        <v>679</v>
      </c>
      <c r="P112" s="18" t="s">
        <v>680</v>
      </c>
      <c r="Q112" s="16" t="s">
        <v>83</v>
      </c>
      <c r="R112" s="18"/>
    </row>
    <row r="113" spans="1:18" ht="16.5" customHeight="1">
      <c r="A113" s="10">
        <v>112</v>
      </c>
      <c r="B113" s="10">
        <v>12</v>
      </c>
      <c r="C113" s="10">
        <v>21</v>
      </c>
      <c r="D113" s="11" t="s">
        <v>670</v>
      </c>
      <c r="E113" s="12" t="s">
        <v>674</v>
      </c>
      <c r="F113" s="11" t="s">
        <v>681</v>
      </c>
      <c r="G113" s="10"/>
      <c r="H113" s="13" t="s">
        <v>682</v>
      </c>
      <c r="I113" s="14" t="s">
        <v>683</v>
      </c>
      <c r="J113" s="15" t="s">
        <v>683</v>
      </c>
      <c r="K113" s="16" t="s">
        <v>82</v>
      </c>
      <c r="L113" s="17"/>
      <c r="M113" s="17"/>
      <c r="N113" s="17"/>
      <c r="O113" s="17"/>
      <c r="P113" s="18"/>
      <c r="Q113" s="16" t="s">
        <v>83</v>
      </c>
      <c r="R113" s="18"/>
    </row>
    <row r="114" spans="1:18" ht="16.5" customHeight="1">
      <c r="A114" s="10">
        <v>113</v>
      </c>
      <c r="B114" s="10">
        <v>12</v>
      </c>
      <c r="C114" s="10">
        <v>28</v>
      </c>
      <c r="D114" s="11" t="s">
        <v>684</v>
      </c>
      <c r="E114" s="12" t="s">
        <v>685</v>
      </c>
      <c r="F114" s="11" t="s">
        <v>686</v>
      </c>
      <c r="G114" s="10"/>
      <c r="H114" s="13" t="s">
        <v>687</v>
      </c>
      <c r="I114" s="14" t="s">
        <v>688</v>
      </c>
      <c r="J114" s="15" t="s">
        <v>689</v>
      </c>
      <c r="K114" s="16" t="s">
        <v>82</v>
      </c>
      <c r="L114" s="17"/>
      <c r="M114" s="17"/>
      <c r="N114" s="17"/>
      <c r="O114" s="17"/>
      <c r="P114" s="18"/>
      <c r="Q114" s="16" t="s">
        <v>83</v>
      </c>
      <c r="R114" s="18"/>
    </row>
    <row r="115" spans="1:18" ht="16.5" customHeight="1">
      <c r="A115" s="10">
        <v>114</v>
      </c>
      <c r="B115" s="10">
        <v>12</v>
      </c>
      <c r="C115" s="10">
        <v>29</v>
      </c>
      <c r="D115" s="11" t="s">
        <v>685</v>
      </c>
      <c r="E115" s="19" t="s">
        <v>686</v>
      </c>
      <c r="F115" s="11"/>
      <c r="G115" s="10" t="s">
        <v>160</v>
      </c>
      <c r="H115" s="13" t="s">
        <v>690</v>
      </c>
      <c r="I115" s="14" t="s">
        <v>691</v>
      </c>
      <c r="J115" s="15" t="s">
        <v>692</v>
      </c>
      <c r="K115" s="16" t="s">
        <v>82</v>
      </c>
      <c r="L115" s="17"/>
      <c r="M115" s="17"/>
      <c r="N115" s="17"/>
      <c r="O115" s="17"/>
      <c r="P115" s="18"/>
      <c r="Q115" s="16" t="s">
        <v>83</v>
      </c>
      <c r="R115" s="18"/>
    </row>
    <row r="116" spans="1:18" ht="16.5" customHeight="1">
      <c r="A116" s="10">
        <v>115</v>
      </c>
      <c r="B116" s="10">
        <v>13</v>
      </c>
      <c r="C116" s="10">
        <v>1</v>
      </c>
      <c r="D116" s="11"/>
      <c r="E116" s="12" t="s">
        <v>693</v>
      </c>
      <c r="F116" s="11" t="s">
        <v>694</v>
      </c>
      <c r="G116" s="10"/>
      <c r="H116" s="13" t="s">
        <v>695</v>
      </c>
      <c r="I116" s="14" t="s">
        <v>696</v>
      </c>
      <c r="J116" s="15" t="s">
        <v>697</v>
      </c>
      <c r="K116" s="16" t="s">
        <v>82</v>
      </c>
      <c r="L116" s="17"/>
      <c r="M116" s="17"/>
      <c r="N116" s="17"/>
      <c r="O116" s="17"/>
      <c r="P116" s="18"/>
      <c r="Q116" s="16" t="s">
        <v>83</v>
      </c>
      <c r="R116" s="18"/>
    </row>
    <row r="117" spans="1:18" ht="16.5" customHeight="1">
      <c r="A117" s="10">
        <v>116</v>
      </c>
      <c r="B117" s="10">
        <v>13</v>
      </c>
      <c r="C117" s="10">
        <v>4</v>
      </c>
      <c r="D117" s="11" t="s">
        <v>698</v>
      </c>
      <c r="E117" s="12" t="s">
        <v>699</v>
      </c>
      <c r="F117" s="11" t="s">
        <v>700</v>
      </c>
      <c r="G117" s="10"/>
      <c r="H117" s="13" t="s">
        <v>701</v>
      </c>
      <c r="I117" s="14" t="s">
        <v>702</v>
      </c>
      <c r="J117" s="15" t="s">
        <v>703</v>
      </c>
      <c r="K117" s="16" t="s">
        <v>82</v>
      </c>
      <c r="L117" s="17"/>
      <c r="M117" s="17"/>
      <c r="N117" s="17"/>
      <c r="O117" s="17"/>
      <c r="P117" s="18"/>
      <c r="Q117" s="16" t="s">
        <v>83</v>
      </c>
      <c r="R117" s="18"/>
    </row>
    <row r="118" spans="1:18" ht="26.25" customHeight="1">
      <c r="A118" s="10">
        <v>117</v>
      </c>
      <c r="B118" s="10">
        <v>13</v>
      </c>
      <c r="C118" s="10">
        <v>5</v>
      </c>
      <c r="D118" s="11" t="s">
        <v>699</v>
      </c>
      <c r="E118" s="19" t="s">
        <v>700</v>
      </c>
      <c r="F118" s="11" t="s">
        <v>704</v>
      </c>
      <c r="G118" s="10" t="s">
        <v>705</v>
      </c>
      <c r="H118" s="13" t="s">
        <v>706</v>
      </c>
      <c r="I118" s="14" t="s">
        <v>707</v>
      </c>
      <c r="J118" s="15" t="s">
        <v>708</v>
      </c>
      <c r="K118" s="16" t="s">
        <v>89</v>
      </c>
      <c r="L118" s="17" t="s">
        <v>155</v>
      </c>
      <c r="M118" s="17" t="s">
        <v>91</v>
      </c>
      <c r="N118" s="17" t="s">
        <v>709</v>
      </c>
      <c r="O118" s="17" t="s">
        <v>111</v>
      </c>
      <c r="P118" s="18" t="s">
        <v>710</v>
      </c>
      <c r="Q118" s="16" t="s">
        <v>113</v>
      </c>
      <c r="R118" s="18"/>
    </row>
    <row r="119" spans="1:18" ht="16.5" customHeight="1">
      <c r="A119" s="10">
        <v>118</v>
      </c>
      <c r="B119" s="10">
        <v>13</v>
      </c>
      <c r="C119" s="10">
        <v>6</v>
      </c>
      <c r="D119" s="11" t="s">
        <v>700</v>
      </c>
      <c r="E119" s="12" t="s">
        <v>704</v>
      </c>
      <c r="F119" s="11" t="s">
        <v>711</v>
      </c>
      <c r="G119" s="10"/>
      <c r="H119" s="13" t="s">
        <v>712</v>
      </c>
      <c r="I119" s="14" t="s">
        <v>713</v>
      </c>
      <c r="J119" s="15" t="s">
        <v>714</v>
      </c>
      <c r="K119" s="16" t="s">
        <v>82</v>
      </c>
      <c r="L119" s="17"/>
      <c r="M119" s="17"/>
      <c r="N119" s="17"/>
      <c r="O119" s="17"/>
      <c r="P119" s="18"/>
      <c r="Q119" s="16" t="s">
        <v>83</v>
      </c>
      <c r="R119" s="18"/>
    </row>
    <row r="120" spans="1:18" ht="16.5" customHeight="1">
      <c r="A120" s="10">
        <v>119</v>
      </c>
      <c r="B120" s="10">
        <v>14</v>
      </c>
      <c r="C120" s="10">
        <v>4</v>
      </c>
      <c r="D120" s="11" t="s">
        <v>715</v>
      </c>
      <c r="E120" s="12" t="s">
        <v>716</v>
      </c>
      <c r="F120" s="11" t="s">
        <v>717</v>
      </c>
      <c r="G120" s="10"/>
      <c r="H120" s="13" t="s">
        <v>718</v>
      </c>
      <c r="I120" s="14" t="s">
        <v>719</v>
      </c>
      <c r="J120" s="15" t="s">
        <v>720</v>
      </c>
      <c r="K120" s="16" t="s">
        <v>82</v>
      </c>
      <c r="L120" s="17"/>
      <c r="M120" s="17"/>
      <c r="N120" s="17"/>
      <c r="O120" s="17"/>
      <c r="P120" s="18"/>
      <c r="Q120" s="16" t="s">
        <v>83</v>
      </c>
      <c r="R120" s="18"/>
    </row>
    <row r="121" spans="1:18" ht="16.5" customHeight="1">
      <c r="A121" s="10">
        <v>120</v>
      </c>
      <c r="B121" s="10">
        <v>14</v>
      </c>
      <c r="C121" s="10">
        <v>5</v>
      </c>
      <c r="D121" s="11" t="s">
        <v>716</v>
      </c>
      <c r="E121" s="19" t="s">
        <v>717</v>
      </c>
      <c r="F121" s="11" t="s">
        <v>721</v>
      </c>
      <c r="G121" s="10" t="s">
        <v>540</v>
      </c>
      <c r="H121" s="13" t="s">
        <v>722</v>
      </c>
      <c r="I121" s="14" t="s">
        <v>723</v>
      </c>
      <c r="J121" s="15" t="s">
        <v>724</v>
      </c>
      <c r="K121" s="16" t="s">
        <v>89</v>
      </c>
      <c r="L121" s="17" t="s">
        <v>90</v>
      </c>
      <c r="M121" s="17" t="s">
        <v>91</v>
      </c>
      <c r="N121" s="17" t="s">
        <v>725</v>
      </c>
      <c r="O121" s="17" t="s">
        <v>726</v>
      </c>
      <c r="P121" s="18" t="s">
        <v>727</v>
      </c>
      <c r="Q121" s="16" t="s">
        <v>148</v>
      </c>
      <c r="R121" s="18"/>
    </row>
    <row r="122" spans="1:18" ht="16.5" customHeight="1">
      <c r="A122" s="10">
        <v>121</v>
      </c>
      <c r="B122" s="10">
        <v>14</v>
      </c>
      <c r="C122" s="10">
        <v>6</v>
      </c>
      <c r="D122" s="11" t="s">
        <v>717</v>
      </c>
      <c r="E122" s="12" t="s">
        <v>721</v>
      </c>
      <c r="F122" s="11" t="s">
        <v>728</v>
      </c>
      <c r="G122" s="10"/>
      <c r="H122" s="13" t="s">
        <v>729</v>
      </c>
      <c r="I122" s="14" t="s">
        <v>730</v>
      </c>
      <c r="J122" s="15" t="s">
        <v>731</v>
      </c>
      <c r="K122" s="16" t="s">
        <v>82</v>
      </c>
      <c r="L122" s="17"/>
      <c r="M122" s="17"/>
      <c r="N122" s="17"/>
      <c r="O122" s="17"/>
      <c r="P122" s="18"/>
      <c r="Q122" s="16" t="s">
        <v>83</v>
      </c>
      <c r="R122" s="18"/>
    </row>
    <row r="123" spans="1:18" ht="16.5" customHeight="1">
      <c r="A123" s="10">
        <v>122</v>
      </c>
      <c r="B123" s="10">
        <v>14</v>
      </c>
      <c r="C123" s="10">
        <v>13</v>
      </c>
      <c r="D123" s="11" t="s">
        <v>732</v>
      </c>
      <c r="E123" s="12" t="s">
        <v>733</v>
      </c>
      <c r="F123" s="11" t="s">
        <v>734</v>
      </c>
      <c r="G123" s="10"/>
      <c r="H123" s="13" t="s">
        <v>735</v>
      </c>
      <c r="I123" s="14" t="s">
        <v>736</v>
      </c>
      <c r="J123" s="15" t="s">
        <v>737</v>
      </c>
      <c r="K123" s="16" t="s">
        <v>82</v>
      </c>
      <c r="L123" s="17"/>
      <c r="M123" s="17"/>
      <c r="N123" s="17"/>
      <c r="O123" s="17"/>
      <c r="P123" s="18"/>
      <c r="Q123" s="16" t="s">
        <v>83</v>
      </c>
      <c r="R123" s="18"/>
    </row>
    <row r="124" spans="1:18" ht="16.5" customHeight="1">
      <c r="A124" s="10">
        <v>123</v>
      </c>
      <c r="B124" s="10">
        <v>14</v>
      </c>
      <c r="C124" s="10">
        <v>14</v>
      </c>
      <c r="D124" s="11" t="s">
        <v>733</v>
      </c>
      <c r="E124" s="19" t="s">
        <v>734</v>
      </c>
      <c r="F124" s="11" t="s">
        <v>738</v>
      </c>
      <c r="G124" s="10" t="s">
        <v>739</v>
      </c>
      <c r="H124" s="13" t="s">
        <v>740</v>
      </c>
      <c r="I124" s="14" t="s">
        <v>741</v>
      </c>
      <c r="J124" s="15" t="s">
        <v>742</v>
      </c>
      <c r="K124" s="16" t="s">
        <v>82</v>
      </c>
      <c r="L124" s="17"/>
      <c r="M124" s="17"/>
      <c r="N124" s="17"/>
      <c r="O124" s="17"/>
      <c r="P124" s="18"/>
      <c r="Q124" s="16" t="s">
        <v>83</v>
      </c>
      <c r="R124" s="18"/>
    </row>
    <row r="125" spans="1:18" ht="16.5" customHeight="1">
      <c r="A125" s="10">
        <v>124</v>
      </c>
      <c r="B125" s="10">
        <v>14</v>
      </c>
      <c r="C125" s="10">
        <v>15</v>
      </c>
      <c r="D125" s="11" t="s">
        <v>734</v>
      </c>
      <c r="E125" s="12" t="s">
        <v>738</v>
      </c>
      <c r="F125" s="11" t="s">
        <v>743</v>
      </c>
      <c r="G125" s="10"/>
      <c r="H125" s="13" t="s">
        <v>744</v>
      </c>
      <c r="I125" s="14" t="s">
        <v>745</v>
      </c>
      <c r="J125" s="15" t="s">
        <v>746</v>
      </c>
      <c r="K125" s="16" t="s">
        <v>89</v>
      </c>
      <c r="L125" s="17" t="s">
        <v>90</v>
      </c>
      <c r="M125" s="17" t="s">
        <v>164</v>
      </c>
      <c r="N125" s="17" t="s">
        <v>747</v>
      </c>
      <c r="O125" s="17" t="s">
        <v>748</v>
      </c>
      <c r="P125" s="18" t="s">
        <v>749</v>
      </c>
      <c r="Q125" s="16" t="s">
        <v>83</v>
      </c>
      <c r="R125" s="18"/>
    </row>
    <row r="126" spans="1:18" ht="16.5" customHeight="1">
      <c r="A126" s="10">
        <v>125</v>
      </c>
      <c r="B126" s="10">
        <v>14</v>
      </c>
      <c r="C126" s="10">
        <v>20</v>
      </c>
      <c r="D126" s="11" t="s">
        <v>750</v>
      </c>
      <c r="E126" s="12" t="s">
        <v>751</v>
      </c>
      <c r="F126" s="11" t="s">
        <v>752</v>
      </c>
      <c r="G126" s="10"/>
      <c r="H126" s="13" t="s">
        <v>753</v>
      </c>
      <c r="I126" s="14" t="s">
        <v>754</v>
      </c>
      <c r="J126" s="15" t="s">
        <v>755</v>
      </c>
      <c r="K126" s="16" t="s">
        <v>82</v>
      </c>
      <c r="L126" s="17"/>
      <c r="M126" s="17"/>
      <c r="N126" s="17"/>
      <c r="O126" s="17"/>
      <c r="P126" s="18"/>
      <c r="Q126" s="16" t="s">
        <v>83</v>
      </c>
      <c r="R126" s="18"/>
    </row>
    <row r="127" spans="1:18" ht="26.25" customHeight="1">
      <c r="A127" s="10">
        <v>126</v>
      </c>
      <c r="B127" s="10">
        <v>14</v>
      </c>
      <c r="C127" s="10">
        <v>21</v>
      </c>
      <c r="D127" s="11" t="s">
        <v>751</v>
      </c>
      <c r="E127" s="19" t="s">
        <v>752</v>
      </c>
      <c r="F127" s="11" t="s">
        <v>756</v>
      </c>
      <c r="G127" s="10" t="s">
        <v>757</v>
      </c>
      <c r="H127" s="13" t="s">
        <v>758</v>
      </c>
      <c r="I127" s="14" t="s">
        <v>759</v>
      </c>
      <c r="J127" s="15" t="s">
        <v>760</v>
      </c>
      <c r="K127" s="16" t="s">
        <v>89</v>
      </c>
      <c r="L127" s="17" t="s">
        <v>90</v>
      </c>
      <c r="M127" s="17" t="s">
        <v>91</v>
      </c>
      <c r="N127" s="17" t="s">
        <v>761</v>
      </c>
      <c r="O127" s="17" t="s">
        <v>762</v>
      </c>
      <c r="P127" s="18" t="s">
        <v>763</v>
      </c>
      <c r="Q127" s="16" t="s">
        <v>83</v>
      </c>
      <c r="R127" s="18"/>
    </row>
    <row r="128" spans="1:18" ht="16.5" customHeight="1">
      <c r="A128" s="10">
        <v>127</v>
      </c>
      <c r="B128" s="10">
        <v>14</v>
      </c>
      <c r="C128" s="10">
        <v>22</v>
      </c>
      <c r="D128" s="11" t="s">
        <v>752</v>
      </c>
      <c r="E128" s="12" t="s">
        <v>756</v>
      </c>
      <c r="F128" s="11" t="s">
        <v>764</v>
      </c>
      <c r="G128" s="10"/>
      <c r="H128" s="13"/>
      <c r="I128" s="14" t="s">
        <v>765</v>
      </c>
      <c r="J128" s="15" t="s">
        <v>766</v>
      </c>
      <c r="K128" s="16" t="s">
        <v>82</v>
      </c>
      <c r="L128" s="17"/>
      <c r="M128" s="17"/>
      <c r="N128" s="17"/>
      <c r="O128" s="17"/>
      <c r="P128" s="18"/>
      <c r="Q128" s="16" t="s">
        <v>83</v>
      </c>
      <c r="R128" s="18"/>
    </row>
    <row r="129" spans="1:18" ht="16.5" customHeight="1">
      <c r="A129" s="10">
        <v>128</v>
      </c>
      <c r="B129" s="10">
        <v>14</v>
      </c>
      <c r="C129" s="10">
        <v>26</v>
      </c>
      <c r="D129" s="11" t="s">
        <v>767</v>
      </c>
      <c r="E129" s="12" t="s">
        <v>768</v>
      </c>
      <c r="F129" s="11" t="s">
        <v>769</v>
      </c>
      <c r="G129" s="10"/>
      <c r="H129" s="13" t="s">
        <v>770</v>
      </c>
      <c r="I129" s="14" t="s">
        <v>771</v>
      </c>
      <c r="J129" s="15" t="s">
        <v>772</v>
      </c>
      <c r="K129" s="16" t="s">
        <v>82</v>
      </c>
      <c r="L129" s="17"/>
      <c r="M129" s="17"/>
      <c r="N129" s="17"/>
      <c r="O129" s="17"/>
      <c r="P129" s="18"/>
      <c r="Q129" s="16" t="s">
        <v>83</v>
      </c>
      <c r="R129" s="18"/>
    </row>
    <row r="130" spans="1:18" ht="16.5" customHeight="1">
      <c r="A130" s="10">
        <v>129</v>
      </c>
      <c r="B130" s="10">
        <v>14</v>
      </c>
      <c r="C130" s="10">
        <v>27</v>
      </c>
      <c r="D130" s="11" t="s">
        <v>768</v>
      </c>
      <c r="E130" s="19" t="s">
        <v>769</v>
      </c>
      <c r="F130" s="11" t="s">
        <v>773</v>
      </c>
      <c r="G130" s="10" t="s">
        <v>774</v>
      </c>
      <c r="H130" s="13" t="s">
        <v>775</v>
      </c>
      <c r="I130" s="14" t="s">
        <v>776</v>
      </c>
      <c r="J130" s="15" t="s">
        <v>777</v>
      </c>
      <c r="K130" s="16" t="s">
        <v>82</v>
      </c>
      <c r="L130" s="17"/>
      <c r="M130" s="17"/>
      <c r="N130" s="17"/>
      <c r="O130" s="17"/>
      <c r="P130" s="18"/>
      <c r="Q130" s="16" t="s">
        <v>83</v>
      </c>
      <c r="R130" s="18"/>
    </row>
    <row r="131" spans="1:18" ht="16.5" customHeight="1">
      <c r="A131" s="10">
        <v>130</v>
      </c>
      <c r="B131" s="10">
        <v>14</v>
      </c>
      <c r="C131" s="10">
        <v>28</v>
      </c>
      <c r="D131" s="11" t="s">
        <v>769</v>
      </c>
      <c r="E131" s="12" t="s">
        <v>773</v>
      </c>
      <c r="F131" s="11" t="s">
        <v>764</v>
      </c>
      <c r="G131" s="10"/>
      <c r="H131" s="13" t="s">
        <v>778</v>
      </c>
      <c r="I131" s="14" t="s">
        <v>779</v>
      </c>
      <c r="J131" s="15" t="s">
        <v>780</v>
      </c>
      <c r="K131" s="16" t="s">
        <v>82</v>
      </c>
      <c r="L131" s="17"/>
      <c r="M131" s="17"/>
      <c r="N131" s="17"/>
      <c r="O131" s="17"/>
      <c r="P131" s="18"/>
      <c r="Q131" s="16" t="s">
        <v>83</v>
      </c>
      <c r="R131" s="18"/>
    </row>
    <row r="132" spans="1:18" ht="16.5" customHeight="1">
      <c r="A132" s="10">
        <v>131</v>
      </c>
      <c r="B132" s="10">
        <v>14</v>
      </c>
      <c r="C132" s="10">
        <v>61</v>
      </c>
      <c r="D132" s="11" t="s">
        <v>781</v>
      </c>
      <c r="E132" s="12" t="s">
        <v>782</v>
      </c>
      <c r="F132" s="11" t="s">
        <v>783</v>
      </c>
      <c r="G132" s="10"/>
      <c r="H132" s="13" t="s">
        <v>784</v>
      </c>
      <c r="I132" s="14" t="s">
        <v>785</v>
      </c>
      <c r="J132" s="15" t="s">
        <v>786</v>
      </c>
      <c r="K132" s="16" t="s">
        <v>82</v>
      </c>
      <c r="L132" s="17"/>
      <c r="M132" s="17"/>
      <c r="N132" s="17"/>
      <c r="O132" s="17"/>
      <c r="P132" s="18"/>
      <c r="Q132" s="16" t="s">
        <v>83</v>
      </c>
      <c r="R132" s="18"/>
    </row>
    <row r="133" spans="1:18" ht="16.5" customHeight="1">
      <c r="A133" s="10">
        <v>132</v>
      </c>
      <c r="B133" s="10">
        <v>14</v>
      </c>
      <c r="C133" s="10">
        <v>62</v>
      </c>
      <c r="D133" s="11" t="s">
        <v>782</v>
      </c>
      <c r="E133" s="19" t="s">
        <v>783</v>
      </c>
      <c r="F133" s="11" t="s">
        <v>787</v>
      </c>
      <c r="G133" s="10" t="s">
        <v>85</v>
      </c>
      <c r="H133" s="13" t="s">
        <v>788</v>
      </c>
      <c r="I133" s="14" t="s">
        <v>789</v>
      </c>
      <c r="J133" s="15" t="s">
        <v>790</v>
      </c>
      <c r="K133" s="16" t="s">
        <v>82</v>
      </c>
      <c r="L133" s="17"/>
      <c r="M133" s="17"/>
      <c r="N133" s="17"/>
      <c r="O133" s="17"/>
      <c r="P133" s="18"/>
      <c r="Q133" s="16" t="s">
        <v>83</v>
      </c>
      <c r="R133" s="18"/>
    </row>
    <row r="134" spans="1:18" ht="16.5" customHeight="1">
      <c r="A134" s="10">
        <v>133</v>
      </c>
      <c r="B134" s="10">
        <v>14</v>
      </c>
      <c r="C134" s="10">
        <v>63</v>
      </c>
      <c r="D134" s="11" t="s">
        <v>783</v>
      </c>
      <c r="E134" s="12" t="s">
        <v>787</v>
      </c>
      <c r="F134" s="11" t="s">
        <v>791</v>
      </c>
      <c r="G134" s="10"/>
      <c r="H134" s="13" t="s">
        <v>792</v>
      </c>
      <c r="I134" s="14" t="s">
        <v>793</v>
      </c>
      <c r="J134" s="15" t="s">
        <v>794</v>
      </c>
      <c r="K134" s="16" t="s">
        <v>82</v>
      </c>
      <c r="L134" s="17"/>
      <c r="M134" s="17"/>
      <c r="N134" s="17"/>
      <c r="O134" s="17"/>
      <c r="P134" s="18"/>
      <c r="Q134" s="16" t="s">
        <v>83</v>
      </c>
      <c r="R134" s="18"/>
    </row>
    <row r="135" spans="1:18" ht="26.25" customHeight="1">
      <c r="A135" s="10">
        <v>134</v>
      </c>
      <c r="B135" s="10">
        <v>14</v>
      </c>
      <c r="C135" s="10">
        <v>69</v>
      </c>
      <c r="D135" s="11" t="s">
        <v>795</v>
      </c>
      <c r="E135" s="12" t="s">
        <v>796</v>
      </c>
      <c r="F135" s="11" t="s">
        <v>797</v>
      </c>
      <c r="G135" s="10"/>
      <c r="H135" s="13" t="s">
        <v>798</v>
      </c>
      <c r="I135" s="14" t="s">
        <v>799</v>
      </c>
      <c r="J135" s="15" t="s">
        <v>800</v>
      </c>
      <c r="K135" s="16" t="s">
        <v>82</v>
      </c>
      <c r="L135" s="17"/>
      <c r="M135" s="17"/>
      <c r="N135" s="17"/>
      <c r="O135" s="17"/>
      <c r="P135" s="18"/>
      <c r="Q135" s="16" t="s">
        <v>83</v>
      </c>
      <c r="R135" s="18"/>
    </row>
    <row r="136" spans="1:18" ht="16.5" customHeight="1">
      <c r="A136" s="10">
        <v>135</v>
      </c>
      <c r="B136" s="10">
        <v>14</v>
      </c>
      <c r="C136" s="10">
        <v>70</v>
      </c>
      <c r="D136" s="11" t="s">
        <v>796</v>
      </c>
      <c r="E136" s="19" t="s">
        <v>797</v>
      </c>
      <c r="F136" s="11" t="s">
        <v>801</v>
      </c>
      <c r="G136" s="10" t="s">
        <v>802</v>
      </c>
      <c r="H136" s="13" t="s">
        <v>803</v>
      </c>
      <c r="I136" s="14" t="s">
        <v>804</v>
      </c>
      <c r="J136" s="15" t="s">
        <v>805</v>
      </c>
      <c r="K136" s="16" t="s">
        <v>82</v>
      </c>
      <c r="L136" s="17"/>
      <c r="M136" s="17"/>
      <c r="N136" s="17"/>
      <c r="O136" s="17"/>
      <c r="P136" s="18"/>
      <c r="Q136" s="16" t="s">
        <v>83</v>
      </c>
      <c r="R136" s="18"/>
    </row>
    <row r="137" spans="1:18" ht="16.5" customHeight="1">
      <c r="A137" s="10">
        <v>136</v>
      </c>
      <c r="B137" s="10">
        <v>14</v>
      </c>
      <c r="C137" s="10">
        <v>71</v>
      </c>
      <c r="D137" s="11" t="s">
        <v>797</v>
      </c>
      <c r="E137" s="12" t="s">
        <v>801</v>
      </c>
      <c r="F137" s="11" t="s">
        <v>160</v>
      </c>
      <c r="G137" s="10"/>
      <c r="H137" s="13" t="s">
        <v>806</v>
      </c>
      <c r="I137" s="14" t="s">
        <v>807</v>
      </c>
      <c r="J137" s="15" t="s">
        <v>808</v>
      </c>
      <c r="K137" s="16" t="s">
        <v>82</v>
      </c>
      <c r="L137" s="17"/>
      <c r="M137" s="17"/>
      <c r="N137" s="17"/>
      <c r="O137" s="17"/>
      <c r="P137" s="18"/>
      <c r="Q137" s="16" t="s">
        <v>83</v>
      </c>
      <c r="R137" s="18"/>
    </row>
    <row r="138" spans="1:18" ht="16.5" customHeight="1">
      <c r="A138" s="10">
        <v>137</v>
      </c>
      <c r="B138" s="10">
        <v>14</v>
      </c>
      <c r="C138" s="10">
        <v>72</v>
      </c>
      <c r="D138" s="11" t="s">
        <v>801</v>
      </c>
      <c r="E138" s="19" t="s">
        <v>160</v>
      </c>
      <c r="F138" s="11" t="s">
        <v>809</v>
      </c>
      <c r="G138" s="10" t="s">
        <v>160</v>
      </c>
      <c r="H138" s="13" t="s">
        <v>229</v>
      </c>
      <c r="I138" s="14" t="s">
        <v>810</v>
      </c>
      <c r="J138" s="15" t="s">
        <v>811</v>
      </c>
      <c r="K138" s="16" t="s">
        <v>82</v>
      </c>
      <c r="L138" s="17"/>
      <c r="M138" s="17"/>
      <c r="N138" s="17"/>
      <c r="O138" s="17"/>
      <c r="P138" s="18"/>
      <c r="Q138" s="16" t="s">
        <v>83</v>
      </c>
      <c r="R138" s="18"/>
    </row>
    <row r="139" spans="1:18" ht="16.5" customHeight="1">
      <c r="A139" s="10">
        <v>138</v>
      </c>
      <c r="B139" s="10">
        <v>14</v>
      </c>
      <c r="C139" s="10">
        <v>73</v>
      </c>
      <c r="D139" s="11" t="s">
        <v>160</v>
      </c>
      <c r="E139" s="19" t="s">
        <v>809</v>
      </c>
      <c r="F139" s="11"/>
      <c r="G139" s="10" t="s">
        <v>802</v>
      </c>
      <c r="H139" s="13" t="s">
        <v>812</v>
      </c>
      <c r="I139" s="14" t="s">
        <v>813</v>
      </c>
      <c r="J139" s="15" t="s">
        <v>814</v>
      </c>
      <c r="K139" s="16" t="s">
        <v>82</v>
      </c>
      <c r="L139" s="17"/>
      <c r="M139" s="17"/>
      <c r="N139" s="17"/>
      <c r="O139" s="17"/>
      <c r="P139" s="18"/>
      <c r="Q139" s="16" t="s">
        <v>83</v>
      </c>
      <c r="R139" s="18"/>
    </row>
    <row r="140" spans="1:18" ht="16.5" customHeight="1">
      <c r="A140" s="10">
        <v>139</v>
      </c>
      <c r="B140" s="10">
        <v>15</v>
      </c>
      <c r="C140" s="10">
        <v>1</v>
      </c>
      <c r="D140" s="11"/>
      <c r="E140" s="12" t="s">
        <v>815</v>
      </c>
      <c r="F140" s="11" t="s">
        <v>816</v>
      </c>
      <c r="G140" s="10"/>
      <c r="H140" s="13" t="s">
        <v>817</v>
      </c>
      <c r="I140" s="14" t="s">
        <v>818</v>
      </c>
      <c r="J140" s="15" t="s">
        <v>819</v>
      </c>
      <c r="K140" s="16" t="s">
        <v>82</v>
      </c>
      <c r="L140" s="17"/>
      <c r="M140" s="17"/>
      <c r="N140" s="17"/>
      <c r="O140" s="17"/>
      <c r="P140" s="18"/>
      <c r="Q140" s="16" t="s">
        <v>83</v>
      </c>
      <c r="R140" s="18"/>
    </row>
    <row r="141" spans="1:18" ht="16.5" customHeight="1">
      <c r="A141" s="10">
        <v>140</v>
      </c>
      <c r="B141" s="10">
        <v>15</v>
      </c>
      <c r="C141" s="10">
        <v>11</v>
      </c>
      <c r="D141" s="11" t="s">
        <v>820</v>
      </c>
      <c r="E141" s="12" t="s">
        <v>821</v>
      </c>
      <c r="F141" s="11" t="s">
        <v>822</v>
      </c>
      <c r="G141" s="10"/>
      <c r="H141" s="13" t="s">
        <v>823</v>
      </c>
      <c r="I141" s="14" t="s">
        <v>824</v>
      </c>
      <c r="J141" s="15" t="s">
        <v>825</v>
      </c>
      <c r="K141" s="16" t="s">
        <v>82</v>
      </c>
      <c r="L141" s="17"/>
      <c r="M141" s="17"/>
      <c r="N141" s="17"/>
      <c r="O141" s="17"/>
      <c r="P141" s="18"/>
      <c r="Q141" s="16" t="s">
        <v>83</v>
      </c>
      <c r="R141" s="18"/>
    </row>
    <row r="142" spans="1:18" ht="16.5" customHeight="1">
      <c r="A142" s="10">
        <v>141</v>
      </c>
      <c r="B142" s="10">
        <v>15</v>
      </c>
      <c r="C142" s="10">
        <v>12</v>
      </c>
      <c r="D142" s="11" t="s">
        <v>821</v>
      </c>
      <c r="E142" s="19" t="s">
        <v>822</v>
      </c>
      <c r="F142" s="11" t="s">
        <v>826</v>
      </c>
      <c r="G142" s="10" t="s">
        <v>827</v>
      </c>
      <c r="H142" s="13" t="s">
        <v>828</v>
      </c>
      <c r="I142" s="14" t="s">
        <v>829</v>
      </c>
      <c r="J142" s="15" t="s">
        <v>830</v>
      </c>
      <c r="K142" s="16" t="s">
        <v>89</v>
      </c>
      <c r="L142" s="17" t="s">
        <v>128</v>
      </c>
      <c r="M142" s="17" t="s">
        <v>164</v>
      </c>
      <c r="N142" s="17" t="s">
        <v>831</v>
      </c>
      <c r="O142" s="17" t="s">
        <v>832</v>
      </c>
      <c r="P142" s="18" t="s">
        <v>833</v>
      </c>
      <c r="Q142" s="16" t="s">
        <v>83</v>
      </c>
      <c r="R142" s="18"/>
    </row>
    <row r="143" spans="1:18" ht="16.5" customHeight="1">
      <c r="A143" s="10">
        <v>142</v>
      </c>
      <c r="B143" s="10">
        <v>15</v>
      </c>
      <c r="C143" s="10">
        <v>13</v>
      </c>
      <c r="D143" s="11" t="s">
        <v>822</v>
      </c>
      <c r="E143" s="12" t="s">
        <v>826</v>
      </c>
      <c r="F143" s="11" t="s">
        <v>834</v>
      </c>
      <c r="G143" s="10"/>
      <c r="H143" s="13"/>
      <c r="I143" s="14" t="s">
        <v>835</v>
      </c>
      <c r="J143" s="15" t="s">
        <v>836</v>
      </c>
      <c r="K143" s="16" t="s">
        <v>82</v>
      </c>
      <c r="L143" s="17"/>
      <c r="M143" s="17"/>
      <c r="N143" s="17"/>
      <c r="O143" s="17"/>
      <c r="P143" s="18"/>
      <c r="Q143" s="16" t="s">
        <v>83</v>
      </c>
      <c r="R143" s="18"/>
    </row>
    <row r="144" spans="1:18" ht="16.5" customHeight="1">
      <c r="A144" s="10">
        <v>143</v>
      </c>
      <c r="B144" s="10">
        <v>15</v>
      </c>
      <c r="C144" s="10">
        <v>14</v>
      </c>
      <c r="D144" s="11" t="s">
        <v>826</v>
      </c>
      <c r="E144" s="19" t="s">
        <v>834</v>
      </c>
      <c r="F144" s="11" t="s">
        <v>837</v>
      </c>
      <c r="G144" s="10" t="s">
        <v>774</v>
      </c>
      <c r="H144" s="13" t="s">
        <v>838</v>
      </c>
      <c r="I144" s="14" t="s">
        <v>839</v>
      </c>
      <c r="J144" s="15" t="s">
        <v>840</v>
      </c>
      <c r="K144" s="16" t="s">
        <v>82</v>
      </c>
      <c r="L144" s="17"/>
      <c r="M144" s="17"/>
      <c r="N144" s="17"/>
      <c r="O144" s="17"/>
      <c r="P144" s="18"/>
      <c r="Q144" s="16" t="s">
        <v>83</v>
      </c>
      <c r="R144" s="18"/>
    </row>
    <row r="145" spans="1:18" ht="16.5" customHeight="1">
      <c r="A145" s="10">
        <v>144</v>
      </c>
      <c r="B145" s="10">
        <v>15</v>
      </c>
      <c r="C145" s="10">
        <v>15</v>
      </c>
      <c r="D145" s="11" t="s">
        <v>834</v>
      </c>
      <c r="E145" s="12" t="s">
        <v>837</v>
      </c>
      <c r="F145" s="11" t="s">
        <v>841</v>
      </c>
      <c r="G145" s="10"/>
      <c r="H145" s="13"/>
      <c r="I145" s="14" t="s">
        <v>842</v>
      </c>
      <c r="J145" s="15" t="s">
        <v>843</v>
      </c>
      <c r="K145" s="16" t="s">
        <v>82</v>
      </c>
      <c r="L145" s="17"/>
      <c r="M145" s="17"/>
      <c r="N145" s="17"/>
      <c r="O145" s="17"/>
      <c r="P145" s="18"/>
      <c r="Q145" s="16" t="s">
        <v>83</v>
      </c>
      <c r="R145" s="18"/>
    </row>
    <row r="146" spans="1:18" ht="16.5" customHeight="1">
      <c r="A146" s="10">
        <v>145</v>
      </c>
      <c r="B146" s="10">
        <v>15</v>
      </c>
      <c r="C146" s="10">
        <v>16</v>
      </c>
      <c r="D146" s="11" t="s">
        <v>837</v>
      </c>
      <c r="E146" s="12" t="s">
        <v>841</v>
      </c>
      <c r="F146" s="11" t="s">
        <v>844</v>
      </c>
      <c r="G146" s="10"/>
      <c r="H146" s="13" t="s">
        <v>845</v>
      </c>
      <c r="I146" s="14" t="s">
        <v>846</v>
      </c>
      <c r="J146" s="15" t="s">
        <v>847</v>
      </c>
      <c r="K146" s="16" t="s">
        <v>82</v>
      </c>
      <c r="L146" s="17"/>
      <c r="M146" s="17"/>
      <c r="N146" s="17"/>
      <c r="O146" s="17"/>
      <c r="P146" s="18"/>
      <c r="Q146" s="16" t="s">
        <v>83</v>
      </c>
      <c r="R146" s="18"/>
    </row>
    <row r="147" spans="1:18" ht="16.5" customHeight="1">
      <c r="A147" s="10">
        <v>146</v>
      </c>
      <c r="B147" s="10">
        <v>15</v>
      </c>
      <c r="C147" s="10">
        <v>17</v>
      </c>
      <c r="D147" s="11" t="s">
        <v>841</v>
      </c>
      <c r="E147" s="19" t="s">
        <v>844</v>
      </c>
      <c r="F147" s="11" t="s">
        <v>848</v>
      </c>
      <c r="G147" s="10" t="s">
        <v>774</v>
      </c>
      <c r="H147" s="13" t="s">
        <v>849</v>
      </c>
      <c r="I147" s="14" t="s">
        <v>850</v>
      </c>
      <c r="J147" s="15" t="s">
        <v>851</v>
      </c>
      <c r="K147" s="16" t="s">
        <v>82</v>
      </c>
      <c r="L147" s="17"/>
      <c r="M147" s="17"/>
      <c r="N147" s="17"/>
      <c r="O147" s="17"/>
      <c r="P147" s="18"/>
      <c r="Q147" s="16" t="s">
        <v>83</v>
      </c>
      <c r="R147" s="18"/>
    </row>
    <row r="148" spans="1:18" ht="16.5" customHeight="1">
      <c r="A148" s="10">
        <v>147</v>
      </c>
      <c r="B148" s="10">
        <v>15</v>
      </c>
      <c r="C148" s="10">
        <v>18</v>
      </c>
      <c r="D148" s="11" t="s">
        <v>844</v>
      </c>
      <c r="E148" s="12" t="s">
        <v>848</v>
      </c>
      <c r="F148" s="11" t="s">
        <v>852</v>
      </c>
      <c r="G148" s="10"/>
      <c r="H148" s="13"/>
      <c r="I148" s="14" t="s">
        <v>853</v>
      </c>
      <c r="J148" s="15" t="s">
        <v>854</v>
      </c>
      <c r="K148" s="16" t="s">
        <v>82</v>
      </c>
      <c r="L148" s="17"/>
      <c r="M148" s="17"/>
      <c r="N148" s="17"/>
      <c r="O148" s="17"/>
      <c r="P148" s="18"/>
      <c r="Q148" s="16" t="s">
        <v>83</v>
      </c>
      <c r="R148" s="18"/>
    </row>
    <row r="149" spans="1:18" ht="16.5" customHeight="1">
      <c r="A149" s="10">
        <v>148</v>
      </c>
      <c r="B149" s="10">
        <v>15</v>
      </c>
      <c r="C149" s="10">
        <v>26</v>
      </c>
      <c r="D149" s="11" t="s">
        <v>855</v>
      </c>
      <c r="E149" s="12" t="s">
        <v>856</v>
      </c>
      <c r="F149" s="11" t="s">
        <v>857</v>
      </c>
      <c r="G149" s="10"/>
      <c r="H149" s="13" t="s">
        <v>858</v>
      </c>
      <c r="I149" s="14" t="s">
        <v>859</v>
      </c>
      <c r="J149" s="15" t="s">
        <v>860</v>
      </c>
      <c r="K149" s="16" t="s">
        <v>82</v>
      </c>
      <c r="L149" s="17"/>
      <c r="M149" s="17"/>
      <c r="N149" s="17"/>
      <c r="O149" s="17"/>
      <c r="P149" s="18"/>
      <c r="Q149" s="16" t="s">
        <v>83</v>
      </c>
      <c r="R149" s="18"/>
    </row>
    <row r="150" spans="1:18" ht="16.5" customHeight="1">
      <c r="A150" s="10">
        <v>149</v>
      </c>
      <c r="B150" s="10">
        <v>15</v>
      </c>
      <c r="C150" s="10">
        <v>27</v>
      </c>
      <c r="D150" s="11" t="s">
        <v>856</v>
      </c>
      <c r="E150" s="19" t="s">
        <v>857</v>
      </c>
      <c r="F150" s="11" t="s">
        <v>861</v>
      </c>
      <c r="G150" s="10" t="s">
        <v>106</v>
      </c>
      <c r="H150" s="13" t="s">
        <v>862</v>
      </c>
      <c r="I150" s="14" t="s">
        <v>863</v>
      </c>
      <c r="J150" s="15" t="s">
        <v>864</v>
      </c>
      <c r="K150" s="16" t="s">
        <v>82</v>
      </c>
      <c r="L150" s="17"/>
      <c r="M150" s="17"/>
      <c r="N150" s="17"/>
      <c r="O150" s="17"/>
      <c r="P150" s="18"/>
      <c r="Q150" s="16" t="s">
        <v>83</v>
      </c>
      <c r="R150" s="18"/>
    </row>
    <row r="151" spans="1:18" ht="16.5" customHeight="1">
      <c r="A151" s="10">
        <v>150</v>
      </c>
      <c r="B151" s="10">
        <v>15</v>
      </c>
      <c r="C151" s="10">
        <v>28</v>
      </c>
      <c r="D151" s="11" t="s">
        <v>857</v>
      </c>
      <c r="E151" s="12" t="s">
        <v>861</v>
      </c>
      <c r="F151" s="11" t="s">
        <v>865</v>
      </c>
      <c r="G151" s="10"/>
      <c r="H151" s="13" t="s">
        <v>866</v>
      </c>
      <c r="I151" s="14" t="s">
        <v>867</v>
      </c>
      <c r="J151" s="15" t="s">
        <v>867</v>
      </c>
      <c r="K151" s="16" t="s">
        <v>82</v>
      </c>
      <c r="L151" s="17"/>
      <c r="M151" s="17"/>
      <c r="N151" s="17"/>
      <c r="O151" s="17"/>
      <c r="P151" s="18"/>
      <c r="Q151" s="16" t="s">
        <v>83</v>
      </c>
      <c r="R151" s="18"/>
    </row>
    <row r="152" spans="1:18" ht="16.5" customHeight="1">
      <c r="A152" s="10">
        <v>151</v>
      </c>
      <c r="B152" s="10">
        <v>15</v>
      </c>
      <c r="C152" s="10">
        <v>30</v>
      </c>
      <c r="D152" s="11" t="s">
        <v>865</v>
      </c>
      <c r="E152" s="12" t="s">
        <v>868</v>
      </c>
      <c r="F152" s="11" t="s">
        <v>869</v>
      </c>
      <c r="G152" s="10"/>
      <c r="H152" s="13" t="s">
        <v>870</v>
      </c>
      <c r="I152" s="14" t="s">
        <v>871</v>
      </c>
      <c r="J152" s="15" t="s">
        <v>872</v>
      </c>
      <c r="K152" s="16" t="s">
        <v>82</v>
      </c>
      <c r="L152" s="17"/>
      <c r="M152" s="17"/>
      <c r="N152" s="17"/>
      <c r="O152" s="17"/>
      <c r="P152" s="18"/>
      <c r="Q152" s="16" t="s">
        <v>83</v>
      </c>
      <c r="R152" s="18"/>
    </row>
    <row r="153" spans="1:18" ht="16.5" customHeight="1">
      <c r="A153" s="10">
        <v>152</v>
      </c>
      <c r="B153" s="10">
        <v>15</v>
      </c>
      <c r="C153" s="10">
        <v>31</v>
      </c>
      <c r="D153" s="11" t="s">
        <v>868</v>
      </c>
      <c r="E153" s="19" t="s">
        <v>869</v>
      </c>
      <c r="F153" s="11" t="s">
        <v>873</v>
      </c>
      <c r="G153" s="10" t="s">
        <v>874</v>
      </c>
      <c r="H153" s="13" t="s">
        <v>875</v>
      </c>
      <c r="I153" s="14" t="s">
        <v>876</v>
      </c>
      <c r="J153" s="15" t="s">
        <v>877</v>
      </c>
      <c r="K153" s="16" t="s">
        <v>89</v>
      </c>
      <c r="L153" s="17" t="s">
        <v>155</v>
      </c>
      <c r="M153" s="17" t="s">
        <v>91</v>
      </c>
      <c r="N153" s="17" t="s">
        <v>874</v>
      </c>
      <c r="O153" s="17" t="s">
        <v>878</v>
      </c>
      <c r="P153" s="18" t="s">
        <v>879</v>
      </c>
      <c r="Q153" s="16" t="s">
        <v>83</v>
      </c>
      <c r="R153" s="18"/>
    </row>
    <row r="154" spans="1:18" ht="16.5" customHeight="1">
      <c r="A154" s="10">
        <v>153</v>
      </c>
      <c r="B154" s="10">
        <v>15</v>
      </c>
      <c r="C154" s="10">
        <v>32</v>
      </c>
      <c r="D154" s="11" t="s">
        <v>869</v>
      </c>
      <c r="E154" s="12" t="s">
        <v>873</v>
      </c>
      <c r="F154" s="11" t="s">
        <v>880</v>
      </c>
      <c r="G154" s="10"/>
      <c r="H154" s="13" t="s">
        <v>881</v>
      </c>
      <c r="I154" s="14" t="s">
        <v>882</v>
      </c>
      <c r="J154" s="15" t="s">
        <v>883</v>
      </c>
      <c r="K154" s="16" t="s">
        <v>82</v>
      </c>
      <c r="L154" s="17"/>
      <c r="M154" s="17"/>
      <c r="N154" s="17"/>
      <c r="O154" s="17"/>
      <c r="P154" s="18"/>
      <c r="Q154" s="16" t="s">
        <v>83</v>
      </c>
      <c r="R154" s="18"/>
    </row>
    <row r="155" spans="1:18" ht="16.5" customHeight="1">
      <c r="A155" s="10">
        <v>154</v>
      </c>
      <c r="B155" s="10">
        <v>15</v>
      </c>
      <c r="C155" s="10">
        <v>40</v>
      </c>
      <c r="D155" s="11" t="s">
        <v>884</v>
      </c>
      <c r="E155" s="12" t="s">
        <v>885</v>
      </c>
      <c r="F155" s="11" t="s">
        <v>886</v>
      </c>
      <c r="G155" s="10"/>
      <c r="H155" s="13"/>
      <c r="I155" s="14" t="s">
        <v>887</v>
      </c>
      <c r="J155" s="15" t="s">
        <v>888</v>
      </c>
      <c r="K155" s="16" t="s">
        <v>82</v>
      </c>
      <c r="L155" s="17"/>
      <c r="M155" s="17"/>
      <c r="N155" s="17"/>
      <c r="O155" s="17"/>
      <c r="P155" s="18"/>
      <c r="Q155" s="16" t="s">
        <v>83</v>
      </c>
      <c r="R155" s="18"/>
    </row>
    <row r="156" spans="1:18" ht="16.5" customHeight="1">
      <c r="A156" s="10">
        <v>155</v>
      </c>
      <c r="B156" s="10">
        <v>15</v>
      </c>
      <c r="C156" s="10">
        <v>41</v>
      </c>
      <c r="D156" s="11" t="s">
        <v>885</v>
      </c>
      <c r="E156" s="19" t="s">
        <v>886</v>
      </c>
      <c r="F156" s="11" t="s">
        <v>889</v>
      </c>
      <c r="G156" s="10" t="s">
        <v>774</v>
      </c>
      <c r="H156" s="13" t="s">
        <v>890</v>
      </c>
      <c r="I156" s="14" t="s">
        <v>891</v>
      </c>
      <c r="J156" s="15" t="s">
        <v>892</v>
      </c>
      <c r="K156" s="16" t="s">
        <v>82</v>
      </c>
      <c r="L156" s="17"/>
      <c r="M156" s="17"/>
      <c r="N156" s="17"/>
      <c r="O156" s="17"/>
      <c r="P156" s="18"/>
      <c r="Q156" s="16" t="s">
        <v>83</v>
      </c>
      <c r="R156" s="18"/>
    </row>
    <row r="157" spans="1:18" ht="16.5" customHeight="1">
      <c r="A157" s="10">
        <v>156</v>
      </c>
      <c r="B157" s="10">
        <v>15</v>
      </c>
      <c r="C157" s="10">
        <v>42</v>
      </c>
      <c r="D157" s="11" t="s">
        <v>886</v>
      </c>
      <c r="E157" s="19" t="s">
        <v>889</v>
      </c>
      <c r="F157" s="11" t="s">
        <v>893</v>
      </c>
      <c r="G157" s="10" t="s">
        <v>774</v>
      </c>
      <c r="H157" s="13" t="s">
        <v>894</v>
      </c>
      <c r="I157" s="14" t="s">
        <v>895</v>
      </c>
      <c r="J157" s="15" t="s">
        <v>896</v>
      </c>
      <c r="K157" s="16" t="s">
        <v>82</v>
      </c>
      <c r="L157" s="17"/>
      <c r="M157" s="17"/>
      <c r="N157" s="17"/>
      <c r="O157" s="17"/>
      <c r="P157" s="18"/>
      <c r="Q157" s="16" t="s">
        <v>83</v>
      </c>
      <c r="R157" s="18"/>
    </row>
    <row r="158" spans="1:18" ht="16.5" customHeight="1">
      <c r="A158" s="10">
        <v>157</v>
      </c>
      <c r="B158" s="10">
        <v>15</v>
      </c>
      <c r="C158" s="10">
        <v>43</v>
      </c>
      <c r="D158" s="11" t="s">
        <v>889</v>
      </c>
      <c r="E158" s="12" t="s">
        <v>893</v>
      </c>
      <c r="F158" s="11" t="s">
        <v>897</v>
      </c>
      <c r="G158" s="10"/>
      <c r="H158" s="13" t="s">
        <v>898</v>
      </c>
      <c r="I158" s="14" t="s">
        <v>899</v>
      </c>
      <c r="J158" s="15" t="s">
        <v>900</v>
      </c>
      <c r="K158" s="16" t="s">
        <v>82</v>
      </c>
      <c r="L158" s="17"/>
      <c r="M158" s="17"/>
      <c r="N158" s="17"/>
      <c r="O158" s="17"/>
      <c r="P158" s="18"/>
      <c r="Q158" s="16" t="s">
        <v>83</v>
      </c>
      <c r="R158" s="18"/>
    </row>
    <row r="159" spans="1:18" ht="16.5" customHeight="1">
      <c r="A159" s="10">
        <v>158</v>
      </c>
      <c r="B159" s="10">
        <v>15</v>
      </c>
      <c r="C159" s="10">
        <v>46</v>
      </c>
      <c r="D159" s="11" t="s">
        <v>901</v>
      </c>
      <c r="E159" s="12" t="s">
        <v>902</v>
      </c>
      <c r="F159" s="11" t="s">
        <v>903</v>
      </c>
      <c r="G159" s="10"/>
      <c r="H159" s="13" t="s">
        <v>904</v>
      </c>
      <c r="I159" s="14" t="s">
        <v>905</v>
      </c>
      <c r="J159" s="15" t="s">
        <v>906</v>
      </c>
      <c r="K159" s="16" t="s">
        <v>82</v>
      </c>
      <c r="L159" s="17"/>
      <c r="M159" s="17"/>
      <c r="N159" s="17"/>
      <c r="O159" s="17"/>
      <c r="P159" s="18"/>
      <c r="Q159" s="16" t="s">
        <v>83</v>
      </c>
      <c r="R159" s="18"/>
    </row>
    <row r="160" spans="1:18" ht="16.5" customHeight="1">
      <c r="A160" s="10">
        <v>159</v>
      </c>
      <c r="B160" s="10">
        <v>15</v>
      </c>
      <c r="C160" s="10">
        <v>47</v>
      </c>
      <c r="D160" s="11" t="s">
        <v>902</v>
      </c>
      <c r="E160" s="19" t="s">
        <v>903</v>
      </c>
      <c r="F160" s="11" t="s">
        <v>907</v>
      </c>
      <c r="G160" s="10" t="s">
        <v>85</v>
      </c>
      <c r="H160" s="13" t="s">
        <v>908</v>
      </c>
      <c r="I160" s="14" t="s">
        <v>909</v>
      </c>
      <c r="J160" s="15" t="s">
        <v>910</v>
      </c>
      <c r="K160" s="16" t="s">
        <v>89</v>
      </c>
      <c r="L160" s="17" t="s">
        <v>90</v>
      </c>
      <c r="M160" s="17" t="s">
        <v>91</v>
      </c>
      <c r="N160" s="17" t="s">
        <v>911</v>
      </c>
      <c r="O160" s="17" t="s">
        <v>912</v>
      </c>
      <c r="P160" s="18" t="s">
        <v>913</v>
      </c>
      <c r="Q160" s="16" t="s">
        <v>83</v>
      </c>
      <c r="R160" s="18"/>
    </row>
    <row r="161" spans="1:18" ht="16.5" customHeight="1">
      <c r="A161" s="10">
        <v>160</v>
      </c>
      <c r="B161" s="10">
        <v>15</v>
      </c>
      <c r="C161" s="10">
        <v>48</v>
      </c>
      <c r="D161" s="11" t="s">
        <v>903</v>
      </c>
      <c r="E161" s="12" t="s">
        <v>907</v>
      </c>
      <c r="F161" s="11" t="s">
        <v>914</v>
      </c>
      <c r="G161" s="10"/>
      <c r="H161" s="13" t="s">
        <v>915</v>
      </c>
      <c r="I161" s="14" t="s">
        <v>916</v>
      </c>
      <c r="J161" s="15" t="s">
        <v>917</v>
      </c>
      <c r="K161" s="16" t="s">
        <v>82</v>
      </c>
      <c r="L161" s="17"/>
      <c r="M161" s="17"/>
      <c r="N161" s="17"/>
      <c r="O161" s="17"/>
      <c r="P161" s="18"/>
      <c r="Q161" s="16" t="s">
        <v>83</v>
      </c>
      <c r="R161" s="18"/>
    </row>
    <row r="162" spans="1:18" ht="16.5" customHeight="1">
      <c r="A162" s="10">
        <v>161</v>
      </c>
      <c r="B162" s="10">
        <v>15</v>
      </c>
      <c r="C162" s="10">
        <v>56</v>
      </c>
      <c r="D162" s="11" t="s">
        <v>918</v>
      </c>
      <c r="E162" s="12" t="s">
        <v>919</v>
      </c>
      <c r="F162" s="11" t="s">
        <v>920</v>
      </c>
      <c r="G162" s="10"/>
      <c r="H162" s="13"/>
      <c r="I162" s="14" t="s">
        <v>921</v>
      </c>
      <c r="J162" s="15" t="s">
        <v>922</v>
      </c>
      <c r="K162" s="16" t="s">
        <v>82</v>
      </c>
      <c r="L162" s="17"/>
      <c r="M162" s="17"/>
      <c r="N162" s="17"/>
      <c r="O162" s="17"/>
      <c r="P162" s="18"/>
      <c r="Q162" s="16" t="s">
        <v>83</v>
      </c>
      <c r="R162" s="18"/>
    </row>
    <row r="163" spans="1:18" ht="16.5" customHeight="1">
      <c r="A163" s="10">
        <v>162</v>
      </c>
      <c r="B163" s="10">
        <v>15</v>
      </c>
      <c r="C163" s="10">
        <v>57</v>
      </c>
      <c r="D163" s="11" t="s">
        <v>919</v>
      </c>
      <c r="E163" s="19" t="s">
        <v>920</v>
      </c>
      <c r="F163" s="11" t="s">
        <v>923</v>
      </c>
      <c r="G163" s="10" t="s">
        <v>160</v>
      </c>
      <c r="H163" s="13" t="s">
        <v>924</v>
      </c>
      <c r="I163" s="14" t="s">
        <v>925</v>
      </c>
      <c r="J163" s="15" t="s">
        <v>926</v>
      </c>
      <c r="K163" s="16" t="s">
        <v>82</v>
      </c>
      <c r="L163" s="17"/>
      <c r="M163" s="17"/>
      <c r="N163" s="17"/>
      <c r="O163" s="17"/>
      <c r="P163" s="18"/>
      <c r="Q163" s="16" t="s">
        <v>83</v>
      </c>
      <c r="R163" s="18"/>
    </row>
    <row r="164" spans="1:18" ht="16.5" customHeight="1">
      <c r="A164" s="10">
        <v>163</v>
      </c>
      <c r="B164" s="10">
        <v>15</v>
      </c>
      <c r="C164" s="10">
        <v>58</v>
      </c>
      <c r="D164" s="11" t="s">
        <v>920</v>
      </c>
      <c r="E164" s="12" t="s">
        <v>923</v>
      </c>
      <c r="F164" s="11" t="s">
        <v>927</v>
      </c>
      <c r="G164" s="10"/>
      <c r="H164" s="13" t="s">
        <v>928</v>
      </c>
      <c r="I164" s="14" t="s">
        <v>929</v>
      </c>
      <c r="J164" s="15" t="s">
        <v>930</v>
      </c>
      <c r="K164" s="16" t="s">
        <v>82</v>
      </c>
      <c r="L164" s="17"/>
      <c r="M164" s="17"/>
      <c r="N164" s="17"/>
      <c r="O164" s="17"/>
      <c r="P164" s="18"/>
      <c r="Q164" s="16" t="s">
        <v>83</v>
      </c>
      <c r="R164" s="18"/>
    </row>
    <row r="165" spans="1:18" ht="16.5" customHeight="1">
      <c r="A165" s="10">
        <v>164</v>
      </c>
      <c r="B165" s="10">
        <v>18</v>
      </c>
      <c r="C165" s="10">
        <v>18</v>
      </c>
      <c r="D165" s="11" t="s">
        <v>931</v>
      </c>
      <c r="E165" s="12" t="s">
        <v>932</v>
      </c>
      <c r="F165" s="11" t="s">
        <v>933</v>
      </c>
      <c r="G165" s="10"/>
      <c r="H165" s="13"/>
      <c r="I165" s="14" t="s">
        <v>934</v>
      </c>
      <c r="J165" s="15" t="s">
        <v>935</v>
      </c>
      <c r="K165" s="16" t="s">
        <v>82</v>
      </c>
      <c r="L165" s="17"/>
      <c r="M165" s="17"/>
      <c r="N165" s="17"/>
      <c r="O165" s="17"/>
      <c r="P165" s="18"/>
      <c r="Q165" s="16" t="s">
        <v>83</v>
      </c>
      <c r="R165" s="18"/>
    </row>
    <row r="166" spans="1:18" ht="16.5" customHeight="1">
      <c r="A166" s="10">
        <v>165</v>
      </c>
      <c r="B166" s="10">
        <v>18</v>
      </c>
      <c r="C166" s="10">
        <v>19</v>
      </c>
      <c r="D166" s="11" t="s">
        <v>932</v>
      </c>
      <c r="E166" s="19" t="s">
        <v>933</v>
      </c>
      <c r="F166" s="11"/>
      <c r="G166" s="10" t="s">
        <v>85</v>
      </c>
      <c r="H166" s="13" t="s">
        <v>936</v>
      </c>
      <c r="I166" s="14" t="s">
        <v>937</v>
      </c>
      <c r="J166" s="15" t="s">
        <v>938</v>
      </c>
      <c r="K166" s="16" t="s">
        <v>82</v>
      </c>
      <c r="L166" s="17"/>
      <c r="M166" s="17"/>
      <c r="N166" s="17"/>
      <c r="O166" s="17"/>
      <c r="P166" s="18"/>
      <c r="Q166" s="16" t="s">
        <v>83</v>
      </c>
      <c r="R166" s="18"/>
    </row>
    <row r="167" spans="1:18" ht="16.5" customHeight="1">
      <c r="A167" s="10">
        <v>166</v>
      </c>
      <c r="B167" s="10">
        <v>19</v>
      </c>
      <c r="C167" s="10">
        <v>1</v>
      </c>
      <c r="D167" s="11"/>
      <c r="E167" s="19" t="s">
        <v>939</v>
      </c>
      <c r="F167" s="11" t="s">
        <v>940</v>
      </c>
      <c r="G167" s="10" t="s">
        <v>774</v>
      </c>
      <c r="H167" s="13" t="s">
        <v>941</v>
      </c>
      <c r="I167" s="14" t="s">
        <v>942</v>
      </c>
      <c r="J167" s="15" t="s">
        <v>943</v>
      </c>
      <c r="K167" s="16" t="s">
        <v>82</v>
      </c>
      <c r="L167" s="17"/>
      <c r="M167" s="17"/>
      <c r="N167" s="17"/>
      <c r="O167" s="17"/>
      <c r="P167" s="18"/>
      <c r="Q167" s="16" t="s">
        <v>83</v>
      </c>
      <c r="R167" s="18"/>
    </row>
    <row r="168" spans="1:18" ht="16.5" customHeight="1">
      <c r="A168" s="10">
        <v>167</v>
      </c>
      <c r="B168" s="10">
        <v>19</v>
      </c>
      <c r="C168" s="10">
        <v>2</v>
      </c>
      <c r="D168" s="11" t="s">
        <v>939</v>
      </c>
      <c r="E168" s="12" t="s">
        <v>940</v>
      </c>
      <c r="F168" s="11" t="s">
        <v>944</v>
      </c>
      <c r="G168" s="10"/>
      <c r="H168" s="13"/>
      <c r="I168" s="14" t="s">
        <v>945</v>
      </c>
      <c r="J168" s="15" t="s">
        <v>946</v>
      </c>
      <c r="K168" s="16" t="s">
        <v>82</v>
      </c>
      <c r="L168" s="17"/>
      <c r="M168" s="17"/>
      <c r="N168" s="17"/>
      <c r="O168" s="17"/>
      <c r="P168" s="18"/>
      <c r="Q168" s="16" t="s">
        <v>83</v>
      </c>
      <c r="R168" s="18"/>
    </row>
    <row r="169" spans="1:18" ht="16.5" customHeight="1">
      <c r="A169" s="10">
        <v>168</v>
      </c>
      <c r="B169" s="10">
        <v>19</v>
      </c>
      <c r="C169" s="10">
        <v>3</v>
      </c>
      <c r="D169" s="11" t="s">
        <v>940</v>
      </c>
      <c r="E169" s="19" t="s">
        <v>944</v>
      </c>
      <c r="F169" s="11" t="s">
        <v>947</v>
      </c>
      <c r="G169" s="10" t="s">
        <v>774</v>
      </c>
      <c r="H169" s="13" t="s">
        <v>948</v>
      </c>
      <c r="I169" s="14" t="s">
        <v>949</v>
      </c>
      <c r="J169" s="15" t="s">
        <v>950</v>
      </c>
      <c r="K169" s="16" t="s">
        <v>82</v>
      </c>
      <c r="L169" s="17"/>
      <c r="M169" s="17"/>
      <c r="N169" s="17"/>
      <c r="O169" s="17"/>
      <c r="P169" s="18"/>
      <c r="Q169" s="16" t="s">
        <v>83</v>
      </c>
      <c r="R169" s="18"/>
    </row>
    <row r="170" spans="1:18" ht="16.5" customHeight="1">
      <c r="A170" s="10">
        <v>169</v>
      </c>
      <c r="B170" s="10">
        <v>19</v>
      </c>
      <c r="C170" s="10">
        <v>4</v>
      </c>
      <c r="D170" s="11" t="s">
        <v>944</v>
      </c>
      <c r="E170" s="12" t="s">
        <v>947</v>
      </c>
      <c r="F170" s="11" t="s">
        <v>951</v>
      </c>
      <c r="G170" s="10"/>
      <c r="H170" s="13"/>
      <c r="I170" s="14" t="s">
        <v>952</v>
      </c>
      <c r="J170" s="15" t="s">
        <v>953</v>
      </c>
      <c r="K170" s="16" t="s">
        <v>82</v>
      </c>
      <c r="L170" s="17"/>
      <c r="M170" s="17"/>
      <c r="N170" s="17"/>
      <c r="O170" s="17"/>
      <c r="P170" s="18"/>
      <c r="Q170" s="16" t="s">
        <v>83</v>
      </c>
      <c r="R170" s="18"/>
    </row>
    <row r="171" spans="1:18" ht="16.5" customHeight="1">
      <c r="A171" s="10">
        <v>170</v>
      </c>
      <c r="B171" s="10">
        <v>20</v>
      </c>
      <c r="C171" s="10">
        <v>11</v>
      </c>
      <c r="D171" s="11" t="s">
        <v>954</v>
      </c>
      <c r="E171" s="12" t="s">
        <v>955</v>
      </c>
      <c r="F171" s="11" t="s">
        <v>956</v>
      </c>
      <c r="G171" s="10"/>
      <c r="H171" s="13" t="s">
        <v>957</v>
      </c>
      <c r="I171" s="14" t="s">
        <v>958</v>
      </c>
      <c r="J171" s="15" t="s">
        <v>959</v>
      </c>
      <c r="K171" s="16" t="s">
        <v>82</v>
      </c>
      <c r="L171" s="17"/>
      <c r="M171" s="17"/>
      <c r="N171" s="17"/>
      <c r="O171" s="17"/>
      <c r="P171" s="18"/>
      <c r="Q171" s="16" t="s">
        <v>83</v>
      </c>
      <c r="R171" s="18"/>
    </row>
    <row r="172" spans="1:18" ht="16.5" customHeight="1">
      <c r="A172" s="10">
        <v>171</v>
      </c>
      <c r="B172" s="10">
        <v>20</v>
      </c>
      <c r="C172" s="10">
        <v>12</v>
      </c>
      <c r="D172" s="11" t="s">
        <v>955</v>
      </c>
      <c r="E172" s="19" t="s">
        <v>956</v>
      </c>
      <c r="F172" s="11" t="s">
        <v>960</v>
      </c>
      <c r="G172" s="10" t="s">
        <v>827</v>
      </c>
      <c r="H172" s="13" t="s">
        <v>961</v>
      </c>
      <c r="I172" s="14" t="s">
        <v>962</v>
      </c>
      <c r="J172" s="15" t="s">
        <v>963</v>
      </c>
      <c r="K172" s="16" t="s">
        <v>82</v>
      </c>
      <c r="L172" s="17"/>
      <c r="M172" s="17"/>
      <c r="N172" s="17"/>
      <c r="O172" s="17"/>
      <c r="P172" s="18"/>
      <c r="Q172" s="16" t="s">
        <v>83</v>
      </c>
      <c r="R172" s="18"/>
    </row>
    <row r="173" spans="1:18" ht="16.5" customHeight="1">
      <c r="A173" s="10">
        <v>172</v>
      </c>
      <c r="B173" s="10">
        <v>20</v>
      </c>
      <c r="C173" s="10">
        <v>13</v>
      </c>
      <c r="D173" s="11" t="s">
        <v>956</v>
      </c>
      <c r="E173" s="12" t="s">
        <v>960</v>
      </c>
      <c r="F173" s="11" t="s">
        <v>964</v>
      </c>
      <c r="G173" s="10"/>
      <c r="H173" s="13" t="s">
        <v>965</v>
      </c>
      <c r="I173" s="14" t="s">
        <v>966</v>
      </c>
      <c r="J173" s="15" t="s">
        <v>967</v>
      </c>
      <c r="K173" s="16" t="s">
        <v>82</v>
      </c>
      <c r="L173" s="17"/>
      <c r="M173" s="17"/>
      <c r="N173" s="17"/>
      <c r="O173" s="17"/>
      <c r="P173" s="18"/>
      <c r="Q173" s="16" t="s">
        <v>83</v>
      </c>
      <c r="R173" s="18"/>
    </row>
    <row r="174" spans="1:18" ht="16.5" customHeight="1">
      <c r="A174" s="10">
        <v>173</v>
      </c>
      <c r="B174" s="10">
        <v>20</v>
      </c>
      <c r="C174" s="10">
        <v>14</v>
      </c>
      <c r="D174" s="11" t="s">
        <v>960</v>
      </c>
      <c r="E174" s="12" t="s">
        <v>964</v>
      </c>
      <c r="F174" s="11" t="s">
        <v>968</v>
      </c>
      <c r="G174" s="10"/>
      <c r="H174" s="13" t="s">
        <v>969</v>
      </c>
      <c r="I174" s="14" t="s">
        <v>970</v>
      </c>
      <c r="J174" s="15" t="s">
        <v>971</v>
      </c>
      <c r="K174" s="16" t="s">
        <v>82</v>
      </c>
      <c r="L174" s="17"/>
      <c r="M174" s="17"/>
      <c r="N174" s="17"/>
      <c r="O174" s="17"/>
      <c r="P174" s="18"/>
      <c r="Q174" s="16" t="s">
        <v>83</v>
      </c>
      <c r="R174" s="18"/>
    </row>
    <row r="175" spans="1:18" ht="16.5" customHeight="1">
      <c r="A175" s="10">
        <v>174</v>
      </c>
      <c r="B175" s="10">
        <v>20</v>
      </c>
      <c r="C175" s="10">
        <v>15</v>
      </c>
      <c r="D175" s="11" t="s">
        <v>964</v>
      </c>
      <c r="E175" s="19" t="s">
        <v>968</v>
      </c>
      <c r="F175" s="11" t="s">
        <v>972</v>
      </c>
      <c r="G175" s="10" t="s">
        <v>973</v>
      </c>
      <c r="H175" s="13" t="s">
        <v>974</v>
      </c>
      <c r="I175" s="14" t="s">
        <v>975</v>
      </c>
      <c r="J175" s="15" t="s">
        <v>976</v>
      </c>
      <c r="K175" s="16" t="s">
        <v>82</v>
      </c>
      <c r="L175" s="17"/>
      <c r="M175" s="17"/>
      <c r="N175" s="17"/>
      <c r="O175" s="17"/>
      <c r="P175" s="18"/>
      <c r="Q175" s="16" t="s">
        <v>83</v>
      </c>
      <c r="R175" s="18"/>
    </row>
    <row r="176" spans="1:18" ht="16.5" customHeight="1">
      <c r="A176" s="10">
        <v>175</v>
      </c>
      <c r="B176" s="10">
        <v>20</v>
      </c>
      <c r="C176" s="10">
        <v>16</v>
      </c>
      <c r="D176" s="11" t="s">
        <v>968</v>
      </c>
      <c r="E176" s="12" t="s">
        <v>972</v>
      </c>
      <c r="F176" s="11"/>
      <c r="G176" s="10"/>
      <c r="H176" s="13" t="s">
        <v>977</v>
      </c>
      <c r="I176" s="14" t="s">
        <v>978</v>
      </c>
      <c r="J176" s="15" t="s">
        <v>979</v>
      </c>
      <c r="K176" s="16" t="s">
        <v>82</v>
      </c>
      <c r="L176" s="17"/>
      <c r="M176" s="17"/>
      <c r="N176" s="17"/>
      <c r="O176" s="17"/>
      <c r="P176" s="18"/>
      <c r="Q176" s="16" t="s">
        <v>83</v>
      </c>
      <c r="R176" s="18"/>
    </row>
    <row r="177" spans="1:18" ht="16.5" customHeight="1">
      <c r="A177" s="10">
        <v>176</v>
      </c>
      <c r="B177" s="10">
        <v>22</v>
      </c>
      <c r="C177" s="10">
        <v>17</v>
      </c>
      <c r="D177" s="11" t="s">
        <v>980</v>
      </c>
      <c r="E177" s="12" t="s">
        <v>981</v>
      </c>
      <c r="F177" s="11" t="s">
        <v>982</v>
      </c>
      <c r="G177" s="10"/>
      <c r="H177" s="13" t="s">
        <v>983</v>
      </c>
      <c r="I177" s="14" t="s">
        <v>984</v>
      </c>
      <c r="J177" s="15" t="s">
        <v>985</v>
      </c>
      <c r="K177" s="16" t="s">
        <v>82</v>
      </c>
      <c r="L177" s="17"/>
      <c r="M177" s="17"/>
      <c r="N177" s="17"/>
      <c r="O177" s="17"/>
      <c r="P177" s="18"/>
      <c r="Q177" s="16" t="s">
        <v>83</v>
      </c>
      <c r="R177" s="18"/>
    </row>
    <row r="178" spans="1:18" ht="16.5" customHeight="1">
      <c r="A178" s="10">
        <v>177</v>
      </c>
      <c r="B178" s="10">
        <v>22</v>
      </c>
      <c r="C178" s="10">
        <v>18</v>
      </c>
      <c r="D178" s="11" t="s">
        <v>981</v>
      </c>
      <c r="E178" s="19" t="s">
        <v>982</v>
      </c>
      <c r="F178" s="11" t="s">
        <v>986</v>
      </c>
      <c r="G178" s="10" t="s">
        <v>320</v>
      </c>
      <c r="H178" s="13" t="s">
        <v>987</v>
      </c>
      <c r="I178" s="14" t="s">
        <v>988</v>
      </c>
      <c r="J178" s="15" t="s">
        <v>989</v>
      </c>
      <c r="K178" s="16" t="s">
        <v>89</v>
      </c>
      <c r="L178" s="17" t="s">
        <v>90</v>
      </c>
      <c r="M178" s="17" t="s">
        <v>91</v>
      </c>
      <c r="N178" s="17" t="s">
        <v>110</v>
      </c>
      <c r="O178" s="17" t="s">
        <v>111</v>
      </c>
      <c r="P178" s="18" t="s">
        <v>112</v>
      </c>
      <c r="Q178" s="16" t="s">
        <v>83</v>
      </c>
      <c r="R178" s="18"/>
    </row>
    <row r="179" spans="1:18" ht="16.5" customHeight="1">
      <c r="A179" s="10">
        <v>178</v>
      </c>
      <c r="B179" s="10">
        <v>22</v>
      </c>
      <c r="C179" s="10">
        <v>19</v>
      </c>
      <c r="D179" s="11" t="s">
        <v>982</v>
      </c>
      <c r="E179" s="19" t="s">
        <v>986</v>
      </c>
      <c r="F179" s="11" t="s">
        <v>990</v>
      </c>
      <c r="G179" s="10" t="s">
        <v>774</v>
      </c>
      <c r="H179" s="13" t="s">
        <v>991</v>
      </c>
      <c r="I179" s="14" t="s">
        <v>992</v>
      </c>
      <c r="J179" s="15" t="s">
        <v>993</v>
      </c>
      <c r="K179" s="16" t="s">
        <v>82</v>
      </c>
      <c r="L179" s="17"/>
      <c r="M179" s="17"/>
      <c r="N179" s="17"/>
      <c r="O179" s="17"/>
      <c r="P179" s="18"/>
      <c r="Q179" s="16" t="s">
        <v>83</v>
      </c>
      <c r="R179" s="18"/>
    </row>
    <row r="180" spans="1:18" ht="16.5" customHeight="1">
      <c r="A180" s="10">
        <v>179</v>
      </c>
      <c r="B180" s="10">
        <v>22</v>
      </c>
      <c r="C180" s="10">
        <v>20</v>
      </c>
      <c r="D180" s="11" t="s">
        <v>986</v>
      </c>
      <c r="E180" s="12" t="s">
        <v>990</v>
      </c>
      <c r="F180" s="11" t="s">
        <v>994</v>
      </c>
      <c r="G180" s="10"/>
      <c r="H180" s="13"/>
      <c r="I180" s="14" t="s">
        <v>995</v>
      </c>
      <c r="J180" s="15" t="s">
        <v>996</v>
      </c>
      <c r="K180" s="16" t="s">
        <v>82</v>
      </c>
      <c r="L180" s="17"/>
      <c r="M180" s="17"/>
      <c r="N180" s="17"/>
      <c r="O180" s="17"/>
      <c r="P180" s="18"/>
      <c r="Q180" s="16" t="s">
        <v>83</v>
      </c>
      <c r="R180" s="18"/>
    </row>
    <row r="181" spans="1:18" ht="16.5" customHeight="1">
      <c r="A181" s="10">
        <v>180</v>
      </c>
      <c r="B181" s="10">
        <v>23</v>
      </c>
      <c r="C181" s="10">
        <v>18</v>
      </c>
      <c r="D181" s="11" t="s">
        <v>997</v>
      </c>
      <c r="E181" s="12" t="s">
        <v>998</v>
      </c>
      <c r="F181" s="11" t="s">
        <v>999</v>
      </c>
      <c r="G181" s="10"/>
      <c r="H181" s="13" t="s">
        <v>1000</v>
      </c>
      <c r="I181" s="14" t="s">
        <v>1001</v>
      </c>
      <c r="J181" s="15" t="s">
        <v>1002</v>
      </c>
      <c r="K181" s="16" t="s">
        <v>82</v>
      </c>
      <c r="L181" s="17"/>
      <c r="M181" s="17"/>
      <c r="N181" s="17"/>
      <c r="O181" s="17"/>
      <c r="P181" s="18"/>
      <c r="Q181" s="16" t="s">
        <v>83</v>
      </c>
      <c r="R181" s="18"/>
    </row>
    <row r="182" spans="1:18" ht="16.5" customHeight="1">
      <c r="A182" s="10">
        <v>181</v>
      </c>
      <c r="B182" s="10">
        <v>23</v>
      </c>
      <c r="C182" s="10">
        <v>19</v>
      </c>
      <c r="D182" s="11" t="s">
        <v>998</v>
      </c>
      <c r="E182" s="19" t="s">
        <v>999</v>
      </c>
      <c r="F182" s="11" t="s">
        <v>1003</v>
      </c>
      <c r="G182" s="10" t="s">
        <v>85</v>
      </c>
      <c r="H182" s="13" t="s">
        <v>1004</v>
      </c>
      <c r="I182" s="14" t="s">
        <v>1005</v>
      </c>
      <c r="J182" s="15" t="s">
        <v>1006</v>
      </c>
      <c r="K182" s="16" t="s">
        <v>82</v>
      </c>
      <c r="L182" s="17"/>
      <c r="M182" s="17"/>
      <c r="N182" s="17"/>
      <c r="O182" s="17"/>
      <c r="P182" s="18"/>
      <c r="Q182" s="16" t="s">
        <v>83</v>
      </c>
      <c r="R182" s="18"/>
    </row>
    <row r="183" spans="1:18" ht="16.5" customHeight="1">
      <c r="A183" s="10">
        <v>182</v>
      </c>
      <c r="B183" s="10">
        <v>23</v>
      </c>
      <c r="C183" s="10">
        <v>20</v>
      </c>
      <c r="D183" s="11" t="s">
        <v>999</v>
      </c>
      <c r="E183" s="12" t="s">
        <v>1003</v>
      </c>
      <c r="F183" s="11"/>
      <c r="G183" s="10"/>
      <c r="H183" s="13" t="s">
        <v>1007</v>
      </c>
      <c r="I183" s="14" t="s">
        <v>1008</v>
      </c>
      <c r="J183" s="15" t="s">
        <v>1009</v>
      </c>
      <c r="K183" s="16" t="s">
        <v>82</v>
      </c>
      <c r="L183" s="17"/>
      <c r="M183" s="17"/>
      <c r="N183" s="17"/>
      <c r="O183" s="17"/>
      <c r="P183" s="18"/>
      <c r="Q183" s="16" t="s">
        <v>83</v>
      </c>
      <c r="R183" s="18"/>
    </row>
    <row r="184" spans="1:18" ht="16.5" customHeight="1">
      <c r="A184" s="10">
        <v>183</v>
      </c>
      <c r="B184" s="10">
        <v>25</v>
      </c>
      <c r="C184" s="10">
        <v>16</v>
      </c>
      <c r="D184" s="11" t="s">
        <v>1010</v>
      </c>
      <c r="E184" s="12" t="s">
        <v>1011</v>
      </c>
      <c r="F184" s="11" t="s">
        <v>1012</v>
      </c>
      <c r="G184" s="10"/>
      <c r="H184" s="13" t="s">
        <v>1013</v>
      </c>
      <c r="I184" s="14" t="s">
        <v>1014</v>
      </c>
      <c r="J184" s="15" t="s">
        <v>1015</v>
      </c>
      <c r="K184" s="16" t="s">
        <v>82</v>
      </c>
      <c r="L184" s="17"/>
      <c r="M184" s="17"/>
      <c r="N184" s="17"/>
      <c r="O184" s="17"/>
      <c r="P184" s="18"/>
      <c r="Q184" s="16" t="s">
        <v>83</v>
      </c>
      <c r="R184" s="18"/>
    </row>
    <row r="185" spans="1:18" ht="16.5" customHeight="1">
      <c r="A185" s="10">
        <v>184</v>
      </c>
      <c r="B185" s="10">
        <v>25</v>
      </c>
      <c r="C185" s="10">
        <v>17</v>
      </c>
      <c r="D185" s="11" t="s">
        <v>1011</v>
      </c>
      <c r="E185" s="19" t="s">
        <v>1012</v>
      </c>
      <c r="F185" s="11" t="s">
        <v>1016</v>
      </c>
      <c r="G185" s="10" t="s">
        <v>774</v>
      </c>
      <c r="H185" s="13" t="s">
        <v>1017</v>
      </c>
      <c r="I185" s="14" t="s">
        <v>1018</v>
      </c>
      <c r="J185" s="15" t="s">
        <v>1018</v>
      </c>
      <c r="K185" s="16" t="s">
        <v>82</v>
      </c>
      <c r="L185" s="17"/>
      <c r="M185" s="17"/>
      <c r="N185" s="17"/>
      <c r="O185" s="17"/>
      <c r="P185" s="18"/>
      <c r="Q185" s="16" t="s">
        <v>83</v>
      </c>
      <c r="R185" s="18"/>
    </row>
    <row r="186" spans="1:18" ht="16.5" customHeight="1">
      <c r="A186" s="10">
        <v>185</v>
      </c>
      <c r="B186" s="10">
        <v>25</v>
      </c>
      <c r="C186" s="10">
        <v>18</v>
      </c>
      <c r="D186" s="11" t="s">
        <v>1012</v>
      </c>
      <c r="E186" s="12" t="s">
        <v>1016</v>
      </c>
      <c r="F186" s="11" t="s">
        <v>1019</v>
      </c>
      <c r="G186" s="10"/>
      <c r="H186" s="13" t="s">
        <v>1020</v>
      </c>
      <c r="I186" s="14" t="s">
        <v>1021</v>
      </c>
      <c r="J186" s="15" t="s">
        <v>1022</v>
      </c>
      <c r="K186" s="16" t="s">
        <v>82</v>
      </c>
      <c r="L186" s="17"/>
      <c r="M186" s="17"/>
      <c r="N186" s="17"/>
      <c r="O186" s="17"/>
      <c r="P186" s="18"/>
      <c r="Q186" s="16" t="s">
        <v>83</v>
      </c>
      <c r="R186" s="18"/>
    </row>
    <row r="187" spans="1:18" ht="16.5" customHeight="1">
      <c r="A187" s="10">
        <v>186</v>
      </c>
      <c r="B187" s="10">
        <v>27</v>
      </c>
      <c r="C187" s="10">
        <v>6</v>
      </c>
      <c r="D187" s="11" t="s">
        <v>1023</v>
      </c>
      <c r="E187" s="12" t="s">
        <v>1024</v>
      </c>
      <c r="F187" s="11" t="s">
        <v>1025</v>
      </c>
      <c r="G187" s="10"/>
      <c r="H187" s="13"/>
      <c r="I187" s="14" t="s">
        <v>1026</v>
      </c>
      <c r="J187" s="15" t="s">
        <v>1027</v>
      </c>
      <c r="K187" s="16" t="s">
        <v>82</v>
      </c>
      <c r="L187" s="17"/>
      <c r="M187" s="17"/>
      <c r="N187" s="17"/>
      <c r="O187" s="17"/>
      <c r="P187" s="18"/>
      <c r="Q187" s="16" t="s">
        <v>83</v>
      </c>
      <c r="R187" s="18"/>
    </row>
    <row r="188" spans="1:18" ht="16.5" customHeight="1">
      <c r="A188" s="10">
        <v>187</v>
      </c>
      <c r="B188" s="10">
        <v>27</v>
      </c>
      <c r="C188" s="10">
        <v>7</v>
      </c>
      <c r="D188" s="11" t="s">
        <v>1024</v>
      </c>
      <c r="E188" s="19" t="s">
        <v>1025</v>
      </c>
      <c r="F188" s="11" t="s">
        <v>1028</v>
      </c>
      <c r="G188" s="10" t="s">
        <v>774</v>
      </c>
      <c r="H188" s="13" t="s">
        <v>1029</v>
      </c>
      <c r="I188" s="14" t="s">
        <v>1030</v>
      </c>
      <c r="J188" s="15" t="s">
        <v>1031</v>
      </c>
      <c r="K188" s="16" t="s">
        <v>82</v>
      </c>
      <c r="L188" s="17"/>
      <c r="M188" s="17"/>
      <c r="N188" s="17"/>
      <c r="O188" s="17"/>
      <c r="P188" s="18"/>
      <c r="Q188" s="16" t="s">
        <v>83</v>
      </c>
      <c r="R188" s="18"/>
    </row>
    <row r="189" spans="1:18" ht="16.5" customHeight="1">
      <c r="A189" s="10">
        <v>188</v>
      </c>
      <c r="B189" s="10">
        <v>27</v>
      </c>
      <c r="C189" s="10">
        <v>8</v>
      </c>
      <c r="D189" s="11" t="s">
        <v>1025</v>
      </c>
      <c r="E189" s="12" t="s">
        <v>1028</v>
      </c>
      <c r="F189" s="11" t="s">
        <v>1032</v>
      </c>
      <c r="G189" s="10"/>
      <c r="H189" s="13" t="s">
        <v>1033</v>
      </c>
      <c r="I189" s="14" t="s">
        <v>1034</v>
      </c>
      <c r="J189" s="15" t="s">
        <v>1035</v>
      </c>
      <c r="K189" s="16" t="s">
        <v>82</v>
      </c>
      <c r="L189" s="17"/>
      <c r="M189" s="17"/>
      <c r="N189" s="17"/>
      <c r="O189" s="17"/>
      <c r="P189" s="18"/>
      <c r="Q189" s="16" t="s">
        <v>83</v>
      </c>
      <c r="R189" s="18"/>
    </row>
    <row r="190" spans="1:18" ht="16.5" customHeight="1">
      <c r="A190" s="10">
        <v>189</v>
      </c>
      <c r="B190" s="10">
        <v>27</v>
      </c>
      <c r="C190" s="10">
        <v>11</v>
      </c>
      <c r="D190" s="11" t="s">
        <v>1036</v>
      </c>
      <c r="E190" s="12" t="s">
        <v>1037</v>
      </c>
      <c r="F190" s="11" t="s">
        <v>1038</v>
      </c>
      <c r="G190" s="10"/>
      <c r="H190" s="13" t="s">
        <v>1039</v>
      </c>
      <c r="I190" s="14" t="s">
        <v>1040</v>
      </c>
      <c r="J190" s="15" t="s">
        <v>1041</v>
      </c>
      <c r="K190" s="16" t="s">
        <v>82</v>
      </c>
      <c r="L190" s="17"/>
      <c r="M190" s="17"/>
      <c r="N190" s="17"/>
      <c r="O190" s="17"/>
      <c r="P190" s="18"/>
      <c r="Q190" s="16" t="s">
        <v>83</v>
      </c>
      <c r="R190" s="18"/>
    </row>
    <row r="191" spans="1:18" ht="16.5" customHeight="1">
      <c r="A191" s="10">
        <v>190</v>
      </c>
      <c r="B191" s="10">
        <v>27</v>
      </c>
      <c r="C191" s="10">
        <v>12</v>
      </c>
      <c r="D191" s="11" t="s">
        <v>1037</v>
      </c>
      <c r="E191" s="19" t="s">
        <v>1038</v>
      </c>
      <c r="F191" s="11" t="s">
        <v>1042</v>
      </c>
      <c r="G191" s="10" t="s">
        <v>305</v>
      </c>
      <c r="H191" s="13" t="s">
        <v>1043</v>
      </c>
      <c r="I191" s="14" t="s">
        <v>1044</v>
      </c>
      <c r="J191" s="15" t="s">
        <v>1045</v>
      </c>
      <c r="K191" s="16" t="s">
        <v>82</v>
      </c>
      <c r="L191" s="17"/>
      <c r="M191" s="17"/>
      <c r="N191" s="17"/>
      <c r="O191" s="17"/>
      <c r="P191" s="18"/>
      <c r="Q191" s="16" t="s">
        <v>83</v>
      </c>
      <c r="R191" s="18"/>
    </row>
    <row r="192" spans="1:18" ht="16.5" customHeight="1">
      <c r="A192" s="10">
        <v>191</v>
      </c>
      <c r="B192" s="10">
        <v>27</v>
      </c>
      <c r="C192" s="10">
        <v>13</v>
      </c>
      <c r="D192" s="11" t="s">
        <v>1038</v>
      </c>
      <c r="E192" s="12" t="s">
        <v>1042</v>
      </c>
      <c r="F192" s="11" t="s">
        <v>1046</v>
      </c>
      <c r="G192" s="10"/>
      <c r="H192" s="13" t="s">
        <v>1047</v>
      </c>
      <c r="I192" s="14" t="s">
        <v>1048</v>
      </c>
      <c r="J192" s="15" t="s">
        <v>1049</v>
      </c>
      <c r="K192" s="16" t="s">
        <v>82</v>
      </c>
      <c r="L192" s="17"/>
      <c r="M192" s="17"/>
      <c r="N192" s="17"/>
      <c r="O192" s="17"/>
      <c r="P192" s="18"/>
      <c r="Q192" s="16" t="s">
        <v>83</v>
      </c>
      <c r="R192" s="18"/>
    </row>
    <row r="193" spans="1:18" ht="16.5" customHeight="1">
      <c r="A193" s="10">
        <v>192</v>
      </c>
      <c r="B193" s="10">
        <v>27</v>
      </c>
      <c r="C193" s="10">
        <v>14</v>
      </c>
      <c r="D193" s="11" t="s">
        <v>1042</v>
      </c>
      <c r="E193" s="12" t="s">
        <v>1046</v>
      </c>
      <c r="F193" s="11" t="s">
        <v>1050</v>
      </c>
      <c r="G193" s="10"/>
      <c r="H193" s="13" t="s">
        <v>1051</v>
      </c>
      <c r="I193" s="14" t="s">
        <v>1052</v>
      </c>
      <c r="J193" s="15" t="s">
        <v>1053</v>
      </c>
      <c r="K193" s="16" t="s">
        <v>82</v>
      </c>
      <c r="L193" s="17"/>
      <c r="M193" s="17"/>
      <c r="N193" s="17"/>
      <c r="O193" s="17"/>
      <c r="P193" s="18"/>
      <c r="Q193" s="16" t="s">
        <v>83</v>
      </c>
      <c r="R193" s="18"/>
    </row>
    <row r="194" spans="1:18" ht="26.25" customHeight="1">
      <c r="A194" s="10">
        <v>193</v>
      </c>
      <c r="B194" s="10">
        <v>27</v>
      </c>
      <c r="C194" s="10">
        <v>15</v>
      </c>
      <c r="D194" s="11" t="s">
        <v>1046</v>
      </c>
      <c r="E194" s="19" t="s">
        <v>1050</v>
      </c>
      <c r="F194" s="11" t="s">
        <v>1054</v>
      </c>
      <c r="G194" s="10" t="s">
        <v>266</v>
      </c>
      <c r="H194" s="13" t="s">
        <v>1055</v>
      </c>
      <c r="I194" s="14" t="s">
        <v>1056</v>
      </c>
      <c r="J194" s="15" t="s">
        <v>1057</v>
      </c>
      <c r="K194" s="16" t="s">
        <v>82</v>
      </c>
      <c r="L194" s="17"/>
      <c r="M194" s="17"/>
      <c r="N194" s="17"/>
      <c r="O194" s="17"/>
      <c r="P194" s="18"/>
      <c r="Q194" s="16" t="s">
        <v>83</v>
      </c>
      <c r="R194" s="18"/>
    </row>
    <row r="195" spans="1:18" ht="16.5" customHeight="1">
      <c r="A195" s="10">
        <v>194</v>
      </c>
      <c r="B195" s="10">
        <v>27</v>
      </c>
      <c r="C195" s="10">
        <v>16</v>
      </c>
      <c r="D195" s="11" t="s">
        <v>1050</v>
      </c>
      <c r="E195" s="12" t="s">
        <v>1054</v>
      </c>
      <c r="F195" s="11" t="s">
        <v>1058</v>
      </c>
      <c r="G195" s="10"/>
      <c r="H195" s="13"/>
      <c r="I195" s="14" t="s">
        <v>1059</v>
      </c>
      <c r="J195" s="15" t="s">
        <v>1059</v>
      </c>
      <c r="K195" s="16" t="s">
        <v>82</v>
      </c>
      <c r="L195" s="17"/>
      <c r="M195" s="17"/>
      <c r="N195" s="17"/>
      <c r="O195" s="17"/>
      <c r="P195" s="18"/>
      <c r="Q195" s="16" t="s">
        <v>83</v>
      </c>
      <c r="R195" s="18"/>
    </row>
    <row r="196" spans="1:18" ht="16.5" customHeight="1">
      <c r="A196" s="10">
        <v>195</v>
      </c>
      <c r="B196" s="10">
        <v>27</v>
      </c>
      <c r="C196" s="10">
        <v>30</v>
      </c>
      <c r="D196" s="11" t="s">
        <v>1060</v>
      </c>
      <c r="E196" s="12" t="s">
        <v>1061</v>
      </c>
      <c r="F196" s="11" t="s">
        <v>1062</v>
      </c>
      <c r="G196" s="10"/>
      <c r="H196" s="13" t="s">
        <v>1063</v>
      </c>
      <c r="I196" s="14" t="s">
        <v>1064</v>
      </c>
      <c r="J196" s="15" t="s">
        <v>1065</v>
      </c>
      <c r="K196" s="16" t="s">
        <v>82</v>
      </c>
      <c r="L196" s="17"/>
      <c r="M196" s="17"/>
      <c r="N196" s="17"/>
      <c r="O196" s="17"/>
      <c r="P196" s="18"/>
      <c r="Q196" s="16" t="s">
        <v>83</v>
      </c>
      <c r="R196" s="18"/>
    </row>
    <row r="197" spans="1:18" ht="16.5" customHeight="1">
      <c r="A197" s="10">
        <v>196</v>
      </c>
      <c r="B197" s="10">
        <v>27</v>
      </c>
      <c r="C197" s="10">
        <v>31</v>
      </c>
      <c r="D197" s="11" t="s">
        <v>1061</v>
      </c>
      <c r="E197" s="19" t="s">
        <v>1062</v>
      </c>
      <c r="F197" s="11" t="s">
        <v>1066</v>
      </c>
      <c r="G197" s="10" t="s">
        <v>1067</v>
      </c>
      <c r="H197" s="13" t="s">
        <v>1068</v>
      </c>
      <c r="I197" s="14" t="s">
        <v>1069</v>
      </c>
      <c r="J197" s="15" t="s">
        <v>1070</v>
      </c>
      <c r="K197" s="16" t="s">
        <v>82</v>
      </c>
      <c r="L197" s="17"/>
      <c r="M197" s="17"/>
      <c r="N197" s="17"/>
      <c r="O197" s="17"/>
      <c r="P197" s="18"/>
      <c r="Q197" s="16" t="s">
        <v>83</v>
      </c>
      <c r="R197" s="18"/>
    </row>
    <row r="198" spans="1:18" ht="16.5" customHeight="1">
      <c r="A198" s="10">
        <v>197</v>
      </c>
      <c r="B198" s="10">
        <v>27</v>
      </c>
      <c r="C198" s="10">
        <v>32</v>
      </c>
      <c r="D198" s="11" t="s">
        <v>1062</v>
      </c>
      <c r="E198" s="12" t="s">
        <v>1066</v>
      </c>
      <c r="F198" s="11" t="s">
        <v>1071</v>
      </c>
      <c r="G198" s="10"/>
      <c r="H198" s="13"/>
      <c r="I198" s="14" t="s">
        <v>1072</v>
      </c>
      <c r="J198" s="15" t="s">
        <v>1073</v>
      </c>
      <c r="K198" s="16" t="s">
        <v>82</v>
      </c>
      <c r="L198" s="17"/>
      <c r="M198" s="17"/>
      <c r="N198" s="17"/>
      <c r="O198" s="17"/>
      <c r="P198" s="18"/>
      <c r="Q198" s="16" t="s">
        <v>83</v>
      </c>
      <c r="R198" s="18"/>
    </row>
    <row r="199" spans="1:18" ht="16.5" customHeight="1">
      <c r="A199" s="10">
        <v>198</v>
      </c>
      <c r="B199" s="10">
        <v>27</v>
      </c>
      <c r="C199" s="10">
        <v>33</v>
      </c>
      <c r="D199" s="11" t="s">
        <v>1066</v>
      </c>
      <c r="E199" s="12" t="s">
        <v>1071</v>
      </c>
      <c r="F199" s="11" t="s">
        <v>911</v>
      </c>
      <c r="G199" s="10"/>
      <c r="H199" s="13" t="s">
        <v>1074</v>
      </c>
      <c r="I199" s="14" t="s">
        <v>1075</v>
      </c>
      <c r="J199" s="15" t="s">
        <v>1076</v>
      </c>
      <c r="K199" s="16" t="s">
        <v>82</v>
      </c>
      <c r="L199" s="17"/>
      <c r="M199" s="17"/>
      <c r="N199" s="17"/>
      <c r="O199" s="17"/>
      <c r="P199" s="18"/>
      <c r="Q199" s="16" t="s">
        <v>83</v>
      </c>
      <c r="R199" s="18"/>
    </row>
    <row r="200" spans="1:18" ht="16.5" customHeight="1">
      <c r="A200" s="10">
        <v>199</v>
      </c>
      <c r="B200" s="10">
        <v>27</v>
      </c>
      <c r="C200" s="10">
        <v>34</v>
      </c>
      <c r="D200" s="11" t="s">
        <v>1071</v>
      </c>
      <c r="E200" s="19" t="s">
        <v>911</v>
      </c>
      <c r="F200" s="11" t="s">
        <v>1077</v>
      </c>
      <c r="G200" s="10" t="s">
        <v>85</v>
      </c>
      <c r="H200" s="13" t="s">
        <v>1078</v>
      </c>
      <c r="I200" s="14" t="s">
        <v>1079</v>
      </c>
      <c r="J200" s="15" t="s">
        <v>1080</v>
      </c>
      <c r="K200" s="16" t="s">
        <v>89</v>
      </c>
      <c r="L200" s="17" t="s">
        <v>90</v>
      </c>
      <c r="M200" s="17" t="s">
        <v>91</v>
      </c>
      <c r="N200" s="17" t="s">
        <v>911</v>
      </c>
      <c r="O200" s="17" t="s">
        <v>912</v>
      </c>
      <c r="P200" s="18" t="s">
        <v>913</v>
      </c>
      <c r="Q200" s="16" t="s">
        <v>83</v>
      </c>
      <c r="R200" s="18"/>
    </row>
    <row r="201" spans="1:18" ht="16.5" customHeight="1">
      <c r="A201" s="10">
        <v>200</v>
      </c>
      <c r="B201" s="10">
        <v>27</v>
      </c>
      <c r="C201" s="10">
        <v>35</v>
      </c>
      <c r="D201" s="11" t="s">
        <v>911</v>
      </c>
      <c r="E201" s="12" t="s">
        <v>1077</v>
      </c>
      <c r="F201" s="11" t="s">
        <v>1081</v>
      </c>
      <c r="G201" s="10"/>
      <c r="H201" s="13" t="s">
        <v>1082</v>
      </c>
      <c r="I201" s="14" t="s">
        <v>1083</v>
      </c>
      <c r="J201" s="15" t="s">
        <v>1083</v>
      </c>
      <c r="K201" s="16" t="s">
        <v>82</v>
      </c>
      <c r="L201" s="17"/>
      <c r="M201" s="17"/>
      <c r="N201" s="17"/>
      <c r="O201" s="17"/>
      <c r="P201" s="18"/>
      <c r="Q201" s="16" t="s">
        <v>83</v>
      </c>
      <c r="R201" s="18"/>
    </row>
    <row r="202" spans="1:18" ht="32.25" customHeight="1">
      <c r="A202" s="10">
        <v>201</v>
      </c>
      <c r="B202" s="10">
        <v>28</v>
      </c>
      <c r="C202" s="10">
        <v>4</v>
      </c>
      <c r="D202" s="11" t="s">
        <v>1084</v>
      </c>
      <c r="E202" s="12" t="s">
        <v>1085</v>
      </c>
      <c r="F202" s="11" t="s">
        <v>1086</v>
      </c>
      <c r="G202" s="10"/>
      <c r="H202" s="13" t="s">
        <v>1087</v>
      </c>
      <c r="I202" s="14" t="s">
        <v>1088</v>
      </c>
      <c r="J202" s="15" t="s">
        <v>1089</v>
      </c>
      <c r="K202" s="16" t="s">
        <v>82</v>
      </c>
      <c r="L202" s="17"/>
      <c r="M202" s="17"/>
      <c r="N202" s="17"/>
      <c r="O202" s="17"/>
      <c r="P202" s="18"/>
      <c r="Q202" s="16" t="s">
        <v>83</v>
      </c>
      <c r="R202" s="18"/>
    </row>
    <row r="203" spans="1:18" ht="26.25" customHeight="1">
      <c r="A203" s="10">
        <v>202</v>
      </c>
      <c r="B203" s="10">
        <v>28</v>
      </c>
      <c r="C203" s="10">
        <v>5</v>
      </c>
      <c r="D203" s="11" t="s">
        <v>1085</v>
      </c>
      <c r="E203" s="19" t="s">
        <v>1086</v>
      </c>
      <c r="F203" s="11" t="s">
        <v>349</v>
      </c>
      <c r="G203" s="10" t="s">
        <v>160</v>
      </c>
      <c r="H203" s="13" t="s">
        <v>1090</v>
      </c>
      <c r="I203" s="14" t="s">
        <v>1091</v>
      </c>
      <c r="J203" s="15" t="s">
        <v>1092</v>
      </c>
      <c r="K203" s="16" t="s">
        <v>89</v>
      </c>
      <c r="L203" s="17" t="s">
        <v>222</v>
      </c>
      <c r="M203" s="17" t="s">
        <v>91</v>
      </c>
      <c r="N203" s="17" t="s">
        <v>186</v>
      </c>
      <c r="O203" s="17" t="s">
        <v>1093</v>
      </c>
      <c r="P203" s="18" t="s">
        <v>1094</v>
      </c>
      <c r="Q203" s="16" t="s">
        <v>83</v>
      </c>
      <c r="R203" s="18"/>
    </row>
    <row r="204" spans="1:18" ht="16.5" customHeight="1">
      <c r="A204" s="10">
        <v>203</v>
      </c>
      <c r="B204" s="10">
        <v>28</v>
      </c>
      <c r="C204" s="10">
        <v>6</v>
      </c>
      <c r="D204" s="11" t="s">
        <v>1086</v>
      </c>
      <c r="E204" s="12" t="s">
        <v>349</v>
      </c>
      <c r="F204" s="11" t="s">
        <v>1095</v>
      </c>
      <c r="G204" s="10"/>
      <c r="H204" s="13" t="s">
        <v>200</v>
      </c>
      <c r="I204" s="14" t="s">
        <v>1096</v>
      </c>
      <c r="J204" s="15" t="s">
        <v>1097</v>
      </c>
      <c r="K204" s="16" t="s">
        <v>82</v>
      </c>
      <c r="L204" s="17"/>
      <c r="M204" s="17"/>
      <c r="N204" s="17"/>
      <c r="O204" s="17"/>
      <c r="P204" s="18"/>
      <c r="Q204" s="16" t="s">
        <v>83</v>
      </c>
      <c r="R204" s="18"/>
    </row>
    <row r="205" spans="1:18" ht="16.5" customHeight="1">
      <c r="A205" s="10">
        <v>204</v>
      </c>
      <c r="B205" s="10">
        <v>28</v>
      </c>
      <c r="C205" s="10">
        <v>7</v>
      </c>
      <c r="D205" s="11" t="s">
        <v>349</v>
      </c>
      <c r="E205" s="12" t="s">
        <v>1095</v>
      </c>
      <c r="F205" s="11" t="s">
        <v>1098</v>
      </c>
      <c r="G205" s="10"/>
      <c r="H205" s="13" t="s">
        <v>1099</v>
      </c>
      <c r="I205" s="14" t="s">
        <v>1100</v>
      </c>
      <c r="J205" s="15" t="s">
        <v>1100</v>
      </c>
      <c r="K205" s="16" t="s">
        <v>82</v>
      </c>
      <c r="L205" s="17"/>
      <c r="M205" s="17"/>
      <c r="N205" s="17"/>
      <c r="O205" s="17"/>
      <c r="P205" s="18"/>
      <c r="Q205" s="16" t="s">
        <v>83</v>
      </c>
      <c r="R205" s="18"/>
    </row>
    <row r="206" spans="1:18" ht="16.5" customHeight="1">
      <c r="A206" s="10">
        <v>205</v>
      </c>
      <c r="B206" s="10">
        <v>28</v>
      </c>
      <c r="C206" s="10">
        <v>8</v>
      </c>
      <c r="D206" s="11" t="s">
        <v>1095</v>
      </c>
      <c r="E206" s="19" t="s">
        <v>1098</v>
      </c>
      <c r="F206" s="11" t="s">
        <v>1101</v>
      </c>
      <c r="G206" s="10" t="s">
        <v>160</v>
      </c>
      <c r="H206" s="13" t="s">
        <v>1102</v>
      </c>
      <c r="I206" s="14" t="s">
        <v>1103</v>
      </c>
      <c r="J206" s="15" t="s">
        <v>1104</v>
      </c>
      <c r="K206" s="16" t="s">
        <v>82</v>
      </c>
      <c r="L206" s="17"/>
      <c r="M206" s="17"/>
      <c r="N206" s="17"/>
      <c r="O206" s="17"/>
      <c r="P206" s="18"/>
      <c r="Q206" s="16" t="s">
        <v>83</v>
      </c>
      <c r="R206" s="18"/>
    </row>
    <row r="207" spans="1:18" ht="16.5" customHeight="1">
      <c r="A207" s="10">
        <v>206</v>
      </c>
      <c r="B207" s="10">
        <v>28</v>
      </c>
      <c r="C207" s="10">
        <v>9</v>
      </c>
      <c r="D207" s="11" t="s">
        <v>1098</v>
      </c>
      <c r="E207" s="19" t="s">
        <v>1101</v>
      </c>
      <c r="F207" s="11" t="s">
        <v>1105</v>
      </c>
      <c r="G207" s="10" t="s">
        <v>1106</v>
      </c>
      <c r="H207" s="13" t="s">
        <v>1107</v>
      </c>
      <c r="I207" s="14" t="s">
        <v>1108</v>
      </c>
      <c r="J207" s="15" t="s">
        <v>1109</v>
      </c>
      <c r="K207" s="16" t="s">
        <v>89</v>
      </c>
      <c r="L207" s="17" t="s">
        <v>222</v>
      </c>
      <c r="M207" s="17" t="s">
        <v>91</v>
      </c>
      <c r="N207" s="17" t="s">
        <v>186</v>
      </c>
      <c r="O207" s="17" t="s">
        <v>1093</v>
      </c>
      <c r="P207" s="18" t="s">
        <v>1094</v>
      </c>
      <c r="Q207" s="16" t="s">
        <v>83</v>
      </c>
      <c r="R207" s="18"/>
    </row>
    <row r="208" spans="1:18" ht="16.5" customHeight="1">
      <c r="A208" s="10">
        <v>207</v>
      </c>
      <c r="B208" s="10">
        <v>28</v>
      </c>
      <c r="C208" s="10">
        <v>10</v>
      </c>
      <c r="D208" s="11" t="s">
        <v>1101</v>
      </c>
      <c r="E208" s="19" t="s">
        <v>1105</v>
      </c>
      <c r="F208" s="11" t="s">
        <v>1110</v>
      </c>
      <c r="G208" s="10" t="s">
        <v>160</v>
      </c>
      <c r="H208" s="13" t="s">
        <v>1111</v>
      </c>
      <c r="I208" s="14" t="s">
        <v>1112</v>
      </c>
      <c r="J208" s="15" t="s">
        <v>1112</v>
      </c>
      <c r="K208" s="16" t="s">
        <v>82</v>
      </c>
      <c r="L208" s="17"/>
      <c r="M208" s="17"/>
      <c r="N208" s="17"/>
      <c r="O208" s="17"/>
      <c r="P208" s="18"/>
      <c r="Q208" s="16" t="s">
        <v>83</v>
      </c>
      <c r="R208" s="18"/>
    </row>
    <row r="209" spans="1:18" ht="16.5" customHeight="1">
      <c r="A209" s="10">
        <v>208</v>
      </c>
      <c r="B209" s="10">
        <v>28</v>
      </c>
      <c r="C209" s="10">
        <v>11</v>
      </c>
      <c r="D209" s="11" t="s">
        <v>1105</v>
      </c>
      <c r="E209" s="12" t="s">
        <v>1110</v>
      </c>
      <c r="F209" s="11" t="s">
        <v>1113</v>
      </c>
      <c r="G209" s="10"/>
      <c r="H209" s="13" t="s">
        <v>1114</v>
      </c>
      <c r="I209" s="14" t="s">
        <v>1115</v>
      </c>
      <c r="J209" s="15" t="s">
        <v>1116</v>
      </c>
      <c r="K209" s="16" t="s">
        <v>82</v>
      </c>
      <c r="L209" s="17"/>
      <c r="M209" s="17"/>
      <c r="N209" s="17"/>
      <c r="O209" s="17"/>
      <c r="P209" s="18"/>
      <c r="Q209" s="16" t="s">
        <v>83</v>
      </c>
      <c r="R209" s="18"/>
    </row>
    <row r="210" spans="1:18" ht="16.5" customHeight="1">
      <c r="A210" s="10">
        <v>209</v>
      </c>
      <c r="B210" s="10">
        <v>28</v>
      </c>
      <c r="C210" s="10">
        <v>31</v>
      </c>
      <c r="D210" s="11" t="s">
        <v>1117</v>
      </c>
      <c r="E210" s="12" t="s">
        <v>1118</v>
      </c>
      <c r="F210" s="11" t="s">
        <v>1119</v>
      </c>
      <c r="G210" s="10"/>
      <c r="H210" s="13" t="s">
        <v>1120</v>
      </c>
      <c r="I210" s="14" t="s">
        <v>1121</v>
      </c>
      <c r="J210" s="15" t="s">
        <v>1122</v>
      </c>
      <c r="K210" s="16" t="s">
        <v>82</v>
      </c>
      <c r="L210" s="17"/>
      <c r="M210" s="17"/>
      <c r="N210" s="17"/>
      <c r="O210" s="17"/>
      <c r="P210" s="18"/>
      <c r="Q210" s="16" t="s">
        <v>83</v>
      </c>
      <c r="R210" s="18"/>
    </row>
    <row r="211" spans="1:18" ht="16.5" customHeight="1">
      <c r="A211" s="10">
        <v>210</v>
      </c>
      <c r="B211" s="10">
        <v>28</v>
      </c>
      <c r="C211" s="10">
        <v>32</v>
      </c>
      <c r="D211" s="11" t="s">
        <v>1118</v>
      </c>
      <c r="E211" s="19" t="s">
        <v>1119</v>
      </c>
      <c r="F211" s="11" t="s">
        <v>1123</v>
      </c>
      <c r="G211" s="10" t="s">
        <v>133</v>
      </c>
      <c r="H211" s="13" t="s">
        <v>1124</v>
      </c>
      <c r="I211" s="14" t="s">
        <v>1125</v>
      </c>
      <c r="J211" s="15" t="s">
        <v>1126</v>
      </c>
      <c r="K211" s="16" t="s">
        <v>82</v>
      </c>
      <c r="L211" s="17"/>
      <c r="M211" s="17"/>
      <c r="N211" s="17"/>
      <c r="O211" s="17"/>
      <c r="P211" s="18"/>
      <c r="Q211" s="16" t="s">
        <v>83</v>
      </c>
      <c r="R211" s="18"/>
    </row>
    <row r="212" spans="1:18" ht="16.5" customHeight="1">
      <c r="A212" s="10">
        <v>211</v>
      </c>
      <c r="B212" s="10">
        <v>28</v>
      </c>
      <c r="C212" s="10">
        <v>33</v>
      </c>
      <c r="D212" s="11" t="s">
        <v>1119</v>
      </c>
      <c r="E212" s="12" t="s">
        <v>1123</v>
      </c>
      <c r="F212" s="11" t="s">
        <v>1127</v>
      </c>
      <c r="G212" s="10"/>
      <c r="H212" s="13" t="s">
        <v>1128</v>
      </c>
      <c r="I212" s="14" t="s">
        <v>1129</v>
      </c>
      <c r="J212" s="15" t="s">
        <v>1130</v>
      </c>
      <c r="K212" s="16" t="s">
        <v>82</v>
      </c>
      <c r="L212" s="17"/>
      <c r="M212" s="17"/>
      <c r="N212" s="17"/>
      <c r="O212" s="17"/>
      <c r="P212" s="18"/>
      <c r="Q212" s="16" t="s">
        <v>83</v>
      </c>
      <c r="R212" s="18"/>
    </row>
    <row r="213" spans="1:18" ht="16.5" customHeight="1">
      <c r="A213" s="10">
        <v>212</v>
      </c>
      <c r="B213" s="10">
        <v>28</v>
      </c>
      <c r="C213" s="10">
        <v>36</v>
      </c>
      <c r="D213" s="11" t="s">
        <v>1131</v>
      </c>
      <c r="E213" s="12" t="s">
        <v>1132</v>
      </c>
      <c r="F213" s="11" t="s">
        <v>1133</v>
      </c>
      <c r="G213" s="10"/>
      <c r="H213" s="13" t="s">
        <v>1134</v>
      </c>
      <c r="I213" s="14" t="s">
        <v>1135</v>
      </c>
      <c r="J213" s="15" t="s">
        <v>1136</v>
      </c>
      <c r="K213" s="16" t="s">
        <v>82</v>
      </c>
      <c r="L213" s="17"/>
      <c r="M213" s="17"/>
      <c r="N213" s="17"/>
      <c r="O213" s="17"/>
      <c r="P213" s="18"/>
      <c r="Q213" s="16" t="s">
        <v>83</v>
      </c>
      <c r="R213" s="18"/>
    </row>
    <row r="214" spans="1:18" ht="16.5" customHeight="1">
      <c r="A214" s="10">
        <v>213</v>
      </c>
      <c r="B214" s="10">
        <v>28</v>
      </c>
      <c r="C214" s="10">
        <v>37</v>
      </c>
      <c r="D214" s="11" t="s">
        <v>1132</v>
      </c>
      <c r="E214" s="19" t="s">
        <v>1133</v>
      </c>
      <c r="F214" s="11" t="s">
        <v>1137</v>
      </c>
      <c r="G214" s="10" t="s">
        <v>85</v>
      </c>
      <c r="H214" s="13" t="s">
        <v>1138</v>
      </c>
      <c r="I214" s="14" t="s">
        <v>1139</v>
      </c>
      <c r="J214" s="15" t="s">
        <v>1140</v>
      </c>
      <c r="K214" s="16" t="s">
        <v>82</v>
      </c>
      <c r="L214" s="17"/>
      <c r="M214" s="17"/>
      <c r="N214" s="17"/>
      <c r="O214" s="17"/>
      <c r="P214" s="18"/>
      <c r="Q214" s="16" t="s">
        <v>83</v>
      </c>
      <c r="R214" s="18"/>
    </row>
    <row r="215" spans="1:18" ht="16.5" customHeight="1">
      <c r="A215" s="10">
        <v>214</v>
      </c>
      <c r="B215" s="10">
        <v>28</v>
      </c>
      <c r="C215" s="10">
        <v>38</v>
      </c>
      <c r="D215" s="11" t="s">
        <v>1133</v>
      </c>
      <c r="E215" s="12" t="s">
        <v>1137</v>
      </c>
      <c r="F215" s="11" t="s">
        <v>1141</v>
      </c>
      <c r="G215" s="10"/>
      <c r="H215" s="13" t="s">
        <v>1142</v>
      </c>
      <c r="I215" s="14" t="s">
        <v>1143</v>
      </c>
      <c r="J215" s="15" t="s">
        <v>1144</v>
      </c>
      <c r="K215" s="16" t="s">
        <v>89</v>
      </c>
      <c r="L215" s="17" t="s">
        <v>368</v>
      </c>
      <c r="M215" s="17" t="s">
        <v>1145</v>
      </c>
      <c r="N215" s="17" t="s">
        <v>1137</v>
      </c>
      <c r="O215" s="17" t="s">
        <v>1146</v>
      </c>
      <c r="P215" s="18" t="s">
        <v>1147</v>
      </c>
      <c r="Q215" s="16" t="s">
        <v>83</v>
      </c>
      <c r="R215" s="18"/>
    </row>
    <row r="216" spans="1:18" ht="16.5" customHeight="1">
      <c r="A216" s="10">
        <v>215</v>
      </c>
      <c r="B216" s="10">
        <v>28</v>
      </c>
      <c r="C216" s="10">
        <v>41</v>
      </c>
      <c r="D216" s="11" t="s">
        <v>1148</v>
      </c>
      <c r="E216" s="12" t="s">
        <v>1149</v>
      </c>
      <c r="F216" s="11" t="s">
        <v>1150</v>
      </c>
      <c r="G216" s="10"/>
      <c r="H216" s="13" t="s">
        <v>1151</v>
      </c>
      <c r="I216" s="14" t="s">
        <v>1152</v>
      </c>
      <c r="J216" s="15" t="s">
        <v>1153</v>
      </c>
      <c r="K216" s="16" t="s">
        <v>82</v>
      </c>
      <c r="L216" s="17"/>
      <c r="M216" s="17"/>
      <c r="N216" s="17"/>
      <c r="O216" s="17"/>
      <c r="P216" s="18"/>
      <c r="Q216" s="16" t="s">
        <v>83</v>
      </c>
      <c r="R216" s="18"/>
    </row>
    <row r="217" spans="1:18" ht="16.5" customHeight="1">
      <c r="A217" s="10">
        <v>216</v>
      </c>
      <c r="B217" s="10">
        <v>28</v>
      </c>
      <c r="C217" s="10">
        <v>42</v>
      </c>
      <c r="D217" s="11" t="s">
        <v>1149</v>
      </c>
      <c r="E217" s="19" t="s">
        <v>1150</v>
      </c>
      <c r="F217" s="11" t="s">
        <v>1154</v>
      </c>
      <c r="G217" s="10" t="s">
        <v>160</v>
      </c>
      <c r="H217" s="13" t="s">
        <v>1155</v>
      </c>
      <c r="I217" s="14" t="s">
        <v>1156</v>
      </c>
      <c r="J217" s="15" t="s">
        <v>1157</v>
      </c>
      <c r="K217" s="16" t="s">
        <v>89</v>
      </c>
      <c r="L217" s="17" t="s">
        <v>222</v>
      </c>
      <c r="M217" s="17" t="s">
        <v>91</v>
      </c>
      <c r="N217" s="17" t="s">
        <v>1158</v>
      </c>
      <c r="O217" s="17" t="s">
        <v>1159</v>
      </c>
      <c r="P217" s="18" t="s">
        <v>1160</v>
      </c>
      <c r="Q217" s="16" t="s">
        <v>113</v>
      </c>
      <c r="R217" s="18"/>
    </row>
    <row r="218" spans="1:18" ht="16.5" customHeight="1">
      <c r="A218" s="10">
        <v>217</v>
      </c>
      <c r="B218" s="10">
        <v>28</v>
      </c>
      <c r="C218" s="10">
        <v>43</v>
      </c>
      <c r="D218" s="11" t="s">
        <v>1150</v>
      </c>
      <c r="E218" s="12" t="s">
        <v>1154</v>
      </c>
      <c r="F218" s="11" t="s">
        <v>1161</v>
      </c>
      <c r="G218" s="10"/>
      <c r="H218" s="13" t="s">
        <v>1162</v>
      </c>
      <c r="I218" s="14" t="s">
        <v>1163</v>
      </c>
      <c r="J218" s="15" t="s">
        <v>1164</v>
      </c>
      <c r="K218" s="16" t="s">
        <v>82</v>
      </c>
      <c r="L218" s="17"/>
      <c r="M218" s="17"/>
      <c r="N218" s="17"/>
      <c r="O218" s="17"/>
      <c r="P218" s="18"/>
      <c r="Q218" s="16" t="s">
        <v>83</v>
      </c>
      <c r="R218" s="18"/>
    </row>
    <row r="219" spans="1:18" ht="16.5" customHeight="1">
      <c r="A219" s="10">
        <v>218</v>
      </c>
      <c r="B219" s="10">
        <v>28</v>
      </c>
      <c r="C219" s="10">
        <v>45</v>
      </c>
      <c r="D219" s="11" t="s">
        <v>1161</v>
      </c>
      <c r="E219" s="12" t="s">
        <v>1165</v>
      </c>
      <c r="F219" s="11" t="s">
        <v>1166</v>
      </c>
      <c r="G219" s="10"/>
      <c r="H219" s="13" t="s">
        <v>1167</v>
      </c>
      <c r="I219" s="14" t="s">
        <v>1168</v>
      </c>
      <c r="J219" s="15" t="s">
        <v>1169</v>
      </c>
      <c r="K219" s="16" t="s">
        <v>82</v>
      </c>
      <c r="L219" s="17"/>
      <c r="M219" s="17"/>
      <c r="N219" s="17"/>
      <c r="O219" s="17"/>
      <c r="P219" s="18"/>
      <c r="Q219" s="16" t="s">
        <v>83</v>
      </c>
      <c r="R219" s="18"/>
    </row>
    <row r="220" spans="1:18" ht="16.5" customHeight="1">
      <c r="A220" s="10">
        <v>219</v>
      </c>
      <c r="B220" s="10">
        <v>28</v>
      </c>
      <c r="C220" s="10">
        <v>46</v>
      </c>
      <c r="D220" s="11" t="s">
        <v>1165</v>
      </c>
      <c r="E220" s="19" t="s">
        <v>1166</v>
      </c>
      <c r="F220" s="11" t="s">
        <v>1170</v>
      </c>
      <c r="G220" s="10" t="s">
        <v>160</v>
      </c>
      <c r="H220" s="13" t="s">
        <v>1171</v>
      </c>
      <c r="I220" s="14" t="s">
        <v>1172</v>
      </c>
      <c r="J220" s="15" t="s">
        <v>1173</v>
      </c>
      <c r="K220" s="16" t="s">
        <v>82</v>
      </c>
      <c r="L220" s="17"/>
      <c r="M220" s="17"/>
      <c r="N220" s="17"/>
      <c r="O220" s="17"/>
      <c r="P220" s="18"/>
      <c r="Q220" s="16" t="s">
        <v>83</v>
      </c>
      <c r="R220" s="18"/>
    </row>
    <row r="221" spans="1:18" ht="16.5" customHeight="1">
      <c r="A221" s="10">
        <v>220</v>
      </c>
      <c r="B221" s="10">
        <v>28</v>
      </c>
      <c r="C221" s="10">
        <v>47</v>
      </c>
      <c r="D221" s="11" t="s">
        <v>1166</v>
      </c>
      <c r="E221" s="12" t="s">
        <v>1170</v>
      </c>
      <c r="F221" s="11" t="s">
        <v>1174</v>
      </c>
      <c r="G221" s="10"/>
      <c r="H221" s="13" t="s">
        <v>1175</v>
      </c>
      <c r="I221" s="14" t="s">
        <v>1176</v>
      </c>
      <c r="J221" s="15" t="s">
        <v>1177</v>
      </c>
      <c r="K221" s="16" t="s">
        <v>82</v>
      </c>
      <c r="L221" s="17"/>
      <c r="M221" s="17"/>
      <c r="N221" s="17"/>
      <c r="O221" s="17"/>
      <c r="P221" s="18"/>
      <c r="Q221" s="16" t="s">
        <v>83</v>
      </c>
      <c r="R221" s="18"/>
    </row>
    <row r="222" spans="1:18" ht="16.5" customHeight="1">
      <c r="A222" s="10">
        <v>221</v>
      </c>
      <c r="B222" s="10">
        <v>28</v>
      </c>
      <c r="C222" s="10">
        <v>67</v>
      </c>
      <c r="D222" s="11" t="s">
        <v>1178</v>
      </c>
      <c r="E222" s="12" t="s">
        <v>349</v>
      </c>
      <c r="F222" s="11" t="s">
        <v>1179</v>
      </c>
      <c r="G222" s="10"/>
      <c r="H222" s="13" t="s">
        <v>200</v>
      </c>
      <c r="I222" s="14" t="s">
        <v>1096</v>
      </c>
      <c r="J222" s="15" t="s">
        <v>1180</v>
      </c>
      <c r="K222" s="16" t="s">
        <v>82</v>
      </c>
      <c r="L222" s="17"/>
      <c r="M222" s="17"/>
      <c r="N222" s="17"/>
      <c r="O222" s="17"/>
      <c r="P222" s="18"/>
      <c r="Q222" s="16" t="s">
        <v>83</v>
      </c>
      <c r="R222" s="18"/>
    </row>
    <row r="223" spans="1:18" ht="16.5" customHeight="1">
      <c r="A223" s="10">
        <v>222</v>
      </c>
      <c r="B223" s="10">
        <v>28</v>
      </c>
      <c r="C223" s="10">
        <v>68</v>
      </c>
      <c r="D223" s="11" t="s">
        <v>349</v>
      </c>
      <c r="E223" s="19" t="s">
        <v>1179</v>
      </c>
      <c r="F223" s="11" t="s">
        <v>1181</v>
      </c>
      <c r="G223" s="10" t="s">
        <v>1067</v>
      </c>
      <c r="H223" s="13" t="s">
        <v>1182</v>
      </c>
      <c r="I223" s="14" t="s">
        <v>1183</v>
      </c>
      <c r="J223" s="15" t="s">
        <v>1184</v>
      </c>
      <c r="K223" s="16" t="s">
        <v>82</v>
      </c>
      <c r="L223" s="17"/>
      <c r="M223" s="17"/>
      <c r="N223" s="17"/>
      <c r="O223" s="17"/>
      <c r="P223" s="18"/>
      <c r="Q223" s="16" t="s">
        <v>83</v>
      </c>
      <c r="R223" s="18"/>
    </row>
    <row r="224" spans="1:18" ht="16.5" customHeight="1">
      <c r="A224" s="10">
        <v>223</v>
      </c>
      <c r="B224" s="10">
        <v>28</v>
      </c>
      <c r="C224" s="10">
        <v>69</v>
      </c>
      <c r="D224" s="11" t="s">
        <v>1179</v>
      </c>
      <c r="E224" s="19" t="s">
        <v>1181</v>
      </c>
      <c r="F224" s="11" t="s">
        <v>1185</v>
      </c>
      <c r="G224" s="10" t="s">
        <v>1186</v>
      </c>
      <c r="H224" s="13" t="s">
        <v>1187</v>
      </c>
      <c r="I224" s="14" t="s">
        <v>1188</v>
      </c>
      <c r="J224" s="15" t="s">
        <v>1189</v>
      </c>
      <c r="K224" s="16" t="s">
        <v>82</v>
      </c>
      <c r="L224" s="17"/>
      <c r="M224" s="17"/>
      <c r="N224" s="17"/>
      <c r="O224" s="17"/>
      <c r="P224" s="18"/>
      <c r="Q224" s="16" t="s">
        <v>83</v>
      </c>
      <c r="R224" s="18"/>
    </row>
    <row r="225" spans="1:18" ht="16.5" customHeight="1">
      <c r="A225" s="10">
        <v>224</v>
      </c>
      <c r="B225" s="10">
        <v>28</v>
      </c>
      <c r="C225" s="10">
        <v>70</v>
      </c>
      <c r="D225" s="11" t="s">
        <v>1181</v>
      </c>
      <c r="E225" s="12" t="s">
        <v>1185</v>
      </c>
      <c r="F225" s="11" t="s">
        <v>1190</v>
      </c>
      <c r="G225" s="10"/>
      <c r="H225" s="13" t="s">
        <v>1191</v>
      </c>
      <c r="I225" s="14" t="s">
        <v>1192</v>
      </c>
      <c r="J225" s="15" t="s">
        <v>1193</v>
      </c>
      <c r="K225" s="16" t="s">
        <v>82</v>
      </c>
      <c r="L225" s="17"/>
      <c r="M225" s="17"/>
      <c r="N225" s="17"/>
      <c r="O225" s="17"/>
      <c r="P225" s="18"/>
      <c r="Q225" s="16" t="s">
        <v>83</v>
      </c>
      <c r="R225" s="18"/>
    </row>
    <row r="226" spans="1:18" ht="16.5" customHeight="1">
      <c r="A226" s="10">
        <v>225</v>
      </c>
      <c r="B226" s="10">
        <v>28</v>
      </c>
      <c r="C226" s="10">
        <v>71</v>
      </c>
      <c r="D226" s="11" t="s">
        <v>1185</v>
      </c>
      <c r="E226" s="19" t="s">
        <v>1190</v>
      </c>
      <c r="F226" s="11"/>
      <c r="G226" s="10" t="s">
        <v>133</v>
      </c>
      <c r="H226" s="13" t="s">
        <v>1194</v>
      </c>
      <c r="I226" s="14" t="s">
        <v>1195</v>
      </c>
      <c r="J226" s="15" t="s">
        <v>1196</v>
      </c>
      <c r="K226" s="16" t="s">
        <v>82</v>
      </c>
      <c r="L226" s="17"/>
      <c r="M226" s="17"/>
      <c r="N226" s="17"/>
      <c r="O226" s="17"/>
      <c r="P226" s="18"/>
      <c r="Q226" s="16" t="s">
        <v>83</v>
      </c>
      <c r="R226" s="18"/>
    </row>
    <row r="227" spans="1:18" ht="16.5" customHeight="1">
      <c r="A227" s="10">
        <v>226</v>
      </c>
      <c r="B227" s="10">
        <v>29</v>
      </c>
      <c r="C227" s="10">
        <v>1</v>
      </c>
      <c r="D227" s="11"/>
      <c r="E227" s="12" t="s">
        <v>260</v>
      </c>
      <c r="F227" s="11" t="s">
        <v>1197</v>
      </c>
      <c r="G227" s="10"/>
      <c r="H227" s="13" t="s">
        <v>262</v>
      </c>
      <c r="I227" s="14" t="s">
        <v>263</v>
      </c>
      <c r="J227" s="15" t="s">
        <v>263</v>
      </c>
      <c r="K227" s="16" t="s">
        <v>82</v>
      </c>
      <c r="L227" s="17"/>
      <c r="M227" s="17"/>
      <c r="N227" s="17"/>
      <c r="O227" s="17"/>
      <c r="P227" s="18"/>
      <c r="Q227" s="16" t="s">
        <v>83</v>
      </c>
      <c r="R227" s="18"/>
    </row>
    <row r="228" spans="1:18" ht="16.5" customHeight="1">
      <c r="A228" s="10">
        <v>227</v>
      </c>
      <c r="B228" s="10">
        <v>29</v>
      </c>
      <c r="C228" s="10">
        <v>16</v>
      </c>
      <c r="D228" s="11" t="s">
        <v>1198</v>
      </c>
      <c r="E228" s="12" t="s">
        <v>1199</v>
      </c>
      <c r="F228" s="11" t="s">
        <v>1200</v>
      </c>
      <c r="G228" s="10"/>
      <c r="H228" s="13" t="s">
        <v>262</v>
      </c>
      <c r="I228" s="14" t="s">
        <v>1201</v>
      </c>
      <c r="J228" s="15" t="s">
        <v>1202</v>
      </c>
      <c r="K228" s="16" t="s">
        <v>82</v>
      </c>
      <c r="L228" s="17"/>
      <c r="M228" s="17"/>
      <c r="N228" s="17"/>
      <c r="O228" s="17"/>
      <c r="P228" s="18"/>
      <c r="Q228" s="16" t="s">
        <v>83</v>
      </c>
      <c r="R228" s="18"/>
    </row>
    <row r="229" spans="1:18" ht="16.5" customHeight="1">
      <c r="A229" s="10">
        <v>228</v>
      </c>
      <c r="B229" s="10">
        <v>29</v>
      </c>
      <c r="C229" s="10">
        <v>17</v>
      </c>
      <c r="D229" s="11" t="s">
        <v>1199</v>
      </c>
      <c r="E229" s="19" t="s">
        <v>1200</v>
      </c>
      <c r="F229" s="11" t="s">
        <v>1203</v>
      </c>
      <c r="G229" s="10" t="s">
        <v>1200</v>
      </c>
      <c r="H229" s="13" t="s">
        <v>1204</v>
      </c>
      <c r="I229" s="14" t="s">
        <v>1205</v>
      </c>
      <c r="J229" s="15" t="s">
        <v>1206</v>
      </c>
      <c r="K229" s="16" t="s">
        <v>89</v>
      </c>
      <c r="L229" s="17" t="s">
        <v>128</v>
      </c>
      <c r="M229" s="17" t="s">
        <v>91</v>
      </c>
      <c r="N229" s="17" t="s">
        <v>1200</v>
      </c>
      <c r="O229" s="17" t="s">
        <v>1207</v>
      </c>
      <c r="P229" s="18" t="s">
        <v>1208</v>
      </c>
      <c r="Q229" s="16" t="s">
        <v>113</v>
      </c>
      <c r="R229" s="18"/>
    </row>
    <row r="230" spans="1:18" ht="16.5" customHeight="1">
      <c r="A230" s="10">
        <v>229</v>
      </c>
      <c r="B230" s="10">
        <v>29</v>
      </c>
      <c r="C230" s="10">
        <v>18</v>
      </c>
      <c r="D230" s="11" t="s">
        <v>1200</v>
      </c>
      <c r="E230" s="12" t="s">
        <v>1203</v>
      </c>
      <c r="F230" s="11" t="s">
        <v>1209</v>
      </c>
      <c r="G230" s="10"/>
      <c r="H230" s="13" t="s">
        <v>1210</v>
      </c>
      <c r="I230" s="14" t="s">
        <v>1211</v>
      </c>
      <c r="J230" s="15" t="s">
        <v>1212</v>
      </c>
      <c r="K230" s="16" t="s">
        <v>82</v>
      </c>
      <c r="L230" s="17"/>
      <c r="M230" s="17"/>
      <c r="N230" s="17"/>
      <c r="O230" s="17"/>
      <c r="P230" s="18"/>
      <c r="Q230" s="16" t="s">
        <v>83</v>
      </c>
      <c r="R230" s="18"/>
    </row>
    <row r="231" spans="1:18" ht="16.5" customHeight="1">
      <c r="A231" s="10">
        <v>230</v>
      </c>
      <c r="B231" s="10">
        <v>29</v>
      </c>
      <c r="C231" s="10">
        <v>19</v>
      </c>
      <c r="D231" s="11" t="s">
        <v>1203</v>
      </c>
      <c r="E231" s="19" t="s">
        <v>1209</v>
      </c>
      <c r="F231" s="11" t="s">
        <v>1213</v>
      </c>
      <c r="G231" s="10" t="s">
        <v>1209</v>
      </c>
      <c r="H231" s="13" t="s">
        <v>1214</v>
      </c>
      <c r="I231" s="14" t="s">
        <v>1215</v>
      </c>
      <c r="J231" s="15" t="s">
        <v>1216</v>
      </c>
      <c r="K231" s="16" t="s">
        <v>82</v>
      </c>
      <c r="L231" s="17"/>
      <c r="M231" s="17"/>
      <c r="N231" s="17"/>
      <c r="O231" s="17"/>
      <c r="P231" s="18"/>
      <c r="Q231" s="16" t="s">
        <v>83</v>
      </c>
      <c r="R231" s="18"/>
    </row>
    <row r="232" spans="1:18" ht="16.5" customHeight="1">
      <c r="A232" s="10">
        <v>231</v>
      </c>
      <c r="B232" s="10">
        <v>29</v>
      </c>
      <c r="C232" s="10">
        <v>20</v>
      </c>
      <c r="D232" s="11" t="s">
        <v>1209</v>
      </c>
      <c r="E232" s="12" t="s">
        <v>1213</v>
      </c>
      <c r="F232" s="11" t="s">
        <v>1217</v>
      </c>
      <c r="G232" s="10"/>
      <c r="H232" s="13" t="s">
        <v>1218</v>
      </c>
      <c r="I232" s="14" t="s">
        <v>1219</v>
      </c>
      <c r="J232" s="15" t="s">
        <v>1220</v>
      </c>
      <c r="K232" s="16" t="s">
        <v>82</v>
      </c>
      <c r="L232" s="17"/>
      <c r="M232" s="17"/>
      <c r="N232" s="17"/>
      <c r="O232" s="17"/>
      <c r="P232" s="18"/>
      <c r="Q232" s="16" t="s">
        <v>83</v>
      </c>
      <c r="R232" s="18"/>
    </row>
    <row r="233" spans="1:18" ht="16.5" customHeight="1">
      <c r="A233" s="10">
        <v>232</v>
      </c>
      <c r="B233" s="10">
        <v>29</v>
      </c>
      <c r="C233" s="10">
        <v>22</v>
      </c>
      <c r="D233" s="11" t="s">
        <v>1217</v>
      </c>
      <c r="E233" s="12" t="s">
        <v>1221</v>
      </c>
      <c r="F233" s="11" t="s">
        <v>1222</v>
      </c>
      <c r="G233" s="10"/>
      <c r="H233" s="13" t="s">
        <v>1223</v>
      </c>
      <c r="I233" s="14" t="s">
        <v>1224</v>
      </c>
      <c r="J233" s="15" t="s">
        <v>1225</v>
      </c>
      <c r="K233" s="16" t="s">
        <v>82</v>
      </c>
      <c r="L233" s="17"/>
      <c r="M233" s="17"/>
      <c r="N233" s="17"/>
      <c r="O233" s="17"/>
      <c r="P233" s="18"/>
      <c r="Q233" s="16" t="s">
        <v>83</v>
      </c>
      <c r="R233" s="18"/>
    </row>
    <row r="234" spans="1:18" ht="16.5" customHeight="1">
      <c r="A234" s="10">
        <v>233</v>
      </c>
      <c r="B234" s="10">
        <v>29</v>
      </c>
      <c r="C234" s="10">
        <v>23</v>
      </c>
      <c r="D234" s="11" t="s">
        <v>1221</v>
      </c>
      <c r="E234" s="19" t="s">
        <v>1222</v>
      </c>
      <c r="F234" s="11" t="s">
        <v>1226</v>
      </c>
      <c r="G234" s="10" t="s">
        <v>1067</v>
      </c>
      <c r="H234" s="13" t="s">
        <v>1227</v>
      </c>
      <c r="I234" s="14" t="s">
        <v>1228</v>
      </c>
      <c r="J234" s="15" t="s">
        <v>1229</v>
      </c>
      <c r="K234" s="16" t="s">
        <v>82</v>
      </c>
      <c r="L234" s="17"/>
      <c r="M234" s="17"/>
      <c r="N234" s="17"/>
      <c r="O234" s="17"/>
      <c r="P234" s="18"/>
      <c r="Q234" s="16" t="s">
        <v>83</v>
      </c>
      <c r="R234" s="18"/>
    </row>
    <row r="235" spans="1:18" ht="16.5" customHeight="1">
      <c r="A235" s="10">
        <v>234</v>
      </c>
      <c r="B235" s="10">
        <v>29</v>
      </c>
      <c r="C235" s="10">
        <v>24</v>
      </c>
      <c r="D235" s="11" t="s">
        <v>1222</v>
      </c>
      <c r="E235" s="19" t="s">
        <v>1226</v>
      </c>
      <c r="F235" s="11" t="s">
        <v>1230</v>
      </c>
      <c r="G235" s="10" t="s">
        <v>397</v>
      </c>
      <c r="H235" s="13" t="s">
        <v>1231</v>
      </c>
      <c r="I235" s="14" t="s">
        <v>1232</v>
      </c>
      <c r="J235" s="15" t="s">
        <v>1233</v>
      </c>
      <c r="K235" s="16" t="s">
        <v>89</v>
      </c>
      <c r="L235" s="17" t="s">
        <v>368</v>
      </c>
      <c r="M235" s="17" t="s">
        <v>91</v>
      </c>
      <c r="N235" s="17" t="s">
        <v>397</v>
      </c>
      <c r="O235" s="17" t="s">
        <v>1234</v>
      </c>
      <c r="P235" s="18" t="s">
        <v>508</v>
      </c>
      <c r="Q235" s="16" t="s">
        <v>83</v>
      </c>
      <c r="R235" s="18"/>
    </row>
    <row r="236" spans="1:18" ht="16.5" customHeight="1">
      <c r="A236" s="10">
        <v>235</v>
      </c>
      <c r="B236" s="10">
        <v>29</v>
      </c>
      <c r="C236" s="10">
        <v>25</v>
      </c>
      <c r="D236" s="11" t="s">
        <v>1226</v>
      </c>
      <c r="E236" s="12" t="s">
        <v>1230</v>
      </c>
      <c r="F236" s="11" t="s">
        <v>1235</v>
      </c>
      <c r="G236" s="10"/>
      <c r="H236" s="13" t="s">
        <v>1236</v>
      </c>
      <c r="I236" s="14" t="s">
        <v>1237</v>
      </c>
      <c r="J236" s="15" t="s">
        <v>1238</v>
      </c>
      <c r="K236" s="16" t="s">
        <v>82</v>
      </c>
      <c r="L236" s="17"/>
      <c r="M236" s="17"/>
      <c r="N236" s="17"/>
      <c r="O236" s="17"/>
      <c r="P236" s="18"/>
      <c r="Q236" s="16" t="s">
        <v>83</v>
      </c>
      <c r="R236" s="18"/>
    </row>
    <row r="237" spans="1:18" ht="16.5" customHeight="1">
      <c r="A237" s="10">
        <v>236</v>
      </c>
      <c r="B237" s="10">
        <v>29</v>
      </c>
      <c r="C237" s="10">
        <v>26</v>
      </c>
      <c r="D237" s="11" t="s">
        <v>1230</v>
      </c>
      <c r="E237" s="12" t="s">
        <v>1235</v>
      </c>
      <c r="F237" s="11" t="s">
        <v>1239</v>
      </c>
      <c r="G237" s="10"/>
      <c r="H237" s="13" t="s">
        <v>1240</v>
      </c>
      <c r="I237" s="14" t="s">
        <v>1241</v>
      </c>
      <c r="J237" s="15" t="s">
        <v>1242</v>
      </c>
      <c r="K237" s="16" t="s">
        <v>82</v>
      </c>
      <c r="L237" s="17"/>
      <c r="M237" s="17"/>
      <c r="N237" s="17"/>
      <c r="O237" s="17"/>
      <c r="P237" s="18"/>
      <c r="Q237" s="16" t="s">
        <v>83</v>
      </c>
      <c r="R237" s="18"/>
    </row>
    <row r="238" spans="1:18" ht="16.5" customHeight="1">
      <c r="A238" s="10">
        <v>237</v>
      </c>
      <c r="B238" s="10">
        <v>29</v>
      </c>
      <c r="C238" s="10">
        <v>27</v>
      </c>
      <c r="D238" s="11" t="s">
        <v>1235</v>
      </c>
      <c r="E238" s="19" t="s">
        <v>1239</v>
      </c>
      <c r="F238" s="11" t="s">
        <v>1243</v>
      </c>
      <c r="G238" s="10" t="s">
        <v>1244</v>
      </c>
      <c r="H238" s="13" t="s">
        <v>1245</v>
      </c>
      <c r="I238" s="14" t="s">
        <v>1246</v>
      </c>
      <c r="J238" s="15" t="s">
        <v>1247</v>
      </c>
      <c r="K238" s="16" t="s">
        <v>82</v>
      </c>
      <c r="L238" s="17"/>
      <c r="M238" s="17"/>
      <c r="N238" s="17"/>
      <c r="O238" s="17"/>
      <c r="P238" s="18"/>
      <c r="Q238" s="16" t="s">
        <v>83</v>
      </c>
      <c r="R238" s="18"/>
    </row>
    <row r="239" spans="1:18" ht="16.5" customHeight="1">
      <c r="A239" s="10">
        <v>238</v>
      </c>
      <c r="B239" s="10">
        <v>29</v>
      </c>
      <c r="C239" s="10">
        <v>28</v>
      </c>
      <c r="D239" s="11" t="s">
        <v>1239</v>
      </c>
      <c r="E239" s="12" t="s">
        <v>1243</v>
      </c>
      <c r="F239" s="11" t="s">
        <v>1248</v>
      </c>
      <c r="G239" s="10"/>
      <c r="H239" s="13" t="s">
        <v>1249</v>
      </c>
      <c r="I239" s="14" t="s">
        <v>1250</v>
      </c>
      <c r="J239" s="15" t="s">
        <v>1251</v>
      </c>
      <c r="K239" s="16" t="s">
        <v>82</v>
      </c>
      <c r="L239" s="17"/>
      <c r="M239" s="17"/>
      <c r="N239" s="17"/>
      <c r="O239" s="17"/>
      <c r="P239" s="18"/>
      <c r="Q239" s="16" t="s">
        <v>83</v>
      </c>
      <c r="R239" s="18"/>
    </row>
    <row r="240" spans="1:18" ht="26.25" customHeight="1">
      <c r="A240" s="10">
        <v>239</v>
      </c>
      <c r="B240" s="10">
        <v>29</v>
      </c>
      <c r="C240" s="10">
        <v>55</v>
      </c>
      <c r="D240" s="11" t="s">
        <v>1252</v>
      </c>
      <c r="E240" s="12" t="s">
        <v>1253</v>
      </c>
      <c r="F240" s="11" t="s">
        <v>1254</v>
      </c>
      <c r="G240" s="10"/>
      <c r="H240" s="13" t="s">
        <v>1255</v>
      </c>
      <c r="I240" s="14" t="s">
        <v>1256</v>
      </c>
      <c r="J240" s="15" t="s">
        <v>1257</v>
      </c>
      <c r="K240" s="16" t="s">
        <v>82</v>
      </c>
      <c r="L240" s="17"/>
      <c r="M240" s="17"/>
      <c r="N240" s="17"/>
      <c r="O240" s="17"/>
      <c r="P240" s="18"/>
      <c r="Q240" s="16" t="s">
        <v>83</v>
      </c>
      <c r="R240" s="18"/>
    </row>
    <row r="241" spans="1:18" ht="16.5" customHeight="1">
      <c r="A241" s="10">
        <v>240</v>
      </c>
      <c r="B241" s="10">
        <v>29</v>
      </c>
      <c r="C241" s="10">
        <v>56</v>
      </c>
      <c r="D241" s="11" t="s">
        <v>1253</v>
      </c>
      <c r="E241" s="19" t="s">
        <v>1254</v>
      </c>
      <c r="F241" s="11" t="s">
        <v>1258</v>
      </c>
      <c r="G241" s="10" t="s">
        <v>160</v>
      </c>
      <c r="H241" s="13" t="s">
        <v>1259</v>
      </c>
      <c r="I241" s="14" t="s">
        <v>1260</v>
      </c>
      <c r="J241" s="15" t="s">
        <v>1261</v>
      </c>
      <c r="K241" s="16" t="s">
        <v>82</v>
      </c>
      <c r="L241" s="17"/>
      <c r="M241" s="17"/>
      <c r="N241" s="17"/>
      <c r="O241" s="17"/>
      <c r="P241" s="18"/>
      <c r="Q241" s="16" t="s">
        <v>83</v>
      </c>
      <c r="R241" s="18"/>
    </row>
    <row r="242" spans="1:18" ht="16.5" customHeight="1">
      <c r="A242" s="10">
        <v>241</v>
      </c>
      <c r="B242" s="10">
        <v>29</v>
      </c>
      <c r="C242" s="10">
        <v>57</v>
      </c>
      <c r="D242" s="11" t="s">
        <v>1254</v>
      </c>
      <c r="E242" s="19" t="s">
        <v>1258</v>
      </c>
      <c r="F242" s="11" t="s">
        <v>1262</v>
      </c>
      <c r="G242" s="10" t="s">
        <v>338</v>
      </c>
      <c r="H242" s="13" t="s">
        <v>1263</v>
      </c>
      <c r="I242" s="14" t="s">
        <v>1264</v>
      </c>
      <c r="J242" s="15" t="s">
        <v>1265</v>
      </c>
      <c r="K242" s="16" t="s">
        <v>82</v>
      </c>
      <c r="L242" s="17"/>
      <c r="M242" s="17"/>
      <c r="N242" s="17"/>
      <c r="O242" s="17"/>
      <c r="P242" s="18"/>
      <c r="Q242" s="16" t="s">
        <v>83</v>
      </c>
      <c r="R242" s="18"/>
    </row>
    <row r="243" spans="1:18" ht="16.5" customHeight="1">
      <c r="A243" s="10">
        <v>242</v>
      </c>
      <c r="B243" s="10">
        <v>29</v>
      </c>
      <c r="C243" s="10">
        <v>58</v>
      </c>
      <c r="D243" s="11" t="s">
        <v>1258</v>
      </c>
      <c r="E243" s="12" t="s">
        <v>1262</v>
      </c>
      <c r="F243" s="11" t="s">
        <v>1266</v>
      </c>
      <c r="G243" s="10"/>
      <c r="H243" s="13" t="s">
        <v>1267</v>
      </c>
      <c r="I243" s="14" t="s">
        <v>1268</v>
      </c>
      <c r="J243" s="15" t="s">
        <v>1268</v>
      </c>
      <c r="K243" s="16" t="s">
        <v>82</v>
      </c>
      <c r="L243" s="17"/>
      <c r="M243" s="17"/>
      <c r="N243" s="17"/>
      <c r="O243" s="17"/>
      <c r="P243" s="18"/>
      <c r="Q243" s="16" t="s">
        <v>83</v>
      </c>
      <c r="R243" s="18"/>
    </row>
    <row r="244" spans="1:18" ht="26.25" customHeight="1">
      <c r="A244" s="10">
        <v>243</v>
      </c>
      <c r="B244" s="10">
        <v>29</v>
      </c>
      <c r="C244" s="10">
        <v>61</v>
      </c>
      <c r="D244" s="11" t="s">
        <v>1269</v>
      </c>
      <c r="E244" s="12" t="s">
        <v>1270</v>
      </c>
      <c r="F244" s="11" t="s">
        <v>1271</v>
      </c>
      <c r="G244" s="10"/>
      <c r="H244" s="13" t="s">
        <v>1272</v>
      </c>
      <c r="I244" s="14" t="s">
        <v>1273</v>
      </c>
      <c r="J244" s="15" t="s">
        <v>1274</v>
      </c>
      <c r="K244" s="16" t="s">
        <v>82</v>
      </c>
      <c r="L244" s="17"/>
      <c r="M244" s="17"/>
      <c r="N244" s="17"/>
      <c r="O244" s="17"/>
      <c r="P244" s="18"/>
      <c r="Q244" s="16" t="s">
        <v>83</v>
      </c>
      <c r="R244" s="18"/>
    </row>
    <row r="245" spans="1:18" ht="16.5" customHeight="1">
      <c r="A245" s="10">
        <v>244</v>
      </c>
      <c r="B245" s="10">
        <v>29</v>
      </c>
      <c r="C245" s="10">
        <v>62</v>
      </c>
      <c r="D245" s="11" t="s">
        <v>1270</v>
      </c>
      <c r="E245" s="19" t="s">
        <v>1271</v>
      </c>
      <c r="F245" s="11" t="s">
        <v>1275</v>
      </c>
      <c r="G245" s="10" t="s">
        <v>305</v>
      </c>
      <c r="H245" s="13" t="s">
        <v>1276</v>
      </c>
      <c r="I245" s="14" t="s">
        <v>1277</v>
      </c>
      <c r="J245" s="15" t="s">
        <v>1278</v>
      </c>
      <c r="K245" s="16" t="s">
        <v>82</v>
      </c>
      <c r="L245" s="17"/>
      <c r="M245" s="17"/>
      <c r="N245" s="17"/>
      <c r="O245" s="17"/>
      <c r="P245" s="18"/>
      <c r="Q245" s="16" t="s">
        <v>83</v>
      </c>
      <c r="R245" s="18"/>
    </row>
    <row r="246" spans="1:18" ht="16.5" customHeight="1">
      <c r="A246" s="10">
        <v>245</v>
      </c>
      <c r="B246" s="10">
        <v>29</v>
      </c>
      <c r="C246" s="10">
        <v>63</v>
      </c>
      <c r="D246" s="11" t="s">
        <v>1271</v>
      </c>
      <c r="E246" s="12" t="s">
        <v>1275</v>
      </c>
      <c r="F246" s="11" t="s">
        <v>1279</v>
      </c>
      <c r="G246" s="10"/>
      <c r="H246" s="13" t="s">
        <v>1280</v>
      </c>
      <c r="I246" s="14" t="s">
        <v>1281</v>
      </c>
      <c r="J246" s="15" t="s">
        <v>1282</v>
      </c>
      <c r="K246" s="16" t="s">
        <v>82</v>
      </c>
      <c r="L246" s="17"/>
      <c r="M246" s="17"/>
      <c r="N246" s="17"/>
      <c r="O246" s="17"/>
      <c r="P246" s="18"/>
      <c r="Q246" s="16" t="s">
        <v>83</v>
      </c>
      <c r="R246" s="18"/>
    </row>
    <row r="247" spans="1:18" ht="16.5" customHeight="1">
      <c r="A247" s="10">
        <v>246</v>
      </c>
      <c r="B247" s="10">
        <v>29</v>
      </c>
      <c r="C247" s="10">
        <v>67</v>
      </c>
      <c r="D247" s="11" t="s">
        <v>1283</v>
      </c>
      <c r="E247" s="12" t="s">
        <v>1284</v>
      </c>
      <c r="F247" s="11" t="s">
        <v>1285</v>
      </c>
      <c r="G247" s="10"/>
      <c r="H247" s="13" t="s">
        <v>1286</v>
      </c>
      <c r="I247" s="14" t="s">
        <v>1287</v>
      </c>
      <c r="J247" s="15" t="s">
        <v>1288</v>
      </c>
      <c r="K247" s="16" t="s">
        <v>82</v>
      </c>
      <c r="L247" s="17"/>
      <c r="M247" s="17"/>
      <c r="N247" s="17"/>
      <c r="O247" s="17"/>
      <c r="P247" s="18"/>
      <c r="Q247" s="16" t="s">
        <v>83</v>
      </c>
      <c r="R247" s="18"/>
    </row>
    <row r="248" spans="1:18" ht="16.5" customHeight="1">
      <c r="A248" s="10">
        <v>247</v>
      </c>
      <c r="B248" s="10">
        <v>29</v>
      </c>
      <c r="C248" s="10">
        <v>68</v>
      </c>
      <c r="D248" s="11" t="s">
        <v>1284</v>
      </c>
      <c r="E248" s="19" t="s">
        <v>1285</v>
      </c>
      <c r="F248" s="11" t="s">
        <v>1289</v>
      </c>
      <c r="G248" s="10" t="s">
        <v>133</v>
      </c>
      <c r="H248" s="13" t="s">
        <v>1290</v>
      </c>
      <c r="I248" s="14" t="s">
        <v>1291</v>
      </c>
      <c r="J248" s="15" t="s">
        <v>1292</v>
      </c>
      <c r="K248" s="16" t="s">
        <v>82</v>
      </c>
      <c r="L248" s="17"/>
      <c r="M248" s="17"/>
      <c r="N248" s="17"/>
      <c r="O248" s="17"/>
      <c r="P248" s="18"/>
      <c r="Q248" s="16" t="s">
        <v>83</v>
      </c>
      <c r="R248" s="18"/>
    </row>
    <row r="249" spans="1:18" ht="16.5" customHeight="1">
      <c r="A249" s="10">
        <v>248</v>
      </c>
      <c r="B249" s="10">
        <v>29</v>
      </c>
      <c r="C249" s="10">
        <v>69</v>
      </c>
      <c r="D249" s="11" t="s">
        <v>1285</v>
      </c>
      <c r="E249" s="12" t="s">
        <v>1289</v>
      </c>
      <c r="F249" s="11" t="s">
        <v>1293</v>
      </c>
      <c r="G249" s="10"/>
      <c r="H249" s="13" t="s">
        <v>1294</v>
      </c>
      <c r="I249" s="14" t="s">
        <v>1295</v>
      </c>
      <c r="J249" s="15" t="s">
        <v>1296</v>
      </c>
      <c r="K249" s="16" t="s">
        <v>82</v>
      </c>
      <c r="L249" s="17"/>
      <c r="M249" s="17"/>
      <c r="N249" s="17"/>
      <c r="O249" s="17"/>
      <c r="P249" s="18"/>
      <c r="Q249" s="16" t="s">
        <v>83</v>
      </c>
      <c r="R249" s="18"/>
    </row>
    <row r="250" spans="1:18" ht="16.5" customHeight="1">
      <c r="A250" s="10">
        <v>249</v>
      </c>
      <c r="B250" s="10">
        <v>29</v>
      </c>
      <c r="C250" s="10">
        <v>74</v>
      </c>
      <c r="D250" s="11" t="s">
        <v>1297</v>
      </c>
      <c r="E250" s="12" t="s">
        <v>1298</v>
      </c>
      <c r="F250" s="11" t="s">
        <v>1299</v>
      </c>
      <c r="G250" s="10"/>
      <c r="H250" s="13" t="s">
        <v>1300</v>
      </c>
      <c r="I250" s="14" t="s">
        <v>1301</v>
      </c>
      <c r="J250" s="15" t="s">
        <v>1302</v>
      </c>
      <c r="K250" s="16" t="s">
        <v>82</v>
      </c>
      <c r="L250" s="17"/>
      <c r="M250" s="17"/>
      <c r="N250" s="17"/>
      <c r="O250" s="17"/>
      <c r="P250" s="18"/>
      <c r="Q250" s="16" t="s">
        <v>83</v>
      </c>
      <c r="R250" s="18"/>
    </row>
    <row r="251" spans="1:18" ht="16.5" customHeight="1">
      <c r="A251" s="10">
        <v>250</v>
      </c>
      <c r="B251" s="10">
        <v>29</v>
      </c>
      <c r="C251" s="10">
        <v>75</v>
      </c>
      <c r="D251" s="11" t="s">
        <v>1298</v>
      </c>
      <c r="E251" s="19" t="s">
        <v>1299</v>
      </c>
      <c r="F251" s="11" t="s">
        <v>1303</v>
      </c>
      <c r="G251" s="10" t="s">
        <v>160</v>
      </c>
      <c r="H251" s="13" t="s">
        <v>1304</v>
      </c>
      <c r="I251" s="14" t="s">
        <v>1305</v>
      </c>
      <c r="J251" s="15" t="s">
        <v>1306</v>
      </c>
      <c r="K251" s="16" t="s">
        <v>89</v>
      </c>
      <c r="L251" s="17" t="s">
        <v>155</v>
      </c>
      <c r="M251" s="17" t="s">
        <v>91</v>
      </c>
      <c r="N251" s="17" t="s">
        <v>1307</v>
      </c>
      <c r="O251" s="17" t="s">
        <v>1308</v>
      </c>
      <c r="P251" s="18" t="s">
        <v>1309</v>
      </c>
      <c r="Q251" s="16" t="s">
        <v>113</v>
      </c>
      <c r="R251" s="18"/>
    </row>
    <row r="252" spans="1:18" ht="16.5" customHeight="1">
      <c r="A252" s="10">
        <v>251</v>
      </c>
      <c r="B252" s="10">
        <v>29</v>
      </c>
      <c r="C252" s="10">
        <v>76</v>
      </c>
      <c r="D252" s="11" t="s">
        <v>1299</v>
      </c>
      <c r="E252" s="19" t="s">
        <v>1303</v>
      </c>
      <c r="F252" s="11" t="s">
        <v>1310</v>
      </c>
      <c r="G252" s="10" t="s">
        <v>160</v>
      </c>
      <c r="H252" s="13" t="s">
        <v>1311</v>
      </c>
      <c r="I252" s="14" t="s">
        <v>1312</v>
      </c>
      <c r="J252" s="15" t="s">
        <v>1313</v>
      </c>
      <c r="K252" s="16" t="s">
        <v>89</v>
      </c>
      <c r="L252" s="17" t="s">
        <v>155</v>
      </c>
      <c r="M252" s="17" t="s">
        <v>91</v>
      </c>
      <c r="N252" s="17" t="s">
        <v>1314</v>
      </c>
      <c r="O252" s="17" t="s">
        <v>362</v>
      </c>
      <c r="P252" s="18" t="s">
        <v>363</v>
      </c>
      <c r="Q252" s="16" t="s">
        <v>113</v>
      </c>
      <c r="R252" s="18"/>
    </row>
    <row r="253" spans="1:18" ht="16.5" customHeight="1">
      <c r="A253" s="10">
        <v>252</v>
      </c>
      <c r="B253" s="10">
        <v>29</v>
      </c>
      <c r="C253" s="10">
        <v>77</v>
      </c>
      <c r="D253" s="11" t="s">
        <v>1303</v>
      </c>
      <c r="E253" s="12" t="s">
        <v>1310</v>
      </c>
      <c r="F253" s="11" t="s">
        <v>1315</v>
      </c>
      <c r="G253" s="10"/>
      <c r="H253" s="13"/>
      <c r="I253" s="14" t="s">
        <v>1316</v>
      </c>
      <c r="J253" s="15" t="s">
        <v>1317</v>
      </c>
      <c r="K253" s="16" t="s">
        <v>82</v>
      </c>
      <c r="L253" s="17"/>
      <c r="M253" s="17"/>
      <c r="N253" s="17"/>
      <c r="O253" s="17"/>
      <c r="P253" s="18"/>
      <c r="Q253" s="16" t="s">
        <v>83</v>
      </c>
      <c r="R253" s="18"/>
    </row>
    <row r="254" spans="1:18" ht="16.5" customHeight="1">
      <c r="A254" s="10">
        <v>253</v>
      </c>
      <c r="B254" s="10">
        <v>29</v>
      </c>
      <c r="C254" s="10">
        <v>78</v>
      </c>
      <c r="D254" s="11" t="s">
        <v>1310</v>
      </c>
      <c r="E254" s="19" t="s">
        <v>1315</v>
      </c>
      <c r="F254" s="11" t="s">
        <v>1318</v>
      </c>
      <c r="G254" s="10" t="s">
        <v>160</v>
      </c>
      <c r="H254" s="13" t="s">
        <v>1319</v>
      </c>
      <c r="I254" s="14" t="s">
        <v>1320</v>
      </c>
      <c r="J254" s="15" t="s">
        <v>1321</v>
      </c>
      <c r="K254" s="16" t="s">
        <v>89</v>
      </c>
      <c r="L254" s="17" t="s">
        <v>90</v>
      </c>
      <c r="M254" s="17" t="s">
        <v>91</v>
      </c>
      <c r="N254" s="17" t="s">
        <v>1322</v>
      </c>
      <c r="O254" s="17" t="s">
        <v>1323</v>
      </c>
      <c r="P254" s="18" t="s">
        <v>1324</v>
      </c>
      <c r="Q254" s="16" t="s">
        <v>83</v>
      </c>
      <c r="R254" s="18"/>
    </row>
    <row r="255" spans="1:18" ht="16.5" customHeight="1">
      <c r="A255" s="10">
        <v>254</v>
      </c>
      <c r="B255" s="10">
        <v>29</v>
      </c>
      <c r="C255" s="10">
        <v>79</v>
      </c>
      <c r="D255" s="11" t="s">
        <v>1315</v>
      </c>
      <c r="E255" s="12" t="s">
        <v>1318</v>
      </c>
      <c r="F255" s="11" t="s">
        <v>1325</v>
      </c>
      <c r="G255" s="10"/>
      <c r="H255" s="13" t="s">
        <v>1326</v>
      </c>
      <c r="I255" s="14" t="s">
        <v>1327</v>
      </c>
      <c r="J255" s="15" t="s">
        <v>1328</v>
      </c>
      <c r="K255" s="16" t="s">
        <v>82</v>
      </c>
      <c r="L255" s="17"/>
      <c r="M255" s="17"/>
      <c r="N255" s="17"/>
      <c r="O255" s="17"/>
      <c r="P255" s="18"/>
      <c r="Q255" s="16" t="s">
        <v>83</v>
      </c>
      <c r="R255" s="18"/>
    </row>
    <row r="256" spans="1:18" ht="16.5" customHeight="1">
      <c r="A256" s="10">
        <v>255</v>
      </c>
      <c r="B256" s="10">
        <v>29</v>
      </c>
      <c r="C256" s="10">
        <v>80</v>
      </c>
      <c r="D256" s="11" t="s">
        <v>1318</v>
      </c>
      <c r="E256" s="19" t="s">
        <v>1325</v>
      </c>
      <c r="F256" s="11" t="s">
        <v>1329</v>
      </c>
      <c r="G256" s="10" t="s">
        <v>305</v>
      </c>
      <c r="H256" s="13" t="s">
        <v>1330</v>
      </c>
      <c r="I256" s="14" t="s">
        <v>1331</v>
      </c>
      <c r="J256" s="15" t="s">
        <v>1332</v>
      </c>
      <c r="K256" s="16" t="s">
        <v>82</v>
      </c>
      <c r="L256" s="17"/>
      <c r="M256" s="17"/>
      <c r="N256" s="17"/>
      <c r="O256" s="17"/>
      <c r="P256" s="18"/>
      <c r="Q256" s="16" t="s">
        <v>83</v>
      </c>
      <c r="R256" s="18"/>
    </row>
    <row r="257" spans="1:18" ht="16.5" customHeight="1">
      <c r="A257" s="10">
        <v>256</v>
      </c>
      <c r="B257" s="10">
        <v>29</v>
      </c>
      <c r="C257" s="10">
        <v>81</v>
      </c>
      <c r="D257" s="11" t="s">
        <v>1325</v>
      </c>
      <c r="E257" s="12" t="s">
        <v>1329</v>
      </c>
      <c r="F257" s="11" t="s">
        <v>1333</v>
      </c>
      <c r="G257" s="10"/>
      <c r="H257" s="13" t="s">
        <v>1334</v>
      </c>
      <c r="I257" s="14" t="s">
        <v>1335</v>
      </c>
      <c r="J257" s="15" t="s">
        <v>1336</v>
      </c>
      <c r="K257" s="16" t="s">
        <v>82</v>
      </c>
      <c r="L257" s="17"/>
      <c r="M257" s="17"/>
      <c r="N257" s="17"/>
      <c r="O257" s="17"/>
      <c r="P257" s="18"/>
      <c r="Q257" s="16" t="s">
        <v>83</v>
      </c>
      <c r="R257" s="18"/>
    </row>
    <row r="258" spans="1:18" ht="16.5" customHeight="1">
      <c r="A258" s="10">
        <v>257</v>
      </c>
      <c r="B258" s="10">
        <v>30</v>
      </c>
      <c r="C258" s="10">
        <v>1</v>
      </c>
      <c r="D258" s="11"/>
      <c r="E258" s="12" t="s">
        <v>1337</v>
      </c>
      <c r="F258" s="11" t="s">
        <v>1338</v>
      </c>
      <c r="G258" s="10"/>
      <c r="H258" s="13" t="s">
        <v>1339</v>
      </c>
      <c r="I258" s="14" t="s">
        <v>1340</v>
      </c>
      <c r="J258" s="15" t="s">
        <v>1341</v>
      </c>
      <c r="K258" s="16" t="s">
        <v>82</v>
      </c>
      <c r="L258" s="17"/>
      <c r="M258" s="17"/>
      <c r="N258" s="17"/>
      <c r="O258" s="17"/>
      <c r="P258" s="18"/>
      <c r="Q258" s="16" t="s">
        <v>83</v>
      </c>
      <c r="R258" s="18"/>
    </row>
    <row r="259" spans="1:18" ht="16.5" customHeight="1">
      <c r="A259" s="10">
        <v>258</v>
      </c>
      <c r="B259" s="10">
        <v>30</v>
      </c>
      <c r="C259" s="10">
        <v>2</v>
      </c>
      <c r="D259" s="11" t="s">
        <v>1337</v>
      </c>
      <c r="E259" s="19" t="s">
        <v>1338</v>
      </c>
      <c r="F259" s="11" t="s">
        <v>1342</v>
      </c>
      <c r="G259" s="10" t="s">
        <v>1343</v>
      </c>
      <c r="H259" s="13" t="s">
        <v>1344</v>
      </c>
      <c r="I259" s="14" t="s">
        <v>1345</v>
      </c>
      <c r="J259" s="15" t="s">
        <v>1346</v>
      </c>
      <c r="K259" s="16" t="s">
        <v>89</v>
      </c>
      <c r="L259" s="17" t="s">
        <v>90</v>
      </c>
      <c r="M259" s="17" t="s">
        <v>164</v>
      </c>
      <c r="N259" s="17" t="s">
        <v>1347</v>
      </c>
      <c r="O259" s="17" t="s">
        <v>1348</v>
      </c>
      <c r="P259" s="18" t="s">
        <v>1349</v>
      </c>
      <c r="Q259" s="16" t="s">
        <v>113</v>
      </c>
      <c r="R259" s="18"/>
    </row>
    <row r="260" spans="1:18" ht="16.5" customHeight="1">
      <c r="A260" s="10">
        <v>259</v>
      </c>
      <c r="B260" s="10">
        <v>30</v>
      </c>
      <c r="C260" s="10">
        <v>3</v>
      </c>
      <c r="D260" s="11" t="s">
        <v>1338</v>
      </c>
      <c r="E260" s="12" t="s">
        <v>1342</v>
      </c>
      <c r="F260" s="11" t="s">
        <v>1350</v>
      </c>
      <c r="G260" s="10"/>
      <c r="H260" s="13" t="s">
        <v>1351</v>
      </c>
      <c r="I260" s="14" t="s">
        <v>1352</v>
      </c>
      <c r="J260" s="15" t="s">
        <v>1353</v>
      </c>
      <c r="K260" s="16" t="s">
        <v>82</v>
      </c>
      <c r="L260" s="17"/>
      <c r="M260" s="17"/>
      <c r="N260" s="17"/>
      <c r="O260" s="17"/>
      <c r="P260" s="18"/>
      <c r="Q260" s="16" t="s">
        <v>83</v>
      </c>
      <c r="R260" s="18"/>
    </row>
    <row r="261" spans="1:18" ht="16.5" customHeight="1">
      <c r="A261" s="10">
        <v>260</v>
      </c>
      <c r="B261" s="10">
        <v>30</v>
      </c>
      <c r="C261" s="10">
        <v>6</v>
      </c>
      <c r="D261" s="11" t="s">
        <v>1354</v>
      </c>
      <c r="E261" s="12" t="s">
        <v>1355</v>
      </c>
      <c r="F261" s="11" t="s">
        <v>1356</v>
      </c>
      <c r="G261" s="10"/>
      <c r="H261" s="13" t="s">
        <v>1357</v>
      </c>
      <c r="I261" s="14" t="s">
        <v>1358</v>
      </c>
      <c r="J261" s="15" t="s">
        <v>352</v>
      </c>
      <c r="K261" s="16" t="s">
        <v>82</v>
      </c>
      <c r="L261" s="17"/>
      <c r="M261" s="17"/>
      <c r="N261" s="17"/>
      <c r="O261" s="17"/>
      <c r="P261" s="18"/>
      <c r="Q261" s="16" t="s">
        <v>83</v>
      </c>
      <c r="R261" s="18"/>
    </row>
    <row r="262" spans="1:18" ht="16.5" customHeight="1">
      <c r="A262" s="10">
        <v>261</v>
      </c>
      <c r="B262" s="10">
        <v>30</v>
      </c>
      <c r="C262" s="10">
        <v>7</v>
      </c>
      <c r="D262" s="11" t="s">
        <v>1355</v>
      </c>
      <c r="E262" s="19" t="s">
        <v>1356</v>
      </c>
      <c r="F262" s="11" t="s">
        <v>1359</v>
      </c>
      <c r="G262" s="10" t="s">
        <v>176</v>
      </c>
      <c r="H262" s="13" t="s">
        <v>1360</v>
      </c>
      <c r="I262" s="14" t="s">
        <v>1361</v>
      </c>
      <c r="J262" s="15" t="s">
        <v>1362</v>
      </c>
      <c r="K262" s="16" t="s">
        <v>82</v>
      </c>
      <c r="L262" s="17"/>
      <c r="M262" s="17"/>
      <c r="N262" s="17"/>
      <c r="O262" s="17"/>
      <c r="P262" s="18"/>
      <c r="Q262" s="16" t="s">
        <v>83</v>
      </c>
      <c r="R262" s="18"/>
    </row>
    <row r="263" spans="1:18" ht="16.5" customHeight="1">
      <c r="A263" s="10">
        <v>262</v>
      </c>
      <c r="B263" s="10">
        <v>30</v>
      </c>
      <c r="C263" s="10">
        <v>8</v>
      </c>
      <c r="D263" s="11" t="s">
        <v>1356</v>
      </c>
      <c r="E263" s="12" t="s">
        <v>1359</v>
      </c>
      <c r="F263" s="11" t="s">
        <v>1363</v>
      </c>
      <c r="G263" s="10"/>
      <c r="H263" s="13" t="s">
        <v>1364</v>
      </c>
      <c r="I263" s="14" t="s">
        <v>1365</v>
      </c>
      <c r="J263" s="15" t="s">
        <v>1366</v>
      </c>
      <c r="K263" s="16" t="s">
        <v>82</v>
      </c>
      <c r="L263" s="17"/>
      <c r="M263" s="17"/>
      <c r="N263" s="17"/>
      <c r="O263" s="17"/>
      <c r="P263" s="18"/>
      <c r="Q263" s="16" t="s">
        <v>83</v>
      </c>
      <c r="R263" s="18"/>
    </row>
    <row r="264" spans="1:18" ht="16.5" customHeight="1">
      <c r="A264" s="10">
        <v>263</v>
      </c>
      <c r="B264" s="10">
        <v>30</v>
      </c>
      <c r="C264" s="10">
        <v>9</v>
      </c>
      <c r="D264" s="11" t="s">
        <v>1359</v>
      </c>
      <c r="E264" s="12" t="s">
        <v>1363</v>
      </c>
      <c r="F264" s="11" t="s">
        <v>1367</v>
      </c>
      <c r="G264" s="10"/>
      <c r="H264" s="13" t="s">
        <v>1368</v>
      </c>
      <c r="I264" s="14" t="s">
        <v>1369</v>
      </c>
      <c r="J264" s="15" t="s">
        <v>1370</v>
      </c>
      <c r="K264" s="16" t="s">
        <v>82</v>
      </c>
      <c r="L264" s="17"/>
      <c r="M264" s="17"/>
      <c r="N264" s="17"/>
      <c r="O264" s="17"/>
      <c r="P264" s="18"/>
      <c r="Q264" s="16" t="s">
        <v>83</v>
      </c>
      <c r="R264" s="18"/>
    </row>
    <row r="265" spans="1:18" ht="16.5" customHeight="1">
      <c r="A265" s="10">
        <v>264</v>
      </c>
      <c r="B265" s="10">
        <v>30</v>
      </c>
      <c r="C265" s="10">
        <v>10</v>
      </c>
      <c r="D265" s="11" t="s">
        <v>1363</v>
      </c>
      <c r="E265" s="19" t="s">
        <v>1367</v>
      </c>
      <c r="F265" s="11" t="s">
        <v>1371</v>
      </c>
      <c r="G265" s="10" t="s">
        <v>106</v>
      </c>
      <c r="H265" s="13" t="s">
        <v>1372</v>
      </c>
      <c r="I265" s="14" t="s">
        <v>1373</v>
      </c>
      <c r="J265" s="15" t="s">
        <v>1374</v>
      </c>
      <c r="K265" s="16" t="s">
        <v>82</v>
      </c>
      <c r="L265" s="17"/>
      <c r="M265" s="17"/>
      <c r="N265" s="17"/>
      <c r="O265" s="17"/>
      <c r="P265" s="18"/>
      <c r="Q265" s="16" t="s">
        <v>83</v>
      </c>
      <c r="R265" s="18"/>
    </row>
    <row r="266" spans="1:18" ht="16.5" customHeight="1">
      <c r="A266" s="10">
        <v>265</v>
      </c>
      <c r="B266" s="10">
        <v>30</v>
      </c>
      <c r="C266" s="10">
        <v>11</v>
      </c>
      <c r="D266" s="11" t="s">
        <v>1367</v>
      </c>
      <c r="E266" s="12" t="s">
        <v>1371</v>
      </c>
      <c r="F266" s="11" t="s">
        <v>1375</v>
      </c>
      <c r="G266" s="10"/>
      <c r="H266" s="13" t="s">
        <v>1376</v>
      </c>
      <c r="I266" s="14" t="s">
        <v>1377</v>
      </c>
      <c r="J266" s="15" t="s">
        <v>1378</v>
      </c>
      <c r="K266" s="16" t="s">
        <v>82</v>
      </c>
      <c r="L266" s="17"/>
      <c r="M266" s="17"/>
      <c r="N266" s="17"/>
      <c r="O266" s="17"/>
      <c r="P266" s="18"/>
      <c r="Q266" s="16" t="s">
        <v>83</v>
      </c>
      <c r="R266" s="18"/>
    </row>
    <row r="267" spans="1:18" ht="16.5" customHeight="1">
      <c r="A267" s="10">
        <v>266</v>
      </c>
      <c r="B267" s="10">
        <v>30</v>
      </c>
      <c r="C267" s="10">
        <v>12</v>
      </c>
      <c r="D267" s="11" t="s">
        <v>1371</v>
      </c>
      <c r="E267" s="12" t="s">
        <v>1375</v>
      </c>
      <c r="F267" s="11" t="s">
        <v>1379</v>
      </c>
      <c r="G267" s="10"/>
      <c r="H267" s="13" t="s">
        <v>1380</v>
      </c>
      <c r="I267" s="14" t="s">
        <v>1381</v>
      </c>
      <c r="J267" s="15" t="s">
        <v>1382</v>
      </c>
      <c r="K267" s="16" t="s">
        <v>82</v>
      </c>
      <c r="L267" s="17"/>
      <c r="M267" s="17"/>
      <c r="N267" s="17"/>
      <c r="O267" s="17"/>
      <c r="P267" s="18"/>
      <c r="Q267" s="16" t="s">
        <v>83</v>
      </c>
      <c r="R267" s="18"/>
    </row>
    <row r="268" spans="1:18" ht="16.5" customHeight="1">
      <c r="A268" s="10">
        <v>267</v>
      </c>
      <c r="B268" s="10">
        <v>30</v>
      </c>
      <c r="C268" s="10">
        <v>13</v>
      </c>
      <c r="D268" s="11" t="s">
        <v>1375</v>
      </c>
      <c r="E268" s="19" t="s">
        <v>1379</v>
      </c>
      <c r="F268" s="11" t="s">
        <v>1383</v>
      </c>
      <c r="G268" s="10" t="s">
        <v>1384</v>
      </c>
      <c r="H268" s="13" t="s">
        <v>1385</v>
      </c>
      <c r="I268" s="14" t="s">
        <v>1386</v>
      </c>
      <c r="J268" s="15" t="s">
        <v>1387</v>
      </c>
      <c r="K268" s="16" t="s">
        <v>82</v>
      </c>
      <c r="L268" s="17"/>
      <c r="M268" s="17"/>
      <c r="N268" s="17"/>
      <c r="O268" s="17"/>
      <c r="P268" s="18"/>
      <c r="Q268" s="16" t="s">
        <v>83</v>
      </c>
      <c r="R268" s="18"/>
    </row>
    <row r="269" spans="1:18" ht="16.5" customHeight="1">
      <c r="A269" s="10">
        <v>268</v>
      </c>
      <c r="B269" s="10">
        <v>30</v>
      </c>
      <c r="C269" s="10">
        <v>14</v>
      </c>
      <c r="D269" s="11" t="s">
        <v>1379</v>
      </c>
      <c r="E269" s="12" t="s">
        <v>1383</v>
      </c>
      <c r="F269" s="11" t="s">
        <v>1388</v>
      </c>
      <c r="G269" s="10"/>
      <c r="H269" s="13" t="s">
        <v>1389</v>
      </c>
      <c r="I269" s="14" t="s">
        <v>1390</v>
      </c>
      <c r="J269" s="15" t="s">
        <v>1391</v>
      </c>
      <c r="K269" s="16" t="s">
        <v>82</v>
      </c>
      <c r="L269" s="17"/>
      <c r="M269" s="17"/>
      <c r="N269" s="17"/>
      <c r="O269" s="17"/>
      <c r="P269" s="18"/>
      <c r="Q269" s="16" t="s">
        <v>83</v>
      </c>
      <c r="R269" s="18"/>
    </row>
    <row r="270" spans="1:18" ht="16.5" customHeight="1">
      <c r="A270" s="10">
        <v>269</v>
      </c>
      <c r="B270" s="10">
        <v>30</v>
      </c>
      <c r="C270" s="10">
        <v>51</v>
      </c>
      <c r="D270" s="11" t="s">
        <v>1392</v>
      </c>
      <c r="E270" s="12" t="s">
        <v>1393</v>
      </c>
      <c r="F270" s="11" t="s">
        <v>1394</v>
      </c>
      <c r="G270" s="10"/>
      <c r="H270" s="13" t="s">
        <v>1395</v>
      </c>
      <c r="I270" s="14" t="s">
        <v>1396</v>
      </c>
      <c r="J270" s="15" t="s">
        <v>1396</v>
      </c>
      <c r="K270" s="16" t="s">
        <v>82</v>
      </c>
      <c r="L270" s="17"/>
      <c r="M270" s="17"/>
      <c r="N270" s="17"/>
      <c r="O270" s="17"/>
      <c r="P270" s="18"/>
      <c r="Q270" s="16" t="s">
        <v>83</v>
      </c>
      <c r="R270" s="18"/>
    </row>
    <row r="271" spans="1:18" ht="16.5" customHeight="1">
      <c r="A271" s="10">
        <v>270</v>
      </c>
      <c r="B271" s="10">
        <v>30</v>
      </c>
      <c r="C271" s="10">
        <v>52</v>
      </c>
      <c r="D271" s="11" t="s">
        <v>1393</v>
      </c>
      <c r="E271" s="19" t="s">
        <v>1394</v>
      </c>
      <c r="F271" s="11" t="s">
        <v>1397</v>
      </c>
      <c r="G271" s="10" t="s">
        <v>575</v>
      </c>
      <c r="H271" s="13" t="s">
        <v>1398</v>
      </c>
      <c r="I271" s="14" t="s">
        <v>1399</v>
      </c>
      <c r="J271" s="15" t="s">
        <v>1400</v>
      </c>
      <c r="K271" s="16" t="s">
        <v>82</v>
      </c>
      <c r="L271" s="17"/>
      <c r="M271" s="17"/>
      <c r="N271" s="17"/>
      <c r="O271" s="17"/>
      <c r="P271" s="18"/>
      <c r="Q271" s="16" t="s">
        <v>83</v>
      </c>
      <c r="R271" s="18"/>
    </row>
    <row r="272" spans="1:18" ht="16.5" customHeight="1">
      <c r="A272" s="10">
        <v>271</v>
      </c>
      <c r="B272" s="10">
        <v>30</v>
      </c>
      <c r="C272" s="10">
        <v>53</v>
      </c>
      <c r="D272" s="11" t="s">
        <v>1394</v>
      </c>
      <c r="E272" s="12" t="s">
        <v>1397</v>
      </c>
      <c r="F272" s="11" t="s">
        <v>1401</v>
      </c>
      <c r="G272" s="10"/>
      <c r="H272" s="13" t="s">
        <v>1402</v>
      </c>
      <c r="I272" s="14" t="s">
        <v>1403</v>
      </c>
      <c r="J272" s="15" t="s">
        <v>1403</v>
      </c>
      <c r="K272" s="16" t="s">
        <v>82</v>
      </c>
      <c r="L272" s="17"/>
      <c r="M272" s="17"/>
      <c r="N272" s="17"/>
      <c r="O272" s="17"/>
      <c r="P272" s="18"/>
      <c r="Q272" s="16" t="s">
        <v>83</v>
      </c>
      <c r="R272" s="18"/>
    </row>
    <row r="273" spans="1:18" ht="16.5" customHeight="1">
      <c r="A273" s="10">
        <v>272</v>
      </c>
      <c r="B273" s="10">
        <v>30</v>
      </c>
      <c r="C273" s="10">
        <v>54</v>
      </c>
      <c r="D273" s="11" t="s">
        <v>1397</v>
      </c>
      <c r="E273" s="19" t="s">
        <v>1401</v>
      </c>
      <c r="F273" s="11" t="s">
        <v>1404</v>
      </c>
      <c r="G273" s="10" t="s">
        <v>774</v>
      </c>
      <c r="H273" s="13" t="s">
        <v>1405</v>
      </c>
      <c r="I273" s="14" t="s">
        <v>1406</v>
      </c>
      <c r="J273" s="15" t="s">
        <v>1407</v>
      </c>
      <c r="K273" s="16" t="s">
        <v>82</v>
      </c>
      <c r="L273" s="17"/>
      <c r="M273" s="17"/>
      <c r="N273" s="17"/>
      <c r="O273" s="17"/>
      <c r="P273" s="18"/>
      <c r="Q273" s="16" t="s">
        <v>83</v>
      </c>
      <c r="R273" s="18"/>
    </row>
    <row r="274" spans="1:18" ht="16.5" customHeight="1">
      <c r="A274" s="10">
        <v>273</v>
      </c>
      <c r="B274" s="10">
        <v>30</v>
      </c>
      <c r="C274" s="10">
        <v>55</v>
      </c>
      <c r="D274" s="11" t="s">
        <v>1401</v>
      </c>
      <c r="E274" s="19" t="s">
        <v>1404</v>
      </c>
      <c r="F274" s="11" t="s">
        <v>1408</v>
      </c>
      <c r="G274" s="10" t="s">
        <v>774</v>
      </c>
      <c r="H274" s="13" t="s">
        <v>1409</v>
      </c>
      <c r="I274" s="14" t="s">
        <v>1410</v>
      </c>
      <c r="J274" s="15" t="s">
        <v>1411</v>
      </c>
      <c r="K274" s="16" t="s">
        <v>82</v>
      </c>
      <c r="L274" s="17"/>
      <c r="M274" s="17"/>
      <c r="N274" s="17"/>
      <c r="O274" s="17"/>
      <c r="P274" s="18"/>
      <c r="Q274" s="16" t="s">
        <v>83</v>
      </c>
      <c r="R274" s="18"/>
    </row>
    <row r="275" spans="1:18" ht="16.5" customHeight="1">
      <c r="A275" s="10">
        <v>274</v>
      </c>
      <c r="B275" s="10">
        <v>30</v>
      </c>
      <c r="C275" s="10">
        <v>56</v>
      </c>
      <c r="D275" s="11" t="s">
        <v>1404</v>
      </c>
      <c r="E275" s="12" t="s">
        <v>1408</v>
      </c>
      <c r="F275" s="11" t="s">
        <v>1412</v>
      </c>
      <c r="G275" s="10"/>
      <c r="H275" s="13" t="s">
        <v>1413</v>
      </c>
      <c r="I275" s="14" t="s">
        <v>1414</v>
      </c>
      <c r="J275" s="15" t="s">
        <v>1415</v>
      </c>
      <c r="K275" s="16" t="s">
        <v>82</v>
      </c>
      <c r="L275" s="17"/>
      <c r="M275" s="17"/>
      <c r="N275" s="17"/>
      <c r="O275" s="17"/>
      <c r="P275" s="18"/>
      <c r="Q275" s="16" t="s">
        <v>83</v>
      </c>
      <c r="R275" s="18"/>
    </row>
    <row r="276" spans="1:18" ht="16.5" customHeight="1">
      <c r="A276" s="10">
        <v>275</v>
      </c>
      <c r="B276" s="10">
        <v>30</v>
      </c>
      <c r="C276" s="10">
        <v>58</v>
      </c>
      <c r="D276" s="11" t="s">
        <v>1412</v>
      </c>
      <c r="E276" s="12" t="s">
        <v>1416</v>
      </c>
      <c r="F276" s="11" t="s">
        <v>1417</v>
      </c>
      <c r="G276" s="10"/>
      <c r="H276" s="13" t="s">
        <v>1418</v>
      </c>
      <c r="I276" s="14" t="s">
        <v>1419</v>
      </c>
      <c r="J276" s="15" t="s">
        <v>1420</v>
      </c>
      <c r="K276" s="16" t="s">
        <v>82</v>
      </c>
      <c r="L276" s="17"/>
      <c r="M276" s="17"/>
      <c r="N276" s="17"/>
      <c r="O276" s="17"/>
      <c r="P276" s="18"/>
      <c r="Q276" s="16" t="s">
        <v>83</v>
      </c>
      <c r="R276" s="18"/>
    </row>
    <row r="277" spans="1:18" ht="16.5" customHeight="1">
      <c r="A277" s="10">
        <v>276</v>
      </c>
      <c r="B277" s="10">
        <v>30</v>
      </c>
      <c r="C277" s="10">
        <v>59</v>
      </c>
      <c r="D277" s="11" t="s">
        <v>1416</v>
      </c>
      <c r="E277" s="19" t="s">
        <v>1417</v>
      </c>
      <c r="F277" s="11" t="s">
        <v>1421</v>
      </c>
      <c r="G277" s="10" t="s">
        <v>802</v>
      </c>
      <c r="H277" s="13" t="s">
        <v>1422</v>
      </c>
      <c r="I277" s="14" t="s">
        <v>1423</v>
      </c>
      <c r="J277" s="15" t="s">
        <v>1424</v>
      </c>
      <c r="K277" s="16" t="s">
        <v>82</v>
      </c>
      <c r="L277" s="17"/>
      <c r="M277" s="17"/>
      <c r="N277" s="17"/>
      <c r="O277" s="17"/>
      <c r="P277" s="18"/>
      <c r="Q277" s="16" t="s">
        <v>83</v>
      </c>
      <c r="R277" s="18"/>
    </row>
    <row r="278" spans="1:18" ht="16.5" customHeight="1">
      <c r="A278" s="10">
        <v>277</v>
      </c>
      <c r="B278" s="10">
        <v>30</v>
      </c>
      <c r="C278" s="10">
        <v>60</v>
      </c>
      <c r="D278" s="11" t="s">
        <v>1417</v>
      </c>
      <c r="E278" s="19" t="s">
        <v>1421</v>
      </c>
      <c r="F278" s="11"/>
      <c r="G278" s="10" t="s">
        <v>133</v>
      </c>
      <c r="H278" s="13" t="s">
        <v>1425</v>
      </c>
      <c r="I278" s="14" t="s">
        <v>1426</v>
      </c>
      <c r="J278" s="15" t="s">
        <v>1427</v>
      </c>
      <c r="K278" s="16" t="s">
        <v>82</v>
      </c>
      <c r="L278" s="17"/>
      <c r="M278" s="17"/>
      <c r="N278" s="17"/>
      <c r="O278" s="17"/>
      <c r="P278" s="18"/>
      <c r="Q278" s="16" t="s">
        <v>83</v>
      </c>
      <c r="R278" s="18"/>
    </row>
    <row r="279" spans="1:18" ht="26.25" customHeight="1">
      <c r="A279" s="10">
        <v>278</v>
      </c>
      <c r="B279" s="10">
        <v>31</v>
      </c>
      <c r="C279" s="10">
        <v>1</v>
      </c>
      <c r="D279" s="11"/>
      <c r="E279" s="12" t="s">
        <v>1428</v>
      </c>
      <c r="F279" s="11" t="s">
        <v>1429</v>
      </c>
      <c r="G279" s="10"/>
      <c r="H279" s="13" t="s">
        <v>1430</v>
      </c>
      <c r="I279" s="14" t="s">
        <v>1431</v>
      </c>
      <c r="J279" s="15" t="s">
        <v>1432</v>
      </c>
      <c r="K279" s="16" t="s">
        <v>82</v>
      </c>
      <c r="L279" s="17"/>
      <c r="M279" s="17"/>
      <c r="N279" s="17"/>
      <c r="O279" s="17"/>
      <c r="P279" s="18"/>
      <c r="Q279" s="16" t="s">
        <v>83</v>
      </c>
      <c r="R279" s="18"/>
    </row>
    <row r="280" spans="1:18" ht="16.5" customHeight="1">
      <c r="A280" s="10">
        <v>279</v>
      </c>
      <c r="B280" s="10">
        <v>31</v>
      </c>
      <c r="C280" s="10">
        <v>2</v>
      </c>
      <c r="D280" s="11" t="s">
        <v>1428</v>
      </c>
      <c r="E280" s="19" t="s">
        <v>1429</v>
      </c>
      <c r="F280" s="11" t="s">
        <v>1433</v>
      </c>
      <c r="G280" s="10" t="s">
        <v>160</v>
      </c>
      <c r="H280" s="13" t="s">
        <v>1434</v>
      </c>
      <c r="I280" s="14" t="s">
        <v>1435</v>
      </c>
      <c r="J280" s="15" t="s">
        <v>1436</v>
      </c>
      <c r="K280" s="16" t="s">
        <v>82</v>
      </c>
      <c r="L280" s="17"/>
      <c r="M280" s="17"/>
      <c r="N280" s="17"/>
      <c r="O280" s="17"/>
      <c r="P280" s="18"/>
      <c r="Q280" s="16" t="s">
        <v>83</v>
      </c>
      <c r="R280" s="18"/>
    </row>
    <row r="281" spans="1:18" ht="16.5" customHeight="1">
      <c r="A281" s="10">
        <v>280</v>
      </c>
      <c r="B281" s="10">
        <v>31</v>
      </c>
      <c r="C281" s="10">
        <v>3</v>
      </c>
      <c r="D281" s="11" t="s">
        <v>1429</v>
      </c>
      <c r="E281" s="12" t="s">
        <v>1433</v>
      </c>
      <c r="F281" s="11"/>
      <c r="G281" s="10"/>
      <c r="H281" s="13" t="s">
        <v>1437</v>
      </c>
      <c r="I281" s="14" t="s">
        <v>1438</v>
      </c>
      <c r="J281" s="15" t="s">
        <v>1439</v>
      </c>
      <c r="K281" s="16" t="s">
        <v>82</v>
      </c>
      <c r="L281" s="17"/>
      <c r="M281" s="17"/>
      <c r="N281" s="17"/>
      <c r="O281" s="17"/>
      <c r="P281" s="18"/>
      <c r="Q281" s="16" t="s">
        <v>83</v>
      </c>
      <c r="R281" s="18"/>
    </row>
    <row r="282" spans="1:18" ht="16.5" customHeight="1">
      <c r="A282" s="10">
        <v>281</v>
      </c>
      <c r="B282" s="10">
        <v>32</v>
      </c>
      <c r="C282" s="10">
        <v>2</v>
      </c>
      <c r="D282" s="11" t="s">
        <v>1440</v>
      </c>
      <c r="E282" s="12" t="s">
        <v>1441</v>
      </c>
      <c r="F282" s="11" t="s">
        <v>1442</v>
      </c>
      <c r="G282" s="10"/>
      <c r="H282" s="13" t="s">
        <v>1443</v>
      </c>
      <c r="I282" s="14" t="s">
        <v>1444</v>
      </c>
      <c r="J282" s="15" t="s">
        <v>1445</v>
      </c>
      <c r="K282" s="16" t="s">
        <v>82</v>
      </c>
      <c r="L282" s="17"/>
      <c r="M282" s="17"/>
      <c r="N282" s="17"/>
      <c r="O282" s="17"/>
      <c r="P282" s="18"/>
      <c r="Q282" s="16" t="s">
        <v>83</v>
      </c>
      <c r="R282" s="18"/>
    </row>
    <row r="283" spans="1:18" ht="16.5" customHeight="1">
      <c r="A283" s="10">
        <v>282</v>
      </c>
      <c r="B283" s="10">
        <v>32</v>
      </c>
      <c r="C283" s="10">
        <v>3</v>
      </c>
      <c r="D283" s="11" t="s">
        <v>1441</v>
      </c>
      <c r="E283" s="19" t="s">
        <v>1442</v>
      </c>
      <c r="F283" s="11" t="s">
        <v>1446</v>
      </c>
      <c r="G283" s="10" t="s">
        <v>160</v>
      </c>
      <c r="H283" s="13" t="s">
        <v>1447</v>
      </c>
      <c r="I283" s="14" t="s">
        <v>1448</v>
      </c>
      <c r="J283" s="15" t="s">
        <v>1449</v>
      </c>
      <c r="K283" s="16" t="s">
        <v>82</v>
      </c>
      <c r="L283" s="17"/>
      <c r="M283" s="17"/>
      <c r="N283" s="17"/>
      <c r="O283" s="17"/>
      <c r="P283" s="18"/>
      <c r="Q283" s="16" t="s">
        <v>83</v>
      </c>
      <c r="R283" s="18"/>
    </row>
    <row r="284" spans="1:18" ht="16.5" customHeight="1">
      <c r="A284" s="10">
        <v>283</v>
      </c>
      <c r="B284" s="10">
        <v>32</v>
      </c>
      <c r="C284" s="10">
        <v>4</v>
      </c>
      <c r="D284" s="11" t="s">
        <v>1442</v>
      </c>
      <c r="E284" s="12" t="s">
        <v>1446</v>
      </c>
      <c r="F284" s="11" t="s">
        <v>1450</v>
      </c>
      <c r="G284" s="10"/>
      <c r="H284" s="13"/>
      <c r="I284" s="14" t="s">
        <v>1451</v>
      </c>
      <c r="J284" s="15" t="s">
        <v>1452</v>
      </c>
      <c r="K284" s="16" t="s">
        <v>82</v>
      </c>
      <c r="L284" s="17"/>
      <c r="M284" s="17"/>
      <c r="N284" s="17"/>
      <c r="O284" s="17"/>
      <c r="P284" s="18"/>
      <c r="Q284" s="16" t="s">
        <v>83</v>
      </c>
      <c r="R284" s="18"/>
    </row>
    <row r="285" spans="1:18" ht="16.5" customHeight="1">
      <c r="A285" s="10">
        <v>284</v>
      </c>
      <c r="B285" s="10">
        <v>32</v>
      </c>
      <c r="C285" s="10">
        <v>9</v>
      </c>
      <c r="D285" s="11" t="s">
        <v>1453</v>
      </c>
      <c r="E285" s="12" t="s">
        <v>1454</v>
      </c>
      <c r="F285" s="11" t="s">
        <v>1455</v>
      </c>
      <c r="G285" s="10"/>
      <c r="H285" s="13" t="s">
        <v>1456</v>
      </c>
      <c r="I285" s="14" t="s">
        <v>1457</v>
      </c>
      <c r="J285" s="15" t="s">
        <v>1458</v>
      </c>
      <c r="K285" s="16" t="s">
        <v>82</v>
      </c>
      <c r="L285" s="17"/>
      <c r="M285" s="17"/>
      <c r="N285" s="17"/>
      <c r="O285" s="17"/>
      <c r="P285" s="18"/>
      <c r="Q285" s="16" t="s">
        <v>83</v>
      </c>
      <c r="R285" s="18"/>
    </row>
    <row r="286" spans="1:18" ht="16.5" customHeight="1">
      <c r="A286" s="10">
        <v>285</v>
      </c>
      <c r="B286" s="10">
        <v>32</v>
      </c>
      <c r="C286" s="10">
        <v>10</v>
      </c>
      <c r="D286" s="11" t="s">
        <v>1454</v>
      </c>
      <c r="E286" s="19" t="s">
        <v>1455</v>
      </c>
      <c r="F286" s="11" t="s">
        <v>1459</v>
      </c>
      <c r="G286" s="10" t="s">
        <v>133</v>
      </c>
      <c r="H286" s="13" t="s">
        <v>1460</v>
      </c>
      <c r="I286" s="14" t="s">
        <v>1461</v>
      </c>
      <c r="J286" s="15" t="s">
        <v>1462</v>
      </c>
      <c r="K286" s="16" t="s">
        <v>82</v>
      </c>
      <c r="L286" s="17"/>
      <c r="M286" s="17"/>
      <c r="N286" s="17"/>
      <c r="O286" s="17"/>
      <c r="P286" s="18"/>
      <c r="Q286" s="16" t="s">
        <v>83</v>
      </c>
      <c r="R286" s="18"/>
    </row>
    <row r="287" spans="1:18" ht="16.5" customHeight="1">
      <c r="A287" s="10">
        <v>286</v>
      </c>
      <c r="B287" s="10">
        <v>32</v>
      </c>
      <c r="C287" s="10">
        <v>11</v>
      </c>
      <c r="D287" s="11" t="s">
        <v>1455</v>
      </c>
      <c r="E287" s="12" t="s">
        <v>1459</v>
      </c>
      <c r="F287" s="11" t="s">
        <v>1463</v>
      </c>
      <c r="G287" s="10"/>
      <c r="H287" s="13" t="s">
        <v>1464</v>
      </c>
      <c r="I287" s="14" t="s">
        <v>1465</v>
      </c>
      <c r="J287" s="15" t="s">
        <v>1466</v>
      </c>
      <c r="K287" s="16" t="s">
        <v>82</v>
      </c>
      <c r="L287" s="17"/>
      <c r="M287" s="17"/>
      <c r="N287" s="17"/>
      <c r="O287" s="17"/>
      <c r="P287" s="18"/>
      <c r="Q287" s="16" t="s">
        <v>83</v>
      </c>
      <c r="R287" s="18"/>
    </row>
    <row r="288" spans="1:18" ht="16.5" customHeight="1">
      <c r="A288" s="10">
        <v>287</v>
      </c>
      <c r="B288" s="10">
        <v>32</v>
      </c>
      <c r="C288" s="10">
        <v>21</v>
      </c>
      <c r="D288" s="11" t="s">
        <v>1467</v>
      </c>
      <c r="E288" s="12" t="s">
        <v>1468</v>
      </c>
      <c r="F288" s="11" t="s">
        <v>1469</v>
      </c>
      <c r="G288" s="10"/>
      <c r="H288" s="13" t="s">
        <v>1470</v>
      </c>
      <c r="I288" s="14" t="s">
        <v>1471</v>
      </c>
      <c r="J288" s="15" t="s">
        <v>1471</v>
      </c>
      <c r="K288" s="16" t="s">
        <v>82</v>
      </c>
      <c r="L288" s="17"/>
      <c r="M288" s="17"/>
      <c r="N288" s="17"/>
      <c r="O288" s="17"/>
      <c r="P288" s="18"/>
      <c r="Q288" s="16" t="s">
        <v>83</v>
      </c>
      <c r="R288" s="18"/>
    </row>
    <row r="289" spans="1:18" ht="16.5" customHeight="1">
      <c r="A289" s="10">
        <v>288</v>
      </c>
      <c r="B289" s="10">
        <v>32</v>
      </c>
      <c r="C289" s="10">
        <v>22</v>
      </c>
      <c r="D289" s="11" t="s">
        <v>1468</v>
      </c>
      <c r="E289" s="19" t="s">
        <v>1469</v>
      </c>
      <c r="F289" s="11" t="s">
        <v>1472</v>
      </c>
      <c r="G289" s="10" t="s">
        <v>774</v>
      </c>
      <c r="H289" s="13" t="s">
        <v>1473</v>
      </c>
      <c r="I289" s="14" t="s">
        <v>1474</v>
      </c>
      <c r="J289" s="15" t="s">
        <v>1475</v>
      </c>
      <c r="K289" s="16" t="s">
        <v>82</v>
      </c>
      <c r="L289" s="17"/>
      <c r="M289" s="17"/>
      <c r="N289" s="17"/>
      <c r="O289" s="17"/>
      <c r="P289" s="18"/>
      <c r="Q289" s="16" t="s">
        <v>83</v>
      </c>
      <c r="R289" s="18"/>
    </row>
    <row r="290" spans="1:18" ht="16.5" customHeight="1">
      <c r="A290" s="10">
        <v>289</v>
      </c>
      <c r="B290" s="10">
        <v>32</v>
      </c>
      <c r="C290" s="10">
        <v>23</v>
      </c>
      <c r="D290" s="11" t="s">
        <v>1469</v>
      </c>
      <c r="E290" s="12" t="s">
        <v>1472</v>
      </c>
      <c r="F290" s="11" t="s">
        <v>1476</v>
      </c>
      <c r="G290" s="10"/>
      <c r="H290" s="13" t="s">
        <v>1477</v>
      </c>
      <c r="I290" s="14" t="s">
        <v>1478</v>
      </c>
      <c r="J290" s="15" t="s">
        <v>1479</v>
      </c>
      <c r="K290" s="16" t="s">
        <v>82</v>
      </c>
      <c r="L290" s="17"/>
      <c r="M290" s="17"/>
      <c r="N290" s="17"/>
      <c r="O290" s="17"/>
      <c r="P290" s="18"/>
      <c r="Q290" s="16" t="s">
        <v>83</v>
      </c>
      <c r="R290" s="18"/>
    </row>
    <row r="291" spans="1:18" ht="16.5" customHeight="1">
      <c r="A291" s="10">
        <v>290</v>
      </c>
      <c r="B291" s="10">
        <v>33</v>
      </c>
      <c r="C291" s="10">
        <v>1</v>
      </c>
      <c r="D291" s="11"/>
      <c r="E291" s="12" t="s">
        <v>1480</v>
      </c>
      <c r="F291" s="11" t="s">
        <v>1481</v>
      </c>
      <c r="G291" s="10"/>
      <c r="H291" s="13" t="s">
        <v>1339</v>
      </c>
      <c r="I291" s="14" t="s">
        <v>1482</v>
      </c>
      <c r="J291" s="15" t="s">
        <v>1483</v>
      </c>
      <c r="K291" s="16" t="s">
        <v>82</v>
      </c>
      <c r="L291" s="17"/>
      <c r="M291" s="17"/>
      <c r="N291" s="17"/>
      <c r="O291" s="17"/>
      <c r="P291" s="18"/>
      <c r="Q291" s="16" t="s">
        <v>83</v>
      </c>
      <c r="R291" s="18"/>
    </row>
    <row r="292" spans="1:18" ht="16.5" customHeight="1">
      <c r="A292" s="10">
        <v>291</v>
      </c>
      <c r="B292" s="10">
        <v>33</v>
      </c>
      <c r="C292" s="10">
        <v>2</v>
      </c>
      <c r="D292" s="11" t="s">
        <v>1480</v>
      </c>
      <c r="E292" s="19" t="s">
        <v>1481</v>
      </c>
      <c r="F292" s="11" t="s">
        <v>1484</v>
      </c>
      <c r="G292" s="10" t="s">
        <v>160</v>
      </c>
      <c r="H292" s="13" t="s">
        <v>1485</v>
      </c>
      <c r="I292" s="14" t="s">
        <v>1486</v>
      </c>
      <c r="J292" s="15" t="s">
        <v>1487</v>
      </c>
      <c r="K292" s="16" t="s">
        <v>82</v>
      </c>
      <c r="L292" s="17"/>
      <c r="M292" s="17"/>
      <c r="N292" s="17"/>
      <c r="O292" s="17"/>
      <c r="P292" s="18"/>
      <c r="Q292" s="16" t="s">
        <v>83</v>
      </c>
      <c r="R292" s="18"/>
    </row>
    <row r="293" spans="1:18" ht="16.5" customHeight="1">
      <c r="A293" s="10">
        <v>292</v>
      </c>
      <c r="B293" s="10">
        <v>33</v>
      </c>
      <c r="C293" s="10">
        <v>3</v>
      </c>
      <c r="D293" s="11" t="s">
        <v>1481</v>
      </c>
      <c r="E293" s="12" t="s">
        <v>1484</v>
      </c>
      <c r="F293" s="11" t="s">
        <v>1488</v>
      </c>
      <c r="G293" s="10"/>
      <c r="H293" s="13" t="s">
        <v>1489</v>
      </c>
      <c r="I293" s="14" t="s">
        <v>1490</v>
      </c>
      <c r="J293" s="15" t="s">
        <v>1491</v>
      </c>
      <c r="K293" s="16" t="s">
        <v>82</v>
      </c>
      <c r="L293" s="17"/>
      <c r="M293" s="17"/>
      <c r="N293" s="17"/>
      <c r="O293" s="17"/>
      <c r="P293" s="18"/>
      <c r="Q293" s="16" t="s">
        <v>83</v>
      </c>
      <c r="R293" s="18"/>
    </row>
    <row r="294" spans="1:18" ht="16.5" customHeight="1">
      <c r="A294" s="10">
        <v>293</v>
      </c>
      <c r="B294" s="10">
        <v>34</v>
      </c>
      <c r="C294" s="10">
        <v>3</v>
      </c>
      <c r="D294" s="11" t="s">
        <v>1492</v>
      </c>
      <c r="E294" s="12" t="s">
        <v>1493</v>
      </c>
      <c r="F294" s="11" t="s">
        <v>1494</v>
      </c>
      <c r="G294" s="10"/>
      <c r="H294" s="13" t="s">
        <v>1495</v>
      </c>
      <c r="I294" s="14" t="s">
        <v>1496</v>
      </c>
      <c r="J294" s="15" t="s">
        <v>1497</v>
      </c>
      <c r="K294" s="16" t="s">
        <v>82</v>
      </c>
      <c r="L294" s="17"/>
      <c r="M294" s="17"/>
      <c r="N294" s="17"/>
      <c r="O294" s="17"/>
      <c r="P294" s="18"/>
      <c r="Q294" s="16" t="s">
        <v>83</v>
      </c>
      <c r="R294" s="18"/>
    </row>
    <row r="295" spans="1:18" ht="16.5" customHeight="1">
      <c r="A295" s="10">
        <v>294</v>
      </c>
      <c r="B295" s="10">
        <v>34</v>
      </c>
      <c r="C295" s="10">
        <v>4</v>
      </c>
      <c r="D295" s="11" t="s">
        <v>1493</v>
      </c>
      <c r="E295" s="19" t="s">
        <v>1494</v>
      </c>
      <c r="F295" s="11" t="s">
        <v>1498</v>
      </c>
      <c r="G295" s="10" t="s">
        <v>774</v>
      </c>
      <c r="H295" s="13" t="s">
        <v>1499</v>
      </c>
      <c r="I295" s="14" t="s">
        <v>1500</v>
      </c>
      <c r="J295" s="15" t="s">
        <v>1501</v>
      </c>
      <c r="K295" s="16" t="s">
        <v>82</v>
      </c>
      <c r="L295" s="17"/>
      <c r="M295" s="17"/>
      <c r="N295" s="17"/>
      <c r="O295" s="17"/>
      <c r="P295" s="18"/>
      <c r="Q295" s="16" t="s">
        <v>83</v>
      </c>
      <c r="R295" s="18"/>
    </row>
    <row r="296" spans="1:18" ht="16.5" customHeight="1">
      <c r="A296" s="10">
        <v>295</v>
      </c>
      <c r="B296" s="10">
        <v>34</v>
      </c>
      <c r="C296" s="10">
        <v>5</v>
      </c>
      <c r="D296" s="11" t="s">
        <v>1494</v>
      </c>
      <c r="E296" s="19" t="s">
        <v>1498</v>
      </c>
      <c r="F296" s="11" t="s">
        <v>1502</v>
      </c>
      <c r="G296" s="10" t="s">
        <v>160</v>
      </c>
      <c r="H296" s="13" t="s">
        <v>1503</v>
      </c>
      <c r="I296" s="14" t="s">
        <v>1504</v>
      </c>
      <c r="J296" s="15" t="s">
        <v>1505</v>
      </c>
      <c r="K296" s="16" t="s">
        <v>89</v>
      </c>
      <c r="L296" s="17" t="s">
        <v>90</v>
      </c>
      <c r="M296" s="17" t="s">
        <v>91</v>
      </c>
      <c r="N296" s="17" t="s">
        <v>620</v>
      </c>
      <c r="O296" s="17" t="s">
        <v>621</v>
      </c>
      <c r="P296" s="18" t="s">
        <v>622</v>
      </c>
      <c r="Q296" s="16" t="s">
        <v>83</v>
      </c>
      <c r="R296" s="18"/>
    </row>
    <row r="297" spans="1:18" ht="16.5" customHeight="1">
      <c r="A297" s="10">
        <v>296</v>
      </c>
      <c r="B297" s="10">
        <v>34</v>
      </c>
      <c r="C297" s="10">
        <v>6</v>
      </c>
      <c r="D297" s="11" t="s">
        <v>1498</v>
      </c>
      <c r="E297" s="12" t="s">
        <v>1502</v>
      </c>
      <c r="F297" s="11"/>
      <c r="G297" s="10"/>
      <c r="H297" s="13" t="s">
        <v>1506</v>
      </c>
      <c r="I297" s="14" t="s">
        <v>1507</v>
      </c>
      <c r="J297" s="15" t="s">
        <v>1507</v>
      </c>
      <c r="K297" s="16" t="s">
        <v>82</v>
      </c>
      <c r="L297" s="17"/>
      <c r="M297" s="17"/>
      <c r="N297" s="17"/>
      <c r="O297" s="17"/>
      <c r="P297" s="18"/>
      <c r="Q297" s="16" t="s">
        <v>83</v>
      </c>
      <c r="R297" s="18"/>
    </row>
    <row r="298" spans="1:18" ht="16.5" customHeight="1">
      <c r="A298" s="10">
        <v>297</v>
      </c>
      <c r="B298" s="10">
        <v>35</v>
      </c>
      <c r="C298" s="10">
        <v>9</v>
      </c>
      <c r="D298" s="11" t="s">
        <v>1165</v>
      </c>
      <c r="E298" s="12" t="s">
        <v>1508</v>
      </c>
      <c r="F298" s="11" t="s">
        <v>1509</v>
      </c>
      <c r="G298" s="10"/>
      <c r="H298" s="13" t="s">
        <v>1510</v>
      </c>
      <c r="I298" s="14" t="s">
        <v>1511</v>
      </c>
      <c r="J298" s="15" t="s">
        <v>1512</v>
      </c>
      <c r="K298" s="16" t="s">
        <v>82</v>
      </c>
      <c r="L298" s="17"/>
      <c r="M298" s="17"/>
      <c r="N298" s="17"/>
      <c r="O298" s="17"/>
      <c r="P298" s="18"/>
      <c r="Q298" s="16" t="s">
        <v>83</v>
      </c>
      <c r="R298" s="18"/>
    </row>
    <row r="299" spans="1:18" ht="16.5" customHeight="1">
      <c r="A299" s="10">
        <v>298</v>
      </c>
      <c r="B299" s="10">
        <v>35</v>
      </c>
      <c r="C299" s="10">
        <v>10</v>
      </c>
      <c r="D299" s="11" t="s">
        <v>1508</v>
      </c>
      <c r="E299" s="19" t="s">
        <v>1509</v>
      </c>
      <c r="F299" s="11" t="s">
        <v>1513</v>
      </c>
      <c r="G299" s="10" t="s">
        <v>1514</v>
      </c>
      <c r="H299" s="13" t="s">
        <v>1515</v>
      </c>
      <c r="I299" s="14" t="s">
        <v>1516</v>
      </c>
      <c r="J299" s="15" t="s">
        <v>1517</v>
      </c>
      <c r="K299" s="16" t="s">
        <v>89</v>
      </c>
      <c r="L299" s="17" t="s">
        <v>90</v>
      </c>
      <c r="M299" s="17" t="s">
        <v>91</v>
      </c>
      <c r="N299" s="17" t="s">
        <v>110</v>
      </c>
      <c r="O299" s="17" t="s">
        <v>111</v>
      </c>
      <c r="P299" s="18" t="s">
        <v>1518</v>
      </c>
      <c r="Q299" s="16" t="s">
        <v>83</v>
      </c>
      <c r="R299" s="18"/>
    </row>
    <row r="300" spans="1:18" ht="26.25" customHeight="1">
      <c r="A300" s="10">
        <v>299</v>
      </c>
      <c r="B300" s="10">
        <v>35</v>
      </c>
      <c r="C300" s="10">
        <v>11</v>
      </c>
      <c r="D300" s="11" t="s">
        <v>1509</v>
      </c>
      <c r="E300" s="12" t="s">
        <v>1513</v>
      </c>
      <c r="F300" s="11" t="s">
        <v>1519</v>
      </c>
      <c r="G300" s="10"/>
      <c r="H300" s="13" t="s">
        <v>1520</v>
      </c>
      <c r="I300" s="14" t="s">
        <v>1521</v>
      </c>
      <c r="J300" s="15" t="s">
        <v>1522</v>
      </c>
      <c r="K300" s="16" t="s">
        <v>82</v>
      </c>
      <c r="L300" s="17"/>
      <c r="M300" s="17"/>
      <c r="N300" s="17"/>
      <c r="O300" s="17"/>
      <c r="P300" s="18"/>
      <c r="Q300" s="16" t="s">
        <v>83</v>
      </c>
      <c r="R300" s="18"/>
    </row>
    <row r="301" spans="1:18" ht="16.5" customHeight="1">
      <c r="A301" s="10">
        <v>300</v>
      </c>
      <c r="B301" s="10">
        <v>35</v>
      </c>
      <c r="C301" s="10">
        <v>12</v>
      </c>
      <c r="D301" s="11" t="s">
        <v>1513</v>
      </c>
      <c r="E301" s="19" t="s">
        <v>1519</v>
      </c>
      <c r="F301" s="11" t="s">
        <v>1523</v>
      </c>
      <c r="G301" s="10" t="s">
        <v>1524</v>
      </c>
      <c r="H301" s="13" t="s">
        <v>1525</v>
      </c>
      <c r="I301" s="14" t="s">
        <v>1526</v>
      </c>
      <c r="J301" s="15" t="s">
        <v>1527</v>
      </c>
      <c r="K301" s="16" t="s">
        <v>82</v>
      </c>
      <c r="L301" s="17"/>
      <c r="M301" s="17"/>
      <c r="N301" s="17"/>
      <c r="O301" s="17"/>
      <c r="P301" s="18"/>
      <c r="Q301" s="16" t="s">
        <v>83</v>
      </c>
      <c r="R301" s="18"/>
    </row>
    <row r="302" spans="1:18" ht="16.5" customHeight="1">
      <c r="A302" s="10">
        <v>301</v>
      </c>
      <c r="B302" s="10">
        <v>35</v>
      </c>
      <c r="C302" s="10">
        <v>13</v>
      </c>
      <c r="D302" s="11" t="s">
        <v>1519</v>
      </c>
      <c r="E302" s="12" t="s">
        <v>1523</v>
      </c>
      <c r="F302" s="11" t="s">
        <v>1528</v>
      </c>
      <c r="G302" s="10"/>
      <c r="H302" s="13" t="s">
        <v>1529</v>
      </c>
      <c r="I302" s="14" t="s">
        <v>1530</v>
      </c>
      <c r="J302" s="15" t="s">
        <v>1531</v>
      </c>
      <c r="K302" s="16" t="s">
        <v>82</v>
      </c>
      <c r="L302" s="17"/>
      <c r="M302" s="17"/>
      <c r="N302" s="17"/>
      <c r="O302" s="17"/>
      <c r="P302" s="18"/>
      <c r="Q302" s="16" t="s">
        <v>83</v>
      </c>
      <c r="R302" s="18"/>
    </row>
    <row r="303" spans="1:18" ht="16.5" customHeight="1">
      <c r="A303" s="10">
        <v>302</v>
      </c>
      <c r="B303" s="10">
        <v>35</v>
      </c>
      <c r="C303" s="10">
        <v>14</v>
      </c>
      <c r="D303" s="11" t="s">
        <v>1523</v>
      </c>
      <c r="E303" s="19" t="s">
        <v>1528</v>
      </c>
      <c r="F303" s="11" t="s">
        <v>1532</v>
      </c>
      <c r="G303" s="10" t="s">
        <v>1533</v>
      </c>
      <c r="H303" s="13" t="s">
        <v>1534</v>
      </c>
      <c r="I303" s="14" t="s">
        <v>1535</v>
      </c>
      <c r="J303" s="15" t="s">
        <v>1536</v>
      </c>
      <c r="K303" s="16" t="s">
        <v>82</v>
      </c>
      <c r="L303" s="17"/>
      <c r="M303" s="17"/>
      <c r="N303" s="17"/>
      <c r="O303" s="17"/>
      <c r="P303" s="18"/>
      <c r="Q303" s="16" t="s">
        <v>83</v>
      </c>
      <c r="R303" s="18"/>
    </row>
    <row r="304" spans="1:18" ht="16.5" customHeight="1">
      <c r="A304" s="10">
        <v>303</v>
      </c>
      <c r="B304" s="10">
        <v>35</v>
      </c>
      <c r="C304" s="10">
        <v>15</v>
      </c>
      <c r="D304" s="11" t="s">
        <v>1528</v>
      </c>
      <c r="E304" s="19" t="s">
        <v>1532</v>
      </c>
      <c r="F304" s="11" t="s">
        <v>1537</v>
      </c>
      <c r="G304" s="10" t="s">
        <v>774</v>
      </c>
      <c r="H304" s="13" t="s">
        <v>1538</v>
      </c>
      <c r="I304" s="14" t="s">
        <v>1539</v>
      </c>
      <c r="J304" s="15" t="s">
        <v>1540</v>
      </c>
      <c r="K304" s="16" t="s">
        <v>82</v>
      </c>
      <c r="L304" s="17"/>
      <c r="M304" s="17"/>
      <c r="N304" s="17"/>
      <c r="O304" s="17"/>
      <c r="P304" s="18"/>
      <c r="Q304" s="16" t="s">
        <v>83</v>
      </c>
      <c r="R304" s="18"/>
    </row>
    <row r="305" spans="1:18" ht="16.5" customHeight="1">
      <c r="A305" s="10">
        <v>304</v>
      </c>
      <c r="B305" s="10">
        <v>35</v>
      </c>
      <c r="C305" s="10">
        <v>16</v>
      </c>
      <c r="D305" s="11" t="s">
        <v>1532</v>
      </c>
      <c r="E305" s="12" t="s">
        <v>1537</v>
      </c>
      <c r="F305" s="11"/>
      <c r="G305" s="10"/>
      <c r="H305" s="13" t="s">
        <v>1541</v>
      </c>
      <c r="I305" s="14" t="s">
        <v>1542</v>
      </c>
      <c r="J305" s="15" t="s">
        <v>1543</v>
      </c>
      <c r="K305" s="16" t="s">
        <v>82</v>
      </c>
      <c r="L305" s="17"/>
      <c r="M305" s="17"/>
      <c r="N305" s="17"/>
      <c r="O305" s="17"/>
      <c r="P305" s="18"/>
      <c r="Q305" s="16" t="s">
        <v>83</v>
      </c>
      <c r="R305" s="18"/>
    </row>
    <row r="306" spans="1:18" ht="16.5" customHeight="1">
      <c r="A306" s="10">
        <v>305</v>
      </c>
      <c r="B306" s="10">
        <v>36</v>
      </c>
      <c r="C306" s="10">
        <v>1</v>
      </c>
      <c r="D306" s="11"/>
      <c r="E306" s="19" t="s">
        <v>1544</v>
      </c>
      <c r="F306" s="11" t="s">
        <v>1545</v>
      </c>
      <c r="G306" s="10" t="s">
        <v>827</v>
      </c>
      <c r="H306" s="13" t="s">
        <v>1546</v>
      </c>
      <c r="I306" s="14" t="s">
        <v>1547</v>
      </c>
      <c r="J306" s="15" t="s">
        <v>1548</v>
      </c>
      <c r="K306" s="16" t="s">
        <v>82</v>
      </c>
      <c r="L306" s="17"/>
      <c r="M306" s="17"/>
      <c r="N306" s="17"/>
      <c r="O306" s="17"/>
      <c r="P306" s="18"/>
      <c r="Q306" s="16" t="s">
        <v>83</v>
      </c>
      <c r="R306" s="18"/>
    </row>
    <row r="307" spans="1:18" ht="16.5" customHeight="1">
      <c r="A307" s="10">
        <v>306</v>
      </c>
      <c r="B307" s="10">
        <v>36</v>
      </c>
      <c r="C307" s="10">
        <v>2</v>
      </c>
      <c r="D307" s="11" t="s">
        <v>1544</v>
      </c>
      <c r="E307" s="12" t="s">
        <v>1545</v>
      </c>
      <c r="F307" s="11" t="s">
        <v>1549</v>
      </c>
      <c r="G307" s="10"/>
      <c r="H307" s="13" t="s">
        <v>1550</v>
      </c>
      <c r="I307" s="14" t="s">
        <v>1551</v>
      </c>
      <c r="J307" s="15" t="s">
        <v>1552</v>
      </c>
      <c r="K307" s="16" t="s">
        <v>82</v>
      </c>
      <c r="L307" s="17"/>
      <c r="M307" s="17"/>
      <c r="N307" s="17"/>
      <c r="O307" s="17"/>
      <c r="P307" s="18"/>
      <c r="Q307" s="16" t="s">
        <v>83</v>
      </c>
      <c r="R307" s="18"/>
    </row>
    <row r="308" spans="1:18" ht="16.5" customHeight="1">
      <c r="A308" s="10">
        <v>307</v>
      </c>
      <c r="B308" s="10">
        <v>36</v>
      </c>
      <c r="C308" s="10">
        <v>3</v>
      </c>
      <c r="D308" s="11" t="s">
        <v>1545</v>
      </c>
      <c r="E308" s="12" t="s">
        <v>1549</v>
      </c>
      <c r="F308" s="11" t="s">
        <v>1553</v>
      </c>
      <c r="G308" s="10"/>
      <c r="H308" s="13" t="s">
        <v>1554</v>
      </c>
      <c r="I308" s="14" t="s">
        <v>1555</v>
      </c>
      <c r="J308" s="15" t="s">
        <v>1556</v>
      </c>
      <c r="K308" s="16" t="s">
        <v>82</v>
      </c>
      <c r="L308" s="17"/>
      <c r="M308" s="17"/>
      <c r="N308" s="17"/>
      <c r="O308" s="17"/>
      <c r="P308" s="18"/>
      <c r="Q308" s="16" t="s">
        <v>83</v>
      </c>
      <c r="R308" s="18"/>
    </row>
    <row r="309" spans="1:18" ht="16.5" customHeight="1">
      <c r="A309" s="10">
        <v>308</v>
      </c>
      <c r="B309" s="10">
        <v>36</v>
      </c>
      <c r="C309" s="10">
        <v>4</v>
      </c>
      <c r="D309" s="11" t="s">
        <v>1549</v>
      </c>
      <c r="E309" s="19" t="s">
        <v>1553</v>
      </c>
      <c r="F309" s="11" t="s">
        <v>1557</v>
      </c>
      <c r="G309" s="10" t="s">
        <v>160</v>
      </c>
      <c r="H309" s="13" t="s">
        <v>1558</v>
      </c>
      <c r="I309" s="14" t="s">
        <v>1559</v>
      </c>
      <c r="J309" s="15" t="s">
        <v>1560</v>
      </c>
      <c r="K309" s="16" t="s">
        <v>82</v>
      </c>
      <c r="L309" s="17"/>
      <c r="M309" s="17"/>
      <c r="N309" s="17"/>
      <c r="O309" s="17"/>
      <c r="P309" s="18"/>
      <c r="Q309" s="16" t="s">
        <v>83</v>
      </c>
      <c r="R309" s="18"/>
    </row>
    <row r="310" spans="1:18" ht="16.5" customHeight="1">
      <c r="A310" s="10">
        <v>309</v>
      </c>
      <c r="B310" s="10">
        <v>36</v>
      </c>
      <c r="C310" s="10">
        <v>5</v>
      </c>
      <c r="D310" s="11" t="s">
        <v>1553</v>
      </c>
      <c r="E310" s="12" t="s">
        <v>1557</v>
      </c>
      <c r="F310" s="11" t="s">
        <v>1561</v>
      </c>
      <c r="G310" s="10"/>
      <c r="H310" s="13" t="s">
        <v>1562</v>
      </c>
      <c r="I310" s="14" t="s">
        <v>1563</v>
      </c>
      <c r="J310" s="15" t="s">
        <v>1564</v>
      </c>
      <c r="K310" s="16" t="s">
        <v>82</v>
      </c>
      <c r="L310" s="17"/>
      <c r="M310" s="17"/>
      <c r="N310" s="17"/>
      <c r="O310" s="17"/>
      <c r="P310" s="18"/>
      <c r="Q310" s="16" t="s">
        <v>83</v>
      </c>
      <c r="R310" s="18"/>
    </row>
    <row r="311" spans="1:18" ht="16.5" customHeight="1">
      <c r="A311" s="10">
        <v>310</v>
      </c>
      <c r="B311" s="10">
        <v>36</v>
      </c>
      <c r="C311" s="10">
        <v>8</v>
      </c>
      <c r="D311" s="11" t="s">
        <v>1565</v>
      </c>
      <c r="E311" s="12" t="s">
        <v>1566</v>
      </c>
      <c r="F311" s="11" t="s">
        <v>1567</v>
      </c>
      <c r="G311" s="10"/>
      <c r="H311" s="13"/>
      <c r="I311" s="14" t="s">
        <v>1568</v>
      </c>
      <c r="J311" s="15" t="s">
        <v>1569</v>
      </c>
      <c r="K311" s="16" t="s">
        <v>82</v>
      </c>
      <c r="L311" s="17"/>
      <c r="M311" s="17"/>
      <c r="N311" s="17"/>
      <c r="O311" s="17"/>
      <c r="P311" s="18"/>
      <c r="Q311" s="16" t="s">
        <v>83</v>
      </c>
      <c r="R311" s="18"/>
    </row>
    <row r="312" spans="1:18" ht="16.5" customHeight="1">
      <c r="A312" s="10">
        <v>311</v>
      </c>
      <c r="B312" s="10">
        <v>36</v>
      </c>
      <c r="C312" s="10">
        <v>9</v>
      </c>
      <c r="D312" s="11" t="s">
        <v>1566</v>
      </c>
      <c r="E312" s="19" t="s">
        <v>1567</v>
      </c>
      <c r="F312" s="11" t="s">
        <v>1570</v>
      </c>
      <c r="G312" s="10" t="s">
        <v>774</v>
      </c>
      <c r="H312" s="13" t="s">
        <v>1571</v>
      </c>
      <c r="I312" s="14" t="s">
        <v>1572</v>
      </c>
      <c r="J312" s="15" t="s">
        <v>1573</v>
      </c>
      <c r="K312" s="16" t="s">
        <v>82</v>
      </c>
      <c r="L312" s="17"/>
      <c r="M312" s="17"/>
      <c r="N312" s="17"/>
      <c r="O312" s="17"/>
      <c r="P312" s="18"/>
      <c r="Q312" s="16" t="s">
        <v>83</v>
      </c>
      <c r="R312" s="18"/>
    </row>
    <row r="313" spans="1:18" ht="26.25" customHeight="1">
      <c r="A313" s="10">
        <v>312</v>
      </c>
      <c r="B313" s="10">
        <v>36</v>
      </c>
      <c r="C313" s="10">
        <v>10</v>
      </c>
      <c r="D313" s="11" t="s">
        <v>1567</v>
      </c>
      <c r="E313" s="12" t="s">
        <v>1570</v>
      </c>
      <c r="F313" s="11" t="s">
        <v>1574</v>
      </c>
      <c r="G313" s="10"/>
      <c r="H313" s="13"/>
      <c r="I313" s="14" t="s">
        <v>1575</v>
      </c>
      <c r="J313" s="15" t="s">
        <v>1576</v>
      </c>
      <c r="K313" s="16" t="s">
        <v>82</v>
      </c>
      <c r="L313" s="17"/>
      <c r="M313" s="17"/>
      <c r="N313" s="17"/>
      <c r="O313" s="17"/>
      <c r="P313" s="18"/>
      <c r="Q313" s="16" t="s">
        <v>83</v>
      </c>
      <c r="R313" s="18"/>
    </row>
    <row r="314" spans="1:18" ht="26.25" customHeight="1">
      <c r="A314" s="10">
        <v>313</v>
      </c>
      <c r="B314" s="10">
        <v>36</v>
      </c>
      <c r="C314" s="10">
        <v>11</v>
      </c>
      <c r="D314" s="11" t="s">
        <v>1570</v>
      </c>
      <c r="E314" s="19" t="s">
        <v>1574</v>
      </c>
      <c r="F314" s="11" t="s">
        <v>1577</v>
      </c>
      <c r="G314" s="10" t="s">
        <v>85</v>
      </c>
      <c r="H314" s="13" t="s">
        <v>1578</v>
      </c>
      <c r="I314" s="14" t="s">
        <v>1579</v>
      </c>
      <c r="J314" s="15" t="s">
        <v>1580</v>
      </c>
      <c r="K314" s="16" t="s">
        <v>89</v>
      </c>
      <c r="L314" s="17" t="s">
        <v>222</v>
      </c>
      <c r="M314" s="17" t="s">
        <v>91</v>
      </c>
      <c r="N314" s="17" t="s">
        <v>1581</v>
      </c>
      <c r="O314" s="17" t="s">
        <v>1159</v>
      </c>
      <c r="P314" s="18" t="s">
        <v>1582</v>
      </c>
      <c r="Q314" s="16" t="s">
        <v>113</v>
      </c>
      <c r="R314" s="18"/>
    </row>
    <row r="315" spans="1:18" ht="26.25" customHeight="1">
      <c r="A315" s="10">
        <v>314</v>
      </c>
      <c r="B315" s="10">
        <v>36</v>
      </c>
      <c r="C315" s="10">
        <v>12</v>
      </c>
      <c r="D315" s="11" t="s">
        <v>1574</v>
      </c>
      <c r="E315" s="12" t="s">
        <v>1577</v>
      </c>
      <c r="F315" s="11"/>
      <c r="G315" s="10"/>
      <c r="H315" s="13" t="s">
        <v>1583</v>
      </c>
      <c r="I315" s="14" t="s">
        <v>1584</v>
      </c>
      <c r="J315" s="15" t="s">
        <v>1584</v>
      </c>
      <c r="K315" s="16" t="s">
        <v>82</v>
      </c>
      <c r="L315" s="17"/>
      <c r="M315" s="17"/>
      <c r="N315" s="17"/>
      <c r="O315" s="17"/>
      <c r="P315" s="18"/>
      <c r="Q315" s="16" t="s">
        <v>83</v>
      </c>
      <c r="R315" s="18"/>
    </row>
    <row r="316" spans="1:18" ht="16.5" customHeight="1">
      <c r="A316" s="10">
        <v>315</v>
      </c>
      <c r="B316" s="10">
        <v>37</v>
      </c>
      <c r="C316" s="10">
        <v>5</v>
      </c>
      <c r="D316" s="11" t="s">
        <v>1585</v>
      </c>
      <c r="E316" s="12" t="s">
        <v>1586</v>
      </c>
      <c r="F316" s="11" t="s">
        <v>1587</v>
      </c>
      <c r="G316" s="10"/>
      <c r="H316" s="13" t="s">
        <v>1588</v>
      </c>
      <c r="I316" s="14" t="s">
        <v>1589</v>
      </c>
      <c r="J316" s="15" t="s">
        <v>1590</v>
      </c>
      <c r="K316" s="16" t="s">
        <v>82</v>
      </c>
      <c r="L316" s="17"/>
      <c r="M316" s="17"/>
      <c r="N316" s="17"/>
      <c r="O316" s="17"/>
      <c r="P316" s="18"/>
      <c r="Q316" s="16" t="s">
        <v>83</v>
      </c>
      <c r="R316" s="18"/>
    </row>
    <row r="317" spans="1:18" ht="26.25" customHeight="1">
      <c r="A317" s="10">
        <v>316</v>
      </c>
      <c r="B317" s="10">
        <v>37</v>
      </c>
      <c r="C317" s="10">
        <v>6</v>
      </c>
      <c r="D317" s="11" t="s">
        <v>1586</v>
      </c>
      <c r="E317" s="19" t="s">
        <v>1587</v>
      </c>
      <c r="F317" s="11" t="s">
        <v>1591</v>
      </c>
      <c r="G317" s="10" t="s">
        <v>1514</v>
      </c>
      <c r="H317" s="13" t="s">
        <v>1592</v>
      </c>
      <c r="I317" s="14" t="s">
        <v>1593</v>
      </c>
      <c r="J317" s="15" t="s">
        <v>1594</v>
      </c>
      <c r="K317" s="16" t="s">
        <v>89</v>
      </c>
      <c r="L317" s="17" t="s">
        <v>473</v>
      </c>
      <c r="M317" s="17" t="s">
        <v>91</v>
      </c>
      <c r="N317" s="17" t="s">
        <v>474</v>
      </c>
      <c r="O317" s="17" t="s">
        <v>1595</v>
      </c>
      <c r="P317" s="18" t="s">
        <v>1596</v>
      </c>
      <c r="Q317" s="16" t="s">
        <v>113</v>
      </c>
      <c r="R317" s="18"/>
    </row>
    <row r="318" spans="1:18" ht="16.5" customHeight="1">
      <c r="A318" s="10">
        <v>317</v>
      </c>
      <c r="B318" s="10">
        <v>37</v>
      </c>
      <c r="C318" s="10">
        <v>7</v>
      </c>
      <c r="D318" s="11" t="s">
        <v>1587</v>
      </c>
      <c r="E318" s="12" t="s">
        <v>1591</v>
      </c>
      <c r="F318" s="11" t="s">
        <v>1597</v>
      </c>
      <c r="G318" s="10"/>
      <c r="H318" s="13" t="s">
        <v>1598</v>
      </c>
      <c r="I318" s="14" t="s">
        <v>1599</v>
      </c>
      <c r="J318" s="15" t="s">
        <v>1600</v>
      </c>
      <c r="K318" s="16" t="s">
        <v>82</v>
      </c>
      <c r="L318" s="17"/>
      <c r="M318" s="17"/>
      <c r="N318" s="17"/>
      <c r="O318" s="17"/>
      <c r="P318" s="18"/>
      <c r="Q318" s="16" t="s">
        <v>83</v>
      </c>
      <c r="R318" s="18"/>
    </row>
    <row r="319" spans="1:18" ht="16.5" customHeight="1">
      <c r="A319" s="10">
        <v>318</v>
      </c>
      <c r="B319" s="10">
        <v>37</v>
      </c>
      <c r="C319" s="10">
        <v>11</v>
      </c>
      <c r="D319" s="11" t="s">
        <v>1601</v>
      </c>
      <c r="E319" s="12" t="s">
        <v>1602</v>
      </c>
      <c r="F319" s="11" t="s">
        <v>1603</v>
      </c>
      <c r="G319" s="10"/>
      <c r="H319" s="13" t="s">
        <v>1604</v>
      </c>
      <c r="I319" s="14" t="s">
        <v>1605</v>
      </c>
      <c r="J319" s="15" t="s">
        <v>1606</v>
      </c>
      <c r="K319" s="16" t="s">
        <v>82</v>
      </c>
      <c r="L319" s="17"/>
      <c r="M319" s="17"/>
      <c r="N319" s="17"/>
      <c r="O319" s="17"/>
      <c r="P319" s="18"/>
      <c r="Q319" s="16" t="s">
        <v>83</v>
      </c>
      <c r="R319" s="18"/>
    </row>
    <row r="320" spans="1:18" ht="16.5" customHeight="1">
      <c r="A320" s="10">
        <v>319</v>
      </c>
      <c r="B320" s="10">
        <v>37</v>
      </c>
      <c r="C320" s="10">
        <v>12</v>
      </c>
      <c r="D320" s="11" t="s">
        <v>1602</v>
      </c>
      <c r="E320" s="19" t="s">
        <v>1603</v>
      </c>
      <c r="F320" s="11" t="s">
        <v>274</v>
      </c>
      <c r="G320" s="10" t="s">
        <v>160</v>
      </c>
      <c r="H320" s="13" t="s">
        <v>1607</v>
      </c>
      <c r="I320" s="14" t="s">
        <v>1608</v>
      </c>
      <c r="J320" s="15" t="s">
        <v>1609</v>
      </c>
      <c r="K320" s="16" t="s">
        <v>82</v>
      </c>
      <c r="L320" s="17"/>
      <c r="M320" s="17"/>
      <c r="N320" s="17"/>
      <c r="O320" s="17"/>
      <c r="P320" s="18"/>
      <c r="Q320" s="16" t="s">
        <v>83</v>
      </c>
      <c r="R320" s="18"/>
    </row>
    <row r="321" spans="1:18" ht="16.5" customHeight="1">
      <c r="A321" s="10">
        <v>320</v>
      </c>
      <c r="B321" s="10">
        <v>37</v>
      </c>
      <c r="C321" s="10">
        <v>13</v>
      </c>
      <c r="D321" s="11" t="s">
        <v>1603</v>
      </c>
      <c r="E321" s="12" t="s">
        <v>274</v>
      </c>
      <c r="F321" s="11" t="s">
        <v>1610</v>
      </c>
      <c r="G321" s="10"/>
      <c r="H321" s="13" t="s">
        <v>1611</v>
      </c>
      <c r="I321" s="14" t="s">
        <v>1612</v>
      </c>
      <c r="J321" s="15" t="s">
        <v>1613</v>
      </c>
      <c r="K321" s="16" t="s">
        <v>82</v>
      </c>
      <c r="L321" s="17"/>
      <c r="M321" s="17"/>
      <c r="N321" s="17"/>
      <c r="O321" s="17"/>
      <c r="P321" s="18"/>
      <c r="Q321" s="16" t="s">
        <v>83</v>
      </c>
      <c r="R321" s="18"/>
    </row>
    <row r="322" spans="1:18" ht="16.5" customHeight="1">
      <c r="A322" s="10">
        <v>321</v>
      </c>
      <c r="B322" s="10">
        <v>38</v>
      </c>
      <c r="C322" s="10">
        <v>3</v>
      </c>
      <c r="D322" s="11" t="s">
        <v>1614</v>
      </c>
      <c r="E322" s="12" t="s">
        <v>1615</v>
      </c>
      <c r="F322" s="11" t="s">
        <v>1616</v>
      </c>
      <c r="G322" s="10"/>
      <c r="H322" s="13" t="s">
        <v>1617</v>
      </c>
      <c r="I322" s="14" t="s">
        <v>1618</v>
      </c>
      <c r="J322" s="15" t="s">
        <v>1619</v>
      </c>
      <c r="K322" s="16" t="s">
        <v>82</v>
      </c>
      <c r="L322" s="17"/>
      <c r="M322" s="17"/>
      <c r="N322" s="17"/>
      <c r="O322" s="17"/>
      <c r="P322" s="18"/>
      <c r="Q322" s="16" t="s">
        <v>83</v>
      </c>
      <c r="R322" s="18"/>
    </row>
    <row r="323" spans="1:18" ht="16.5" customHeight="1">
      <c r="A323" s="10">
        <v>322</v>
      </c>
      <c r="B323" s="10">
        <v>38</v>
      </c>
      <c r="C323" s="10">
        <v>4</v>
      </c>
      <c r="D323" s="11" t="s">
        <v>1615</v>
      </c>
      <c r="E323" s="19" t="s">
        <v>1616</v>
      </c>
      <c r="F323" s="11" t="s">
        <v>1620</v>
      </c>
      <c r="G323" s="10" t="s">
        <v>774</v>
      </c>
      <c r="H323" s="13" t="s">
        <v>1621</v>
      </c>
      <c r="I323" s="14" t="s">
        <v>1622</v>
      </c>
      <c r="J323" s="15" t="s">
        <v>1623</v>
      </c>
      <c r="K323" s="16" t="s">
        <v>82</v>
      </c>
      <c r="L323" s="17"/>
      <c r="M323" s="17"/>
      <c r="N323" s="17"/>
      <c r="O323" s="17"/>
      <c r="P323" s="18"/>
      <c r="Q323" s="16" t="s">
        <v>83</v>
      </c>
      <c r="R323" s="18"/>
    </row>
    <row r="324" spans="1:18" ht="16.5" customHeight="1">
      <c r="A324" s="10">
        <v>323</v>
      </c>
      <c r="B324" s="10">
        <v>38</v>
      </c>
      <c r="C324" s="10">
        <v>5</v>
      </c>
      <c r="D324" s="11" t="s">
        <v>1616</v>
      </c>
      <c r="E324" s="12" t="s">
        <v>1620</v>
      </c>
      <c r="F324" s="11" t="s">
        <v>1624</v>
      </c>
      <c r="G324" s="10"/>
      <c r="H324" s="13" t="s">
        <v>1625</v>
      </c>
      <c r="I324" s="14" t="s">
        <v>1626</v>
      </c>
      <c r="J324" s="15" t="s">
        <v>1627</v>
      </c>
      <c r="K324" s="16" t="s">
        <v>82</v>
      </c>
      <c r="L324" s="17"/>
      <c r="M324" s="17"/>
      <c r="N324" s="17"/>
      <c r="O324" s="17"/>
      <c r="P324" s="18"/>
      <c r="Q324" s="16" t="s">
        <v>83</v>
      </c>
      <c r="R324" s="18"/>
    </row>
    <row r="325" spans="1:18" ht="26.25" customHeight="1">
      <c r="A325" s="10">
        <v>324</v>
      </c>
      <c r="B325" s="10">
        <v>38</v>
      </c>
      <c r="C325" s="10">
        <v>6</v>
      </c>
      <c r="D325" s="11" t="s">
        <v>1620</v>
      </c>
      <c r="E325" s="12" t="s">
        <v>1624</v>
      </c>
      <c r="F325" s="11" t="s">
        <v>1628</v>
      </c>
      <c r="G325" s="10"/>
      <c r="H325" s="13" t="s">
        <v>1629</v>
      </c>
      <c r="I325" s="14" t="s">
        <v>1630</v>
      </c>
      <c r="J325" s="15" t="s">
        <v>1631</v>
      </c>
      <c r="K325" s="16" t="s">
        <v>82</v>
      </c>
      <c r="L325" s="17"/>
      <c r="M325" s="17"/>
      <c r="N325" s="17"/>
      <c r="O325" s="17"/>
      <c r="P325" s="18"/>
      <c r="Q325" s="16" t="s">
        <v>83</v>
      </c>
      <c r="R325" s="18"/>
    </row>
    <row r="326" spans="1:18" ht="16.5" customHeight="1">
      <c r="A326" s="10">
        <v>325</v>
      </c>
      <c r="B326" s="10">
        <v>38</v>
      </c>
      <c r="C326" s="10">
        <v>7</v>
      </c>
      <c r="D326" s="11" t="s">
        <v>1624</v>
      </c>
      <c r="E326" s="19" t="s">
        <v>1628</v>
      </c>
      <c r="F326" s="11" t="s">
        <v>1632</v>
      </c>
      <c r="G326" s="10" t="s">
        <v>305</v>
      </c>
      <c r="H326" s="13" t="s">
        <v>1633</v>
      </c>
      <c r="I326" s="14" t="s">
        <v>1634</v>
      </c>
      <c r="J326" s="15" t="s">
        <v>1635</v>
      </c>
      <c r="K326" s="16" t="s">
        <v>82</v>
      </c>
      <c r="L326" s="17"/>
      <c r="M326" s="17"/>
      <c r="N326" s="17"/>
      <c r="O326" s="17"/>
      <c r="P326" s="18"/>
      <c r="Q326" s="16" t="s">
        <v>83</v>
      </c>
      <c r="R326" s="18"/>
    </row>
    <row r="327" spans="1:18" ht="16.5" customHeight="1">
      <c r="A327" s="10">
        <v>326</v>
      </c>
      <c r="B327" s="10">
        <v>38</v>
      </c>
      <c r="C327" s="10">
        <v>8</v>
      </c>
      <c r="D327" s="11" t="s">
        <v>1628</v>
      </c>
      <c r="E327" s="19" t="s">
        <v>1632</v>
      </c>
      <c r="F327" s="11" t="s">
        <v>1636</v>
      </c>
      <c r="G327" s="10" t="s">
        <v>160</v>
      </c>
      <c r="H327" s="13" t="s">
        <v>1637</v>
      </c>
      <c r="I327" s="14" t="s">
        <v>1638</v>
      </c>
      <c r="J327" s="15" t="s">
        <v>1639</v>
      </c>
      <c r="K327" s="16" t="s">
        <v>82</v>
      </c>
      <c r="L327" s="17"/>
      <c r="M327" s="17"/>
      <c r="N327" s="17"/>
      <c r="O327" s="17"/>
      <c r="P327" s="18"/>
      <c r="Q327" s="16" t="s">
        <v>83</v>
      </c>
      <c r="R327" s="18"/>
    </row>
    <row r="328" spans="1:18" ht="16.5" customHeight="1">
      <c r="A328" s="10">
        <v>327</v>
      </c>
      <c r="B328" s="10">
        <v>38</v>
      </c>
      <c r="C328" s="10">
        <v>9</v>
      </c>
      <c r="D328" s="11" t="s">
        <v>1632</v>
      </c>
      <c r="E328" s="19" t="s">
        <v>1636</v>
      </c>
      <c r="F328" s="11" t="s">
        <v>1640</v>
      </c>
      <c r="G328" s="10" t="s">
        <v>774</v>
      </c>
      <c r="H328" s="13" t="s">
        <v>1641</v>
      </c>
      <c r="I328" s="14" t="s">
        <v>1642</v>
      </c>
      <c r="J328" s="15" t="s">
        <v>1643</v>
      </c>
      <c r="K328" s="16" t="s">
        <v>82</v>
      </c>
      <c r="L328" s="17"/>
      <c r="M328" s="17"/>
      <c r="N328" s="17"/>
      <c r="O328" s="17"/>
      <c r="P328" s="18"/>
      <c r="Q328" s="16" t="s">
        <v>83</v>
      </c>
      <c r="R328" s="18"/>
    </row>
    <row r="329" spans="1:18" ht="16.5" customHeight="1">
      <c r="A329" s="10">
        <v>328</v>
      </c>
      <c r="B329" s="10">
        <v>38</v>
      </c>
      <c r="C329" s="10">
        <v>10</v>
      </c>
      <c r="D329" s="11" t="s">
        <v>1636</v>
      </c>
      <c r="E329" s="12" t="s">
        <v>1640</v>
      </c>
      <c r="F329" s="11" t="s">
        <v>1644</v>
      </c>
      <c r="G329" s="10"/>
      <c r="H329" s="13" t="s">
        <v>1645</v>
      </c>
      <c r="I329" s="14" t="s">
        <v>1646</v>
      </c>
      <c r="J329" s="15" t="s">
        <v>1647</v>
      </c>
      <c r="K329" s="16" t="s">
        <v>82</v>
      </c>
      <c r="L329" s="17"/>
      <c r="M329" s="17"/>
      <c r="N329" s="17"/>
      <c r="O329" s="17"/>
      <c r="P329" s="18"/>
      <c r="Q329" s="16" t="s">
        <v>83</v>
      </c>
      <c r="R329" s="18"/>
    </row>
    <row r="330" spans="1:18" ht="16.5" customHeight="1">
      <c r="A330" s="10">
        <v>329</v>
      </c>
      <c r="B330" s="10">
        <v>39</v>
      </c>
      <c r="C330" s="10">
        <v>4</v>
      </c>
      <c r="D330" s="11" t="s">
        <v>1648</v>
      </c>
      <c r="E330" s="12" t="s">
        <v>1649</v>
      </c>
      <c r="F330" s="11" t="s">
        <v>1650</v>
      </c>
      <c r="G330" s="10"/>
      <c r="H330" s="13" t="s">
        <v>1651</v>
      </c>
      <c r="I330" s="14" t="s">
        <v>1652</v>
      </c>
      <c r="J330" s="15" t="s">
        <v>1653</v>
      </c>
      <c r="K330" s="16" t="s">
        <v>82</v>
      </c>
      <c r="L330" s="17"/>
      <c r="M330" s="17"/>
      <c r="N330" s="17"/>
      <c r="O330" s="17"/>
      <c r="P330" s="18"/>
      <c r="Q330" s="16" t="s">
        <v>83</v>
      </c>
      <c r="R330" s="18"/>
    </row>
    <row r="331" spans="1:18" ht="16.5" customHeight="1">
      <c r="A331" s="10">
        <v>330</v>
      </c>
      <c r="B331" s="10">
        <v>39</v>
      </c>
      <c r="C331" s="10">
        <v>5</v>
      </c>
      <c r="D331" s="11" t="s">
        <v>1649</v>
      </c>
      <c r="E331" s="19" t="s">
        <v>1650</v>
      </c>
      <c r="F331" s="11" t="s">
        <v>1654</v>
      </c>
      <c r="G331" s="10" t="s">
        <v>1655</v>
      </c>
      <c r="H331" s="13" t="s">
        <v>1656</v>
      </c>
      <c r="I331" s="14" t="s">
        <v>1657</v>
      </c>
      <c r="J331" s="15" t="s">
        <v>1658</v>
      </c>
      <c r="K331" s="16" t="s">
        <v>82</v>
      </c>
      <c r="L331" s="17"/>
      <c r="M331" s="17"/>
      <c r="N331" s="17"/>
      <c r="O331" s="17"/>
      <c r="P331" s="18"/>
      <c r="Q331" s="16" t="s">
        <v>83</v>
      </c>
      <c r="R331" s="18"/>
    </row>
    <row r="332" spans="1:18" ht="16.5" customHeight="1">
      <c r="A332" s="10">
        <v>331</v>
      </c>
      <c r="B332" s="10">
        <v>39</v>
      </c>
      <c r="C332" s="10">
        <v>6</v>
      </c>
      <c r="D332" s="11" t="s">
        <v>1650</v>
      </c>
      <c r="E332" s="12" t="s">
        <v>1654</v>
      </c>
      <c r="F332" s="11" t="s">
        <v>1659</v>
      </c>
      <c r="G332" s="10"/>
      <c r="H332" s="13" t="s">
        <v>1660</v>
      </c>
      <c r="I332" s="14" t="s">
        <v>1661</v>
      </c>
      <c r="J332" s="15" t="s">
        <v>1661</v>
      </c>
      <c r="K332" s="16" t="s">
        <v>82</v>
      </c>
      <c r="L332" s="17"/>
      <c r="M332" s="17"/>
      <c r="N332" s="17"/>
      <c r="O332" s="17"/>
      <c r="P332" s="18"/>
      <c r="Q332" s="16" t="s">
        <v>83</v>
      </c>
      <c r="R332" s="18"/>
    </row>
    <row r="333" spans="1:18" ht="16.5" customHeight="1">
      <c r="A333" s="10">
        <v>332</v>
      </c>
      <c r="B333" s="10">
        <v>39</v>
      </c>
      <c r="C333" s="10">
        <v>9</v>
      </c>
      <c r="D333" s="11" t="s">
        <v>1662</v>
      </c>
      <c r="E333" s="12" t="s">
        <v>1663</v>
      </c>
      <c r="F333" s="11" t="s">
        <v>1664</v>
      </c>
      <c r="G333" s="10"/>
      <c r="H333" s="13" t="s">
        <v>1665</v>
      </c>
      <c r="I333" s="14" t="s">
        <v>1666</v>
      </c>
      <c r="J333" s="15" t="s">
        <v>1667</v>
      </c>
      <c r="K333" s="16" t="s">
        <v>82</v>
      </c>
      <c r="L333" s="17"/>
      <c r="M333" s="17"/>
      <c r="N333" s="17"/>
      <c r="O333" s="17"/>
      <c r="P333" s="18"/>
      <c r="Q333" s="16" t="s">
        <v>83</v>
      </c>
      <c r="R333" s="18"/>
    </row>
    <row r="334" spans="1:18" ht="16.5" customHeight="1">
      <c r="A334" s="10">
        <v>333</v>
      </c>
      <c r="B334" s="10">
        <v>39</v>
      </c>
      <c r="C334" s="10">
        <v>10</v>
      </c>
      <c r="D334" s="11" t="s">
        <v>1663</v>
      </c>
      <c r="E334" s="19" t="s">
        <v>1664</v>
      </c>
      <c r="F334" s="11" t="s">
        <v>1668</v>
      </c>
      <c r="G334" s="10" t="s">
        <v>160</v>
      </c>
      <c r="H334" s="13" t="s">
        <v>1669</v>
      </c>
      <c r="I334" s="14" t="s">
        <v>1670</v>
      </c>
      <c r="J334" s="15" t="s">
        <v>1671</v>
      </c>
      <c r="K334" s="16" t="s">
        <v>89</v>
      </c>
      <c r="L334" s="17" t="s">
        <v>368</v>
      </c>
      <c r="M334" s="17" t="s">
        <v>91</v>
      </c>
      <c r="N334" s="17" t="s">
        <v>1672</v>
      </c>
      <c r="O334" s="17" t="s">
        <v>1673</v>
      </c>
      <c r="P334" s="18" t="s">
        <v>1674</v>
      </c>
      <c r="Q334" s="16" t="s">
        <v>83</v>
      </c>
      <c r="R334" s="18"/>
    </row>
    <row r="335" spans="1:18" ht="16.5" customHeight="1">
      <c r="A335" s="10">
        <v>334</v>
      </c>
      <c r="B335" s="10">
        <v>39</v>
      </c>
      <c r="C335" s="10">
        <v>11</v>
      </c>
      <c r="D335" s="11" t="s">
        <v>1664</v>
      </c>
      <c r="E335" s="19" t="s">
        <v>1668</v>
      </c>
      <c r="F335" s="11" t="s">
        <v>1675</v>
      </c>
      <c r="G335" s="10" t="s">
        <v>1676</v>
      </c>
      <c r="H335" s="13" t="s">
        <v>1677</v>
      </c>
      <c r="I335" s="14" t="s">
        <v>1678</v>
      </c>
      <c r="J335" s="15" t="s">
        <v>1678</v>
      </c>
      <c r="K335" s="16" t="s">
        <v>82</v>
      </c>
      <c r="L335" s="17"/>
      <c r="M335" s="17"/>
      <c r="N335" s="17"/>
      <c r="O335" s="17"/>
      <c r="P335" s="18"/>
      <c r="Q335" s="16" t="s">
        <v>83</v>
      </c>
      <c r="R335" s="18"/>
    </row>
    <row r="336" spans="1:18" ht="16.5" customHeight="1">
      <c r="A336" s="10">
        <v>335</v>
      </c>
      <c r="B336" s="10">
        <v>39</v>
      </c>
      <c r="C336" s="10">
        <v>12</v>
      </c>
      <c r="D336" s="11" t="s">
        <v>1668</v>
      </c>
      <c r="E336" s="19" t="s">
        <v>1675</v>
      </c>
      <c r="F336" s="11" t="s">
        <v>1679</v>
      </c>
      <c r="G336" s="10" t="s">
        <v>827</v>
      </c>
      <c r="H336" s="13" t="s">
        <v>1680</v>
      </c>
      <c r="I336" s="14" t="s">
        <v>1681</v>
      </c>
      <c r="J336" s="15" t="s">
        <v>1682</v>
      </c>
      <c r="K336" s="16" t="s">
        <v>89</v>
      </c>
      <c r="L336" s="17" t="s">
        <v>155</v>
      </c>
      <c r="M336" s="17" t="s">
        <v>209</v>
      </c>
      <c r="N336" s="17" t="s">
        <v>1683</v>
      </c>
      <c r="O336" s="17" t="s">
        <v>1684</v>
      </c>
      <c r="P336" s="18" t="s">
        <v>1685</v>
      </c>
      <c r="Q336" s="16" t="s">
        <v>83</v>
      </c>
      <c r="R336" s="18"/>
    </row>
    <row r="337" spans="1:18" ht="16.5" customHeight="1">
      <c r="A337" s="10">
        <v>336</v>
      </c>
      <c r="B337" s="10">
        <v>39</v>
      </c>
      <c r="C337" s="10">
        <v>13</v>
      </c>
      <c r="D337" s="11" t="s">
        <v>1675</v>
      </c>
      <c r="E337" s="12" t="s">
        <v>1679</v>
      </c>
      <c r="F337" s="11" t="s">
        <v>1686</v>
      </c>
      <c r="G337" s="10"/>
      <c r="H337" s="13" t="s">
        <v>1687</v>
      </c>
      <c r="I337" s="14" t="s">
        <v>1688</v>
      </c>
      <c r="J337" s="15" t="s">
        <v>1688</v>
      </c>
      <c r="K337" s="16" t="s">
        <v>82</v>
      </c>
      <c r="L337" s="17"/>
      <c r="M337" s="17"/>
      <c r="N337" s="17"/>
      <c r="O337" s="17"/>
      <c r="P337" s="18"/>
      <c r="Q337" s="16" t="s">
        <v>83</v>
      </c>
      <c r="R337" s="18"/>
    </row>
    <row r="338" spans="1:18" ht="16.5" customHeight="1">
      <c r="A338" s="10">
        <v>337</v>
      </c>
      <c r="B338" s="10">
        <v>39</v>
      </c>
      <c r="C338" s="10">
        <v>14</v>
      </c>
      <c r="D338" s="11" t="s">
        <v>1679</v>
      </c>
      <c r="E338" s="19" t="s">
        <v>1686</v>
      </c>
      <c r="F338" s="11" t="s">
        <v>1689</v>
      </c>
      <c r="G338" s="10" t="s">
        <v>774</v>
      </c>
      <c r="H338" s="13" t="s">
        <v>1690</v>
      </c>
      <c r="I338" s="14" t="s">
        <v>1691</v>
      </c>
      <c r="J338" s="15" t="s">
        <v>1692</v>
      </c>
      <c r="K338" s="16" t="s">
        <v>82</v>
      </c>
      <c r="L338" s="17"/>
      <c r="M338" s="17"/>
      <c r="N338" s="17"/>
      <c r="O338" s="17"/>
      <c r="P338" s="18"/>
      <c r="Q338" s="16" t="s">
        <v>83</v>
      </c>
      <c r="R338" s="18"/>
    </row>
    <row r="339" spans="1:18" ht="16.5" customHeight="1">
      <c r="A339" s="10">
        <v>338</v>
      </c>
      <c r="B339" s="10">
        <v>39</v>
      </c>
      <c r="C339" s="10">
        <v>15</v>
      </c>
      <c r="D339" s="11" t="s">
        <v>1686</v>
      </c>
      <c r="E339" s="12" t="s">
        <v>1689</v>
      </c>
      <c r="F339" s="11" t="s">
        <v>1693</v>
      </c>
      <c r="G339" s="10"/>
      <c r="H339" s="13" t="s">
        <v>1694</v>
      </c>
      <c r="I339" s="14" t="s">
        <v>1695</v>
      </c>
      <c r="J339" s="15" t="s">
        <v>1696</v>
      </c>
      <c r="K339" s="16" t="s">
        <v>82</v>
      </c>
      <c r="L339" s="17"/>
      <c r="M339" s="17"/>
      <c r="N339" s="17"/>
      <c r="O339" s="17"/>
      <c r="P339" s="18"/>
      <c r="Q339" s="16" t="s">
        <v>83</v>
      </c>
      <c r="R339" s="18"/>
    </row>
    <row r="340" spans="1:18" ht="16.5" customHeight="1">
      <c r="A340" s="10">
        <v>339</v>
      </c>
      <c r="B340" s="10">
        <v>39</v>
      </c>
      <c r="C340" s="10">
        <v>16</v>
      </c>
      <c r="D340" s="11" t="s">
        <v>1689</v>
      </c>
      <c r="E340" s="19" t="s">
        <v>1693</v>
      </c>
      <c r="F340" s="11" t="s">
        <v>1697</v>
      </c>
      <c r="G340" s="10" t="s">
        <v>160</v>
      </c>
      <c r="H340" s="13" t="s">
        <v>1698</v>
      </c>
      <c r="I340" s="14" t="s">
        <v>1699</v>
      </c>
      <c r="J340" s="15" t="s">
        <v>1700</v>
      </c>
      <c r="K340" s="16" t="s">
        <v>82</v>
      </c>
      <c r="L340" s="17"/>
      <c r="M340" s="17"/>
      <c r="N340" s="17"/>
      <c r="O340" s="17"/>
      <c r="P340" s="18"/>
      <c r="Q340" s="16" t="s">
        <v>83</v>
      </c>
      <c r="R340" s="18"/>
    </row>
    <row r="341" spans="1:18" ht="16.5" customHeight="1">
      <c r="A341" s="10">
        <v>340</v>
      </c>
      <c r="B341" s="10">
        <v>39</v>
      </c>
      <c r="C341" s="10">
        <v>17</v>
      </c>
      <c r="D341" s="11" t="s">
        <v>1693</v>
      </c>
      <c r="E341" s="12" t="s">
        <v>1697</v>
      </c>
      <c r="F341" s="11" t="s">
        <v>1701</v>
      </c>
      <c r="G341" s="10"/>
      <c r="H341" s="13" t="s">
        <v>1702</v>
      </c>
      <c r="I341" s="14" t="s">
        <v>1703</v>
      </c>
      <c r="J341" s="15" t="s">
        <v>1704</v>
      </c>
      <c r="K341" s="16" t="s">
        <v>82</v>
      </c>
      <c r="L341" s="17"/>
      <c r="M341" s="17"/>
      <c r="N341" s="17"/>
      <c r="O341" s="17"/>
      <c r="P341" s="18"/>
      <c r="Q341" s="16" t="s">
        <v>83</v>
      </c>
      <c r="R341" s="18"/>
    </row>
    <row r="342" spans="1:18" ht="16.5" customHeight="1">
      <c r="A342" s="10">
        <v>341</v>
      </c>
      <c r="B342" s="10">
        <v>39</v>
      </c>
      <c r="C342" s="10">
        <v>21</v>
      </c>
      <c r="D342" s="11" t="s">
        <v>1705</v>
      </c>
      <c r="E342" s="12" t="s">
        <v>1706</v>
      </c>
      <c r="F342" s="11" t="s">
        <v>1707</v>
      </c>
      <c r="G342" s="10"/>
      <c r="H342" s="13" t="s">
        <v>1708</v>
      </c>
      <c r="I342" s="14" t="s">
        <v>1709</v>
      </c>
      <c r="J342" s="15" t="s">
        <v>1710</v>
      </c>
      <c r="K342" s="16" t="s">
        <v>82</v>
      </c>
      <c r="L342" s="17"/>
      <c r="M342" s="17"/>
      <c r="N342" s="17"/>
      <c r="O342" s="17"/>
      <c r="P342" s="18"/>
      <c r="Q342" s="16" t="s">
        <v>83</v>
      </c>
      <c r="R342" s="18"/>
    </row>
    <row r="343" spans="1:18" ht="26.25" customHeight="1">
      <c r="A343" s="10">
        <v>342</v>
      </c>
      <c r="B343" s="10">
        <v>39</v>
      </c>
      <c r="C343" s="10">
        <v>22</v>
      </c>
      <c r="D343" s="11" t="s">
        <v>1706</v>
      </c>
      <c r="E343" s="19" t="s">
        <v>1707</v>
      </c>
      <c r="F343" s="11"/>
      <c r="G343" s="10" t="s">
        <v>160</v>
      </c>
      <c r="H343" s="13" t="s">
        <v>1711</v>
      </c>
      <c r="I343" s="14" t="s">
        <v>1712</v>
      </c>
      <c r="J343" s="15" t="s">
        <v>1713</v>
      </c>
      <c r="K343" s="16" t="s">
        <v>82</v>
      </c>
      <c r="L343" s="17"/>
      <c r="M343" s="17"/>
      <c r="N343" s="17"/>
      <c r="O343" s="17"/>
      <c r="P343" s="18"/>
      <c r="Q343" s="16" t="s">
        <v>83</v>
      </c>
      <c r="R343" s="18"/>
    </row>
    <row r="344" spans="1:18" ht="16.5" customHeight="1">
      <c r="A344" s="10">
        <v>343</v>
      </c>
      <c r="B344" s="10">
        <v>40</v>
      </c>
      <c r="C344" s="10">
        <v>1</v>
      </c>
      <c r="D344" s="11"/>
      <c r="E344" s="12" t="s">
        <v>1714</v>
      </c>
      <c r="F344" s="11" t="s">
        <v>1715</v>
      </c>
      <c r="G344" s="10"/>
      <c r="H344" s="13" t="s">
        <v>1716</v>
      </c>
      <c r="I344" s="14" t="s">
        <v>1717</v>
      </c>
      <c r="J344" s="15" t="s">
        <v>1718</v>
      </c>
      <c r="K344" s="16" t="s">
        <v>82</v>
      </c>
      <c r="L344" s="17"/>
      <c r="M344" s="17"/>
      <c r="N344" s="17"/>
      <c r="O344" s="17"/>
      <c r="P344" s="18"/>
      <c r="Q344" s="16" t="s">
        <v>83</v>
      </c>
      <c r="R344" s="18"/>
    </row>
    <row r="345" spans="1:18" ht="16.5" customHeight="1">
      <c r="A345" s="10">
        <v>344</v>
      </c>
      <c r="B345" s="10">
        <v>40</v>
      </c>
      <c r="C345" s="10">
        <v>2</v>
      </c>
      <c r="D345" s="11" t="s">
        <v>1714</v>
      </c>
      <c r="E345" s="12" t="s">
        <v>1715</v>
      </c>
      <c r="F345" s="11" t="s">
        <v>1719</v>
      </c>
      <c r="G345" s="10"/>
      <c r="H345" s="13" t="s">
        <v>1720</v>
      </c>
      <c r="I345" s="14" t="s">
        <v>1721</v>
      </c>
      <c r="J345" s="15" t="s">
        <v>1722</v>
      </c>
      <c r="K345" s="16" t="s">
        <v>82</v>
      </c>
      <c r="L345" s="17"/>
      <c r="M345" s="17"/>
      <c r="N345" s="17"/>
      <c r="O345" s="17"/>
      <c r="P345" s="18"/>
      <c r="Q345" s="16" t="s">
        <v>83</v>
      </c>
      <c r="R345" s="18"/>
    </row>
    <row r="346" spans="1:18" ht="16.5" customHeight="1">
      <c r="A346" s="10">
        <v>345</v>
      </c>
      <c r="B346" s="10">
        <v>40</v>
      </c>
      <c r="C346" s="10">
        <v>3</v>
      </c>
      <c r="D346" s="11" t="s">
        <v>1715</v>
      </c>
      <c r="E346" s="19" t="s">
        <v>1719</v>
      </c>
      <c r="F346" s="11" t="s">
        <v>1723</v>
      </c>
      <c r="G346" s="10" t="s">
        <v>569</v>
      </c>
      <c r="H346" s="13" t="s">
        <v>1724</v>
      </c>
      <c r="I346" s="14" t="s">
        <v>1725</v>
      </c>
      <c r="J346" s="15" t="s">
        <v>1726</v>
      </c>
      <c r="K346" s="16" t="s">
        <v>82</v>
      </c>
      <c r="L346" s="17"/>
      <c r="M346" s="17"/>
      <c r="N346" s="17"/>
      <c r="O346" s="17"/>
      <c r="P346" s="18"/>
      <c r="Q346" s="16" t="s">
        <v>83</v>
      </c>
      <c r="R346" s="18"/>
    </row>
    <row r="347" spans="1:18" ht="16.5" customHeight="1">
      <c r="A347" s="10">
        <v>346</v>
      </c>
      <c r="B347" s="10">
        <v>40</v>
      </c>
      <c r="C347" s="10">
        <v>4</v>
      </c>
      <c r="D347" s="11" t="s">
        <v>1719</v>
      </c>
      <c r="E347" s="12" t="s">
        <v>1723</v>
      </c>
      <c r="F347" s="11" t="s">
        <v>1727</v>
      </c>
      <c r="G347" s="10"/>
      <c r="H347" s="13" t="s">
        <v>1728</v>
      </c>
      <c r="I347" s="14" t="s">
        <v>1729</v>
      </c>
      <c r="J347" s="15" t="s">
        <v>1729</v>
      </c>
      <c r="K347" s="16" t="s">
        <v>82</v>
      </c>
      <c r="L347" s="17"/>
      <c r="M347" s="17"/>
      <c r="N347" s="17"/>
      <c r="O347" s="17"/>
      <c r="P347" s="18"/>
      <c r="Q347" s="16" t="s">
        <v>83</v>
      </c>
      <c r="R347" s="18"/>
    </row>
    <row r="348" spans="1:18" ht="16.5" customHeight="1">
      <c r="A348" s="10">
        <v>347</v>
      </c>
      <c r="B348" s="10">
        <v>40</v>
      </c>
      <c r="C348" s="10">
        <v>8</v>
      </c>
      <c r="D348" s="11" t="s">
        <v>1730</v>
      </c>
      <c r="E348" s="12" t="s">
        <v>1731</v>
      </c>
      <c r="F348" s="11" t="s">
        <v>1732</v>
      </c>
      <c r="G348" s="10"/>
      <c r="H348" s="13" t="s">
        <v>1733</v>
      </c>
      <c r="I348" s="14" t="s">
        <v>1734</v>
      </c>
      <c r="J348" s="15" t="s">
        <v>1735</v>
      </c>
      <c r="K348" s="16" t="s">
        <v>82</v>
      </c>
      <c r="L348" s="17"/>
      <c r="M348" s="17"/>
      <c r="N348" s="17"/>
      <c r="O348" s="17"/>
      <c r="P348" s="18"/>
      <c r="Q348" s="16" t="s">
        <v>83</v>
      </c>
      <c r="R348" s="18"/>
    </row>
    <row r="349" spans="1:18" ht="16.5" customHeight="1">
      <c r="A349" s="10">
        <v>348</v>
      </c>
      <c r="B349" s="10">
        <v>40</v>
      </c>
      <c r="C349" s="10">
        <v>9</v>
      </c>
      <c r="D349" s="11" t="s">
        <v>1731</v>
      </c>
      <c r="E349" s="19" t="s">
        <v>1732</v>
      </c>
      <c r="F349" s="11" t="s">
        <v>1736</v>
      </c>
      <c r="G349" s="10" t="s">
        <v>575</v>
      </c>
      <c r="H349" s="13" t="s">
        <v>1737</v>
      </c>
      <c r="I349" s="14" t="s">
        <v>1738</v>
      </c>
      <c r="J349" s="15" t="s">
        <v>1739</v>
      </c>
      <c r="K349" s="16" t="s">
        <v>89</v>
      </c>
      <c r="L349" s="17" t="s">
        <v>368</v>
      </c>
      <c r="M349" s="17" t="s">
        <v>91</v>
      </c>
      <c r="N349" s="17" t="s">
        <v>1740</v>
      </c>
      <c r="O349" s="17" t="s">
        <v>1234</v>
      </c>
      <c r="P349" s="18" t="s">
        <v>1741</v>
      </c>
      <c r="Q349" s="16" t="s">
        <v>113</v>
      </c>
      <c r="R349" s="18"/>
    </row>
    <row r="350" spans="1:18" ht="26.25" customHeight="1">
      <c r="A350" s="10">
        <v>349</v>
      </c>
      <c r="B350" s="10">
        <v>40</v>
      </c>
      <c r="C350" s="10">
        <v>10</v>
      </c>
      <c r="D350" s="11" t="s">
        <v>1732</v>
      </c>
      <c r="E350" s="19" t="s">
        <v>1736</v>
      </c>
      <c r="F350" s="11" t="s">
        <v>1742</v>
      </c>
      <c r="G350" s="10" t="s">
        <v>575</v>
      </c>
      <c r="H350" s="13" t="s">
        <v>1743</v>
      </c>
      <c r="I350" s="14" t="s">
        <v>1744</v>
      </c>
      <c r="J350" s="15" t="s">
        <v>1745</v>
      </c>
      <c r="K350" s="16" t="s">
        <v>82</v>
      </c>
      <c r="L350" s="17"/>
      <c r="M350" s="17"/>
      <c r="N350" s="17"/>
      <c r="O350" s="17"/>
      <c r="P350" s="18"/>
      <c r="Q350" s="16" t="s">
        <v>83</v>
      </c>
      <c r="R350" s="18"/>
    </row>
    <row r="351" spans="1:18" ht="16.5" customHeight="1">
      <c r="A351" s="10">
        <v>350</v>
      </c>
      <c r="B351" s="10">
        <v>40</v>
      </c>
      <c r="C351" s="10">
        <v>11</v>
      </c>
      <c r="D351" s="11" t="s">
        <v>1736</v>
      </c>
      <c r="E351" s="12" t="s">
        <v>1742</v>
      </c>
      <c r="F351" s="11" t="s">
        <v>1746</v>
      </c>
      <c r="G351" s="10"/>
      <c r="H351" s="13" t="s">
        <v>1747</v>
      </c>
      <c r="I351" s="14" t="s">
        <v>1748</v>
      </c>
      <c r="J351" s="15" t="s">
        <v>1749</v>
      </c>
      <c r="K351" s="16" t="s">
        <v>82</v>
      </c>
      <c r="L351" s="17"/>
      <c r="M351" s="17"/>
      <c r="N351" s="17"/>
      <c r="O351" s="17"/>
      <c r="P351" s="18"/>
      <c r="Q351" s="16" t="s">
        <v>83</v>
      </c>
      <c r="R351" s="18"/>
    </row>
    <row r="352" spans="1:18" ht="16.5" customHeight="1">
      <c r="A352" s="10">
        <v>351</v>
      </c>
      <c r="B352" s="10">
        <v>40</v>
      </c>
      <c r="C352" s="10">
        <v>12</v>
      </c>
      <c r="D352" s="11" t="s">
        <v>1742</v>
      </c>
      <c r="E352" s="12" t="s">
        <v>1746</v>
      </c>
      <c r="F352" s="11" t="s">
        <v>1750</v>
      </c>
      <c r="G352" s="10"/>
      <c r="H352" s="13" t="s">
        <v>1751</v>
      </c>
      <c r="I352" s="14" t="s">
        <v>1752</v>
      </c>
      <c r="J352" s="15" t="s">
        <v>1753</v>
      </c>
      <c r="K352" s="16" t="s">
        <v>82</v>
      </c>
      <c r="L352" s="17"/>
      <c r="M352" s="17"/>
      <c r="N352" s="17"/>
      <c r="O352" s="17"/>
      <c r="P352" s="18"/>
      <c r="Q352" s="16" t="s">
        <v>83</v>
      </c>
      <c r="R352" s="18"/>
    </row>
    <row r="353" spans="1:18" ht="16.5" customHeight="1">
      <c r="A353" s="10">
        <v>352</v>
      </c>
      <c r="B353" s="10">
        <v>40</v>
      </c>
      <c r="C353" s="10">
        <v>13</v>
      </c>
      <c r="D353" s="11" t="s">
        <v>1746</v>
      </c>
      <c r="E353" s="19" t="s">
        <v>1750</v>
      </c>
      <c r="F353" s="11" t="s">
        <v>1754</v>
      </c>
      <c r="G353" s="10" t="s">
        <v>266</v>
      </c>
      <c r="H353" s="13" t="s">
        <v>1755</v>
      </c>
      <c r="I353" s="14" t="s">
        <v>1756</v>
      </c>
      <c r="J353" s="15" t="s">
        <v>1757</v>
      </c>
      <c r="K353" s="16" t="s">
        <v>82</v>
      </c>
      <c r="L353" s="17"/>
      <c r="M353" s="17"/>
      <c r="N353" s="17"/>
      <c r="O353" s="17"/>
      <c r="P353" s="18"/>
      <c r="Q353" s="16" t="s">
        <v>83</v>
      </c>
      <c r="R353" s="18"/>
    </row>
    <row r="354" spans="1:18" ht="16.5" customHeight="1">
      <c r="A354" s="10">
        <v>353</v>
      </c>
      <c r="B354" s="10">
        <v>40</v>
      </c>
      <c r="C354" s="10">
        <v>14</v>
      </c>
      <c r="D354" s="11" t="s">
        <v>1750</v>
      </c>
      <c r="E354" s="12" t="s">
        <v>1754</v>
      </c>
      <c r="F354" s="11" t="s">
        <v>1758</v>
      </c>
      <c r="G354" s="10"/>
      <c r="H354" s="13"/>
      <c r="I354" s="14" t="s">
        <v>1759</v>
      </c>
      <c r="J354" s="15" t="s">
        <v>1760</v>
      </c>
      <c r="K354" s="16" t="s">
        <v>82</v>
      </c>
      <c r="L354" s="17"/>
      <c r="M354" s="17"/>
      <c r="N354" s="17"/>
      <c r="O354" s="17"/>
      <c r="P354" s="18"/>
      <c r="Q354" s="16" t="s">
        <v>83</v>
      </c>
      <c r="R354" s="18"/>
    </row>
    <row r="355" spans="1:18" ht="16.5" customHeight="1">
      <c r="A355" s="10">
        <v>354</v>
      </c>
      <c r="B355" s="10">
        <v>40</v>
      </c>
      <c r="C355" s="10">
        <v>15</v>
      </c>
      <c r="D355" s="11" t="s">
        <v>1754</v>
      </c>
      <c r="E355" s="19" t="s">
        <v>1758</v>
      </c>
      <c r="F355" s="11" t="s">
        <v>1761</v>
      </c>
      <c r="G355" s="10" t="s">
        <v>1762</v>
      </c>
      <c r="H355" s="13" t="s">
        <v>1763</v>
      </c>
      <c r="I355" s="14" t="s">
        <v>1764</v>
      </c>
      <c r="J355" s="15" t="s">
        <v>1765</v>
      </c>
      <c r="K355" s="16" t="s">
        <v>89</v>
      </c>
      <c r="L355" s="17" t="s">
        <v>368</v>
      </c>
      <c r="M355" s="17" t="s">
        <v>91</v>
      </c>
      <c r="N355" s="17" t="s">
        <v>397</v>
      </c>
      <c r="O355" s="17" t="s">
        <v>1234</v>
      </c>
      <c r="P355" s="18" t="s">
        <v>508</v>
      </c>
      <c r="Q355" s="16" t="s">
        <v>83</v>
      </c>
      <c r="R355" s="18"/>
    </row>
    <row r="356" spans="1:18" ht="16.5" customHeight="1">
      <c r="A356" s="10">
        <v>355</v>
      </c>
      <c r="B356" s="10">
        <v>40</v>
      </c>
      <c r="C356" s="10">
        <v>16</v>
      </c>
      <c r="D356" s="11" t="s">
        <v>1758</v>
      </c>
      <c r="E356" s="12" t="s">
        <v>1761</v>
      </c>
      <c r="F356" s="11" t="s">
        <v>1766</v>
      </c>
      <c r="G356" s="10"/>
      <c r="H356" s="13" t="s">
        <v>1767</v>
      </c>
      <c r="I356" s="14" t="s">
        <v>1768</v>
      </c>
      <c r="J356" s="15" t="s">
        <v>1769</v>
      </c>
      <c r="K356" s="16" t="s">
        <v>82</v>
      </c>
      <c r="L356" s="17"/>
      <c r="M356" s="17"/>
      <c r="N356" s="17"/>
      <c r="O356" s="17"/>
      <c r="P356" s="18"/>
      <c r="Q356" s="16" t="s">
        <v>83</v>
      </c>
      <c r="R356" s="18"/>
    </row>
    <row r="357" spans="1:18" ht="16.5" customHeight="1">
      <c r="A357" s="10">
        <v>356</v>
      </c>
      <c r="B357" s="10">
        <v>40</v>
      </c>
      <c r="C357" s="10">
        <v>18</v>
      </c>
      <c r="D357" s="11" t="s">
        <v>1766</v>
      </c>
      <c r="E357" s="12" t="s">
        <v>1770</v>
      </c>
      <c r="F357" s="11" t="s">
        <v>1771</v>
      </c>
      <c r="G357" s="10"/>
      <c r="H357" s="13" t="s">
        <v>1772</v>
      </c>
      <c r="I357" s="14" t="s">
        <v>1773</v>
      </c>
      <c r="J357" s="15" t="s">
        <v>1773</v>
      </c>
      <c r="K357" s="16" t="s">
        <v>82</v>
      </c>
      <c r="L357" s="17"/>
      <c r="M357" s="17"/>
      <c r="N357" s="17"/>
      <c r="O357" s="17"/>
      <c r="P357" s="18"/>
      <c r="Q357" s="16" t="s">
        <v>83</v>
      </c>
      <c r="R357" s="18"/>
    </row>
    <row r="358" spans="1:18" ht="26.25" customHeight="1">
      <c r="A358" s="10">
        <v>357</v>
      </c>
      <c r="B358" s="10">
        <v>40</v>
      </c>
      <c r="C358" s="10">
        <v>19</v>
      </c>
      <c r="D358" s="11" t="s">
        <v>1770</v>
      </c>
      <c r="E358" s="19" t="s">
        <v>1771</v>
      </c>
      <c r="F358" s="11" t="s">
        <v>1774</v>
      </c>
      <c r="G358" s="10" t="s">
        <v>1775</v>
      </c>
      <c r="H358" s="13" t="s">
        <v>1776</v>
      </c>
      <c r="I358" s="14" t="s">
        <v>1777</v>
      </c>
      <c r="J358" s="15" t="s">
        <v>1778</v>
      </c>
      <c r="K358" s="16" t="s">
        <v>82</v>
      </c>
      <c r="L358" s="17"/>
      <c r="M358" s="17"/>
      <c r="N358" s="17"/>
      <c r="O358" s="17"/>
      <c r="P358" s="18"/>
      <c r="Q358" s="16" t="s">
        <v>83</v>
      </c>
      <c r="R358" s="18"/>
    </row>
    <row r="359" spans="1:18" ht="16.5" customHeight="1">
      <c r="A359" s="10">
        <v>358</v>
      </c>
      <c r="B359" s="10">
        <v>40</v>
      </c>
      <c r="C359" s="10">
        <v>20</v>
      </c>
      <c r="D359" s="11" t="s">
        <v>1771</v>
      </c>
      <c r="E359" s="19" t="s">
        <v>1774</v>
      </c>
      <c r="F359" s="11"/>
      <c r="G359" s="10" t="s">
        <v>160</v>
      </c>
      <c r="H359" s="13" t="s">
        <v>1779</v>
      </c>
      <c r="I359" s="14" t="s">
        <v>1780</v>
      </c>
      <c r="J359" s="15" t="s">
        <v>1781</v>
      </c>
      <c r="K359" s="16" t="s">
        <v>89</v>
      </c>
      <c r="L359" s="17" t="s">
        <v>90</v>
      </c>
      <c r="M359" s="17" t="s">
        <v>91</v>
      </c>
      <c r="N359" s="17" t="s">
        <v>620</v>
      </c>
      <c r="O359" s="17" t="s">
        <v>621</v>
      </c>
      <c r="P359" s="18" t="s">
        <v>622</v>
      </c>
      <c r="Q359" s="16" t="s">
        <v>83</v>
      </c>
      <c r="R359" s="18"/>
    </row>
    <row r="360" spans="1:18" ht="16.5" customHeight="1">
      <c r="A360" s="10">
        <v>359</v>
      </c>
      <c r="B360" s="10">
        <v>41</v>
      </c>
      <c r="C360" s="10">
        <v>1</v>
      </c>
      <c r="D360" s="11"/>
      <c r="E360" s="19" t="s">
        <v>1782</v>
      </c>
      <c r="F360" s="11" t="s">
        <v>1783</v>
      </c>
      <c r="G360" s="10" t="s">
        <v>705</v>
      </c>
      <c r="H360" s="13" t="s">
        <v>1784</v>
      </c>
      <c r="I360" s="14" t="s">
        <v>1785</v>
      </c>
      <c r="J360" s="15" t="s">
        <v>1785</v>
      </c>
      <c r="K360" s="16" t="s">
        <v>82</v>
      </c>
      <c r="L360" s="17"/>
      <c r="M360" s="17"/>
      <c r="N360" s="17"/>
      <c r="O360" s="17"/>
      <c r="P360" s="18"/>
      <c r="Q360" s="16" t="s">
        <v>83</v>
      </c>
      <c r="R360" s="18"/>
    </row>
    <row r="361" spans="1:18" ht="16.5" customHeight="1">
      <c r="A361" s="10">
        <v>360</v>
      </c>
      <c r="B361" s="10">
        <v>41</v>
      </c>
      <c r="C361" s="10">
        <v>2</v>
      </c>
      <c r="D361" s="11" t="s">
        <v>1782</v>
      </c>
      <c r="E361" s="12" t="s">
        <v>1783</v>
      </c>
      <c r="F361" s="11" t="s">
        <v>1786</v>
      </c>
      <c r="G361" s="10"/>
      <c r="H361" s="13" t="s">
        <v>1787</v>
      </c>
      <c r="I361" s="14" t="s">
        <v>1788</v>
      </c>
      <c r="J361" s="15" t="s">
        <v>1789</v>
      </c>
      <c r="K361" s="16" t="s">
        <v>82</v>
      </c>
      <c r="L361" s="17"/>
      <c r="M361" s="17"/>
      <c r="N361" s="17"/>
      <c r="O361" s="17"/>
      <c r="P361" s="18"/>
      <c r="Q361" s="16" t="s">
        <v>83</v>
      </c>
      <c r="R361" s="18"/>
    </row>
    <row r="362" spans="1:18" ht="26.25" customHeight="1">
      <c r="A362" s="10">
        <v>361</v>
      </c>
      <c r="B362" s="10">
        <v>42</v>
      </c>
      <c r="C362" s="10">
        <v>1</v>
      </c>
      <c r="D362" s="11"/>
      <c r="E362" s="12" t="s">
        <v>1790</v>
      </c>
      <c r="F362" s="11" t="s">
        <v>1791</v>
      </c>
      <c r="G362" s="10"/>
      <c r="H362" s="13" t="s">
        <v>1792</v>
      </c>
      <c r="I362" s="14" t="s">
        <v>1793</v>
      </c>
      <c r="J362" s="15" t="s">
        <v>1794</v>
      </c>
      <c r="K362" s="16" t="s">
        <v>82</v>
      </c>
      <c r="L362" s="17"/>
      <c r="M362" s="17"/>
      <c r="N362" s="17"/>
      <c r="O362" s="17"/>
      <c r="P362" s="18"/>
      <c r="Q362" s="16" t="s">
        <v>83</v>
      </c>
      <c r="R362" s="18"/>
    </row>
    <row r="363" spans="1:18" ht="26.25" customHeight="1">
      <c r="A363" s="10">
        <v>362</v>
      </c>
      <c r="B363" s="10">
        <v>42</v>
      </c>
      <c r="C363" s="10">
        <v>2</v>
      </c>
      <c r="D363" s="11" t="s">
        <v>1790</v>
      </c>
      <c r="E363" s="19" t="s">
        <v>1791</v>
      </c>
      <c r="F363" s="11" t="s">
        <v>1795</v>
      </c>
      <c r="G363" s="10" t="s">
        <v>160</v>
      </c>
      <c r="H363" s="13" t="s">
        <v>1796</v>
      </c>
      <c r="I363" s="14" t="s">
        <v>1797</v>
      </c>
      <c r="J363" s="15" t="s">
        <v>1798</v>
      </c>
      <c r="K363" s="16" t="s">
        <v>82</v>
      </c>
      <c r="L363" s="17"/>
      <c r="M363" s="17"/>
      <c r="N363" s="17"/>
      <c r="O363" s="17"/>
      <c r="P363" s="18"/>
      <c r="Q363" s="16" t="s">
        <v>83</v>
      </c>
      <c r="R363" s="18"/>
    </row>
    <row r="364" spans="1:18" ht="26.25" customHeight="1">
      <c r="A364" s="10">
        <v>363</v>
      </c>
      <c r="B364" s="10">
        <v>42</v>
      </c>
      <c r="C364" s="10">
        <v>3</v>
      </c>
      <c r="D364" s="11" t="s">
        <v>1791</v>
      </c>
      <c r="E364" s="12" t="s">
        <v>1795</v>
      </c>
      <c r="F364" s="11" t="s">
        <v>1799</v>
      </c>
      <c r="G364" s="10"/>
      <c r="H364" s="13" t="s">
        <v>1800</v>
      </c>
      <c r="I364" s="14" t="s">
        <v>1801</v>
      </c>
      <c r="J364" s="15" t="s">
        <v>1802</v>
      </c>
      <c r="K364" s="16" t="s">
        <v>82</v>
      </c>
      <c r="L364" s="17"/>
      <c r="M364" s="17"/>
      <c r="N364" s="17"/>
      <c r="O364" s="17"/>
      <c r="P364" s="18"/>
      <c r="Q364" s="16" t="s">
        <v>83</v>
      </c>
      <c r="R364" s="18"/>
    </row>
    <row r="365" spans="1:18" ht="16.5" customHeight="1">
      <c r="A365" s="10">
        <v>364</v>
      </c>
      <c r="B365" s="10">
        <v>42</v>
      </c>
      <c r="C365" s="10">
        <v>4</v>
      </c>
      <c r="D365" s="11" t="s">
        <v>1795</v>
      </c>
      <c r="E365" s="12" t="s">
        <v>1799</v>
      </c>
      <c r="F365" s="11" t="s">
        <v>1803</v>
      </c>
      <c r="G365" s="10"/>
      <c r="H365" s="13" t="s">
        <v>1804</v>
      </c>
      <c r="I365" s="14" t="s">
        <v>1805</v>
      </c>
      <c r="J365" s="15" t="s">
        <v>1806</v>
      </c>
      <c r="K365" s="16" t="s">
        <v>82</v>
      </c>
      <c r="L365" s="17"/>
      <c r="M365" s="17"/>
      <c r="N365" s="17"/>
      <c r="O365" s="17"/>
      <c r="P365" s="18"/>
      <c r="Q365" s="16" t="s">
        <v>83</v>
      </c>
      <c r="R365" s="18"/>
    </row>
    <row r="366" spans="1:18" ht="16.5" customHeight="1">
      <c r="A366" s="10">
        <v>365</v>
      </c>
      <c r="B366" s="10">
        <v>42</v>
      </c>
      <c r="C366" s="10">
        <v>5</v>
      </c>
      <c r="D366" s="11" t="s">
        <v>1799</v>
      </c>
      <c r="E366" s="19" t="s">
        <v>1803</v>
      </c>
      <c r="F366" s="11" t="s">
        <v>1807</v>
      </c>
      <c r="G366" s="10" t="s">
        <v>1808</v>
      </c>
      <c r="H366" s="13" t="s">
        <v>1809</v>
      </c>
      <c r="I366" s="14" t="s">
        <v>1810</v>
      </c>
      <c r="J366" s="15" t="s">
        <v>1811</v>
      </c>
      <c r="K366" s="16" t="s">
        <v>82</v>
      </c>
      <c r="L366" s="17"/>
      <c r="M366" s="17"/>
      <c r="N366" s="17"/>
      <c r="O366" s="17"/>
      <c r="P366" s="18"/>
      <c r="Q366" s="16" t="s">
        <v>83</v>
      </c>
      <c r="R366" s="18"/>
    </row>
    <row r="367" spans="1:18" ht="16.5" customHeight="1">
      <c r="A367" s="10">
        <v>366</v>
      </c>
      <c r="B367" s="10">
        <v>42</v>
      </c>
      <c r="C367" s="10">
        <v>6</v>
      </c>
      <c r="D367" s="11" t="s">
        <v>1803</v>
      </c>
      <c r="E367" s="12" t="s">
        <v>1807</v>
      </c>
      <c r="F367" s="11" t="s">
        <v>133</v>
      </c>
      <c r="G367" s="10"/>
      <c r="H367" s="13" t="s">
        <v>1812</v>
      </c>
      <c r="I367" s="14" t="s">
        <v>1813</v>
      </c>
      <c r="J367" s="15" t="s">
        <v>1814</v>
      </c>
      <c r="K367" s="16" t="s">
        <v>89</v>
      </c>
      <c r="L367" s="17" t="s">
        <v>155</v>
      </c>
      <c r="M367" s="17" t="s">
        <v>91</v>
      </c>
      <c r="N367" s="17" t="s">
        <v>361</v>
      </c>
      <c r="O367" s="17" t="s">
        <v>362</v>
      </c>
      <c r="P367" s="18" t="s">
        <v>363</v>
      </c>
      <c r="Q367" s="16" t="s">
        <v>113</v>
      </c>
      <c r="R367" s="18"/>
    </row>
    <row r="368" spans="1:18" ht="16.5" customHeight="1">
      <c r="A368" s="10">
        <v>367</v>
      </c>
      <c r="B368" s="10">
        <v>42</v>
      </c>
      <c r="C368" s="10">
        <v>7</v>
      </c>
      <c r="D368" s="11" t="s">
        <v>1807</v>
      </c>
      <c r="E368" s="19" t="s">
        <v>133</v>
      </c>
      <c r="F368" s="11" t="s">
        <v>1815</v>
      </c>
      <c r="G368" s="10" t="s">
        <v>133</v>
      </c>
      <c r="H368" s="13" t="s">
        <v>138</v>
      </c>
      <c r="I368" s="14" t="s">
        <v>1816</v>
      </c>
      <c r="J368" s="15" t="s">
        <v>1817</v>
      </c>
      <c r="K368" s="16" t="s">
        <v>82</v>
      </c>
      <c r="L368" s="17"/>
      <c r="M368" s="17"/>
      <c r="N368" s="17"/>
      <c r="O368" s="17"/>
      <c r="P368" s="18"/>
      <c r="Q368" s="16" t="s">
        <v>83</v>
      </c>
      <c r="R368" s="18"/>
    </row>
    <row r="369" spans="1:18" ht="16.5" customHeight="1">
      <c r="A369" s="10">
        <v>368</v>
      </c>
      <c r="B369" s="10">
        <v>42</v>
      </c>
      <c r="C369" s="10">
        <v>8</v>
      </c>
      <c r="D369" s="11" t="s">
        <v>133</v>
      </c>
      <c r="E369" s="12" t="s">
        <v>1815</v>
      </c>
      <c r="F369" s="11" t="s">
        <v>1818</v>
      </c>
      <c r="G369" s="10"/>
      <c r="H369" s="13" t="s">
        <v>1819</v>
      </c>
      <c r="I369" s="14" t="s">
        <v>1820</v>
      </c>
      <c r="J369" s="15" t="s">
        <v>1821</v>
      </c>
      <c r="K369" s="16" t="s">
        <v>89</v>
      </c>
      <c r="L369" s="17" t="s">
        <v>155</v>
      </c>
      <c r="M369" s="17" t="s">
        <v>91</v>
      </c>
      <c r="N369" s="17" t="s">
        <v>1822</v>
      </c>
      <c r="O369" s="17" t="s">
        <v>1308</v>
      </c>
      <c r="P369" s="18" t="s">
        <v>1309</v>
      </c>
      <c r="Q369" s="16" t="s">
        <v>113</v>
      </c>
      <c r="R369" s="18"/>
    </row>
    <row r="370" spans="1:18" ht="16.5" customHeight="1">
      <c r="A370" s="10">
        <v>369</v>
      </c>
      <c r="B370" s="10">
        <v>42</v>
      </c>
      <c r="C370" s="10">
        <v>13</v>
      </c>
      <c r="D370" s="11" t="s">
        <v>1823</v>
      </c>
      <c r="E370" s="12" t="s">
        <v>1824</v>
      </c>
      <c r="F370" s="11" t="s">
        <v>1825</v>
      </c>
      <c r="G370" s="10"/>
      <c r="H370" s="13" t="s">
        <v>1826</v>
      </c>
      <c r="I370" s="14" t="s">
        <v>1827</v>
      </c>
      <c r="J370" s="15" t="s">
        <v>1828</v>
      </c>
      <c r="K370" s="16" t="s">
        <v>82</v>
      </c>
      <c r="L370" s="17"/>
      <c r="M370" s="17"/>
      <c r="N370" s="17"/>
      <c r="O370" s="17"/>
      <c r="P370" s="18"/>
      <c r="Q370" s="16" t="s">
        <v>83</v>
      </c>
      <c r="R370" s="18"/>
    </row>
    <row r="371" spans="1:18" ht="16.5" customHeight="1">
      <c r="A371" s="10">
        <v>370</v>
      </c>
      <c r="B371" s="10">
        <v>42</v>
      </c>
      <c r="C371" s="10">
        <v>14</v>
      </c>
      <c r="D371" s="11" t="s">
        <v>1824</v>
      </c>
      <c r="E371" s="19" t="s">
        <v>1825</v>
      </c>
      <c r="F371" s="11" t="s">
        <v>1829</v>
      </c>
      <c r="G371" s="10" t="s">
        <v>1067</v>
      </c>
      <c r="H371" s="13" t="s">
        <v>1830</v>
      </c>
      <c r="I371" s="14" t="s">
        <v>1831</v>
      </c>
      <c r="J371" s="15" t="s">
        <v>1831</v>
      </c>
      <c r="K371" s="16" t="s">
        <v>82</v>
      </c>
      <c r="L371" s="17"/>
      <c r="M371" s="17"/>
      <c r="N371" s="17"/>
      <c r="O371" s="17"/>
      <c r="P371" s="18"/>
      <c r="Q371" s="16" t="s">
        <v>83</v>
      </c>
      <c r="R371" s="18"/>
    </row>
    <row r="372" spans="1:18" ht="16.5" customHeight="1">
      <c r="A372" s="10">
        <v>371</v>
      </c>
      <c r="B372" s="10">
        <v>42</v>
      </c>
      <c r="C372" s="10">
        <v>15</v>
      </c>
      <c r="D372" s="11" t="s">
        <v>1825</v>
      </c>
      <c r="E372" s="19" t="s">
        <v>1829</v>
      </c>
      <c r="F372" s="11" t="s">
        <v>1832</v>
      </c>
      <c r="G372" s="10" t="s">
        <v>85</v>
      </c>
      <c r="H372" s="13" t="s">
        <v>1833</v>
      </c>
      <c r="I372" s="14" t="s">
        <v>1834</v>
      </c>
      <c r="J372" s="15" t="s">
        <v>1835</v>
      </c>
      <c r="K372" s="16" t="s">
        <v>89</v>
      </c>
      <c r="L372" s="17" t="s">
        <v>128</v>
      </c>
      <c r="M372" s="17" t="s">
        <v>91</v>
      </c>
      <c r="N372" s="17" t="s">
        <v>1836</v>
      </c>
      <c r="O372" s="17" t="s">
        <v>1837</v>
      </c>
      <c r="P372" s="18" t="s">
        <v>1838</v>
      </c>
      <c r="Q372" s="16" t="s">
        <v>83</v>
      </c>
      <c r="R372" s="18"/>
    </row>
    <row r="373" spans="1:18" ht="16.5" customHeight="1">
      <c r="A373" s="10">
        <v>372</v>
      </c>
      <c r="B373" s="10">
        <v>42</v>
      </c>
      <c r="C373" s="10">
        <v>16</v>
      </c>
      <c r="D373" s="11" t="s">
        <v>1829</v>
      </c>
      <c r="E373" s="19" t="s">
        <v>1832</v>
      </c>
      <c r="F373" s="11" t="s">
        <v>1839</v>
      </c>
      <c r="G373" s="10" t="s">
        <v>160</v>
      </c>
      <c r="H373" s="13" t="s">
        <v>1840</v>
      </c>
      <c r="I373" s="14" t="s">
        <v>1841</v>
      </c>
      <c r="J373" s="15" t="s">
        <v>1841</v>
      </c>
      <c r="K373" s="16" t="s">
        <v>82</v>
      </c>
      <c r="L373" s="17"/>
      <c r="M373" s="17"/>
      <c r="N373" s="17"/>
      <c r="O373" s="17"/>
      <c r="P373" s="18"/>
      <c r="Q373" s="16" t="s">
        <v>83</v>
      </c>
      <c r="R373" s="18"/>
    </row>
    <row r="374" spans="1:18" ht="16.5" customHeight="1">
      <c r="A374" s="10">
        <v>373</v>
      </c>
      <c r="B374" s="10">
        <v>42</v>
      </c>
      <c r="C374" s="10">
        <v>17</v>
      </c>
      <c r="D374" s="11" t="s">
        <v>1832</v>
      </c>
      <c r="E374" s="12" t="s">
        <v>1839</v>
      </c>
      <c r="F374" s="11" t="s">
        <v>1842</v>
      </c>
      <c r="G374" s="10"/>
      <c r="H374" s="13" t="s">
        <v>1843</v>
      </c>
      <c r="I374" s="14" t="s">
        <v>1844</v>
      </c>
      <c r="J374" s="15" t="s">
        <v>1845</v>
      </c>
      <c r="K374" s="16" t="s">
        <v>89</v>
      </c>
      <c r="L374" s="17" t="s">
        <v>90</v>
      </c>
      <c r="M374" s="17" t="s">
        <v>447</v>
      </c>
      <c r="N374" s="17" t="s">
        <v>1846</v>
      </c>
      <c r="O374" s="17" t="s">
        <v>1847</v>
      </c>
      <c r="P374" s="18" t="s">
        <v>1848</v>
      </c>
      <c r="Q374" s="16" t="s">
        <v>113</v>
      </c>
      <c r="R374" s="18"/>
    </row>
    <row r="375" spans="1:18" ht="16.5" customHeight="1">
      <c r="A375" s="10">
        <v>374</v>
      </c>
      <c r="B375" s="10">
        <v>43</v>
      </c>
      <c r="C375" s="10">
        <v>2</v>
      </c>
      <c r="D375" s="11" t="s">
        <v>1849</v>
      </c>
      <c r="E375" s="12" t="s">
        <v>1850</v>
      </c>
      <c r="F375" s="11" t="s">
        <v>1851</v>
      </c>
      <c r="G375" s="10"/>
      <c r="H375" s="13" t="s">
        <v>1852</v>
      </c>
      <c r="I375" s="14" t="s">
        <v>1853</v>
      </c>
      <c r="J375" s="15" t="s">
        <v>1854</v>
      </c>
      <c r="K375" s="16" t="s">
        <v>82</v>
      </c>
      <c r="L375" s="17"/>
      <c r="M375" s="17"/>
      <c r="N375" s="17"/>
      <c r="O375" s="17"/>
      <c r="P375" s="18"/>
      <c r="Q375" s="16" t="s">
        <v>83</v>
      </c>
      <c r="R375" s="18"/>
    </row>
    <row r="376" spans="1:18" ht="16.5" customHeight="1">
      <c r="A376" s="10">
        <v>375</v>
      </c>
      <c r="B376" s="10">
        <v>43</v>
      </c>
      <c r="C376" s="10">
        <v>3</v>
      </c>
      <c r="D376" s="11" t="s">
        <v>1850</v>
      </c>
      <c r="E376" s="19" t="s">
        <v>1851</v>
      </c>
      <c r="F376" s="11" t="s">
        <v>1855</v>
      </c>
      <c r="G376" s="10" t="s">
        <v>160</v>
      </c>
      <c r="H376" s="13" t="s">
        <v>1856</v>
      </c>
      <c r="I376" s="14" t="s">
        <v>1857</v>
      </c>
      <c r="J376" s="15" t="s">
        <v>1858</v>
      </c>
      <c r="K376" s="16" t="s">
        <v>89</v>
      </c>
      <c r="L376" s="17" t="s">
        <v>473</v>
      </c>
      <c r="M376" s="17" t="s">
        <v>91</v>
      </c>
      <c r="N376" s="17" t="s">
        <v>1859</v>
      </c>
      <c r="O376" s="17" t="s">
        <v>1860</v>
      </c>
      <c r="P376" s="18" t="s">
        <v>1861</v>
      </c>
      <c r="Q376" s="16" t="s">
        <v>113</v>
      </c>
      <c r="R376" s="18"/>
    </row>
    <row r="377" spans="1:18" ht="16.5" customHeight="1">
      <c r="A377" s="10">
        <v>376</v>
      </c>
      <c r="B377" s="10">
        <v>43</v>
      </c>
      <c r="C377" s="10">
        <v>4</v>
      </c>
      <c r="D377" s="11" t="s">
        <v>1851</v>
      </c>
      <c r="E377" s="12" t="s">
        <v>1855</v>
      </c>
      <c r="F377" s="11" t="s">
        <v>1862</v>
      </c>
      <c r="G377" s="10"/>
      <c r="H377" s="13" t="s">
        <v>1863</v>
      </c>
      <c r="I377" s="14" t="s">
        <v>1864</v>
      </c>
      <c r="J377" s="15" t="s">
        <v>1864</v>
      </c>
      <c r="K377" s="16" t="s">
        <v>82</v>
      </c>
      <c r="L377" s="17"/>
      <c r="M377" s="17"/>
      <c r="N377" s="17"/>
      <c r="O377" s="17"/>
      <c r="P377" s="18"/>
      <c r="Q377" s="16" t="s">
        <v>83</v>
      </c>
      <c r="R377" s="18"/>
    </row>
    <row r="378" spans="1:18" ht="16.5" customHeight="1">
      <c r="A378" s="10">
        <v>377</v>
      </c>
      <c r="B378" s="10">
        <v>43</v>
      </c>
      <c r="C378" s="10">
        <v>11</v>
      </c>
      <c r="D378" s="11" t="s">
        <v>1865</v>
      </c>
      <c r="E378" s="12" t="s">
        <v>1866</v>
      </c>
      <c r="F378" s="11" t="s">
        <v>1867</v>
      </c>
      <c r="G378" s="10"/>
      <c r="H378" s="13" t="s">
        <v>1868</v>
      </c>
      <c r="I378" s="14" t="s">
        <v>1869</v>
      </c>
      <c r="J378" s="15" t="s">
        <v>1870</v>
      </c>
      <c r="K378" s="16" t="s">
        <v>82</v>
      </c>
      <c r="L378" s="17"/>
      <c r="M378" s="17"/>
      <c r="N378" s="17"/>
      <c r="O378" s="17"/>
      <c r="P378" s="18"/>
      <c r="Q378" s="16" t="s">
        <v>83</v>
      </c>
      <c r="R378" s="18"/>
    </row>
    <row r="379" spans="1:18" ht="16.5" customHeight="1">
      <c r="A379" s="10">
        <v>378</v>
      </c>
      <c r="B379" s="10">
        <v>43</v>
      </c>
      <c r="C379" s="10">
        <v>12</v>
      </c>
      <c r="D379" s="11" t="s">
        <v>1866</v>
      </c>
      <c r="E379" s="19" t="s">
        <v>1867</v>
      </c>
      <c r="F379" s="11" t="s">
        <v>1871</v>
      </c>
      <c r="G379" s="10" t="s">
        <v>160</v>
      </c>
      <c r="H379" s="13" t="s">
        <v>1872</v>
      </c>
      <c r="I379" s="14" t="s">
        <v>1873</v>
      </c>
      <c r="J379" s="15" t="s">
        <v>1874</v>
      </c>
      <c r="K379" s="16" t="s">
        <v>82</v>
      </c>
      <c r="L379" s="17"/>
      <c r="M379" s="17"/>
      <c r="N379" s="17"/>
      <c r="O379" s="17"/>
      <c r="P379" s="18"/>
      <c r="Q379" s="16" t="s">
        <v>83</v>
      </c>
      <c r="R379" s="18"/>
    </row>
    <row r="380" spans="1:18" ht="16.5" customHeight="1">
      <c r="A380" s="10">
        <v>379</v>
      </c>
      <c r="B380" s="10">
        <v>43</v>
      </c>
      <c r="C380" s="10">
        <v>13</v>
      </c>
      <c r="D380" s="11" t="s">
        <v>1867</v>
      </c>
      <c r="E380" s="19" t="s">
        <v>1871</v>
      </c>
      <c r="F380" s="11" t="s">
        <v>1875</v>
      </c>
      <c r="G380" s="10" t="s">
        <v>774</v>
      </c>
      <c r="H380" s="13" t="s">
        <v>1876</v>
      </c>
      <c r="I380" s="14" t="s">
        <v>1877</v>
      </c>
      <c r="J380" s="15" t="s">
        <v>1877</v>
      </c>
      <c r="K380" s="16" t="s">
        <v>82</v>
      </c>
      <c r="L380" s="17"/>
      <c r="M380" s="17"/>
      <c r="N380" s="17"/>
      <c r="O380" s="17"/>
      <c r="P380" s="18"/>
      <c r="Q380" s="16" t="s">
        <v>83</v>
      </c>
      <c r="R380" s="18"/>
    </row>
    <row r="381" spans="1:18" ht="16.5" customHeight="1">
      <c r="A381" s="10">
        <v>380</v>
      </c>
      <c r="B381" s="10">
        <v>43</v>
      </c>
      <c r="C381" s="10">
        <v>14</v>
      </c>
      <c r="D381" s="11" t="s">
        <v>1871</v>
      </c>
      <c r="E381" s="12" t="s">
        <v>1875</v>
      </c>
      <c r="F381" s="11" t="s">
        <v>1878</v>
      </c>
      <c r="G381" s="10"/>
      <c r="H381" s="13" t="s">
        <v>1879</v>
      </c>
      <c r="I381" s="14" t="s">
        <v>1880</v>
      </c>
      <c r="J381" s="15" t="s">
        <v>1881</v>
      </c>
      <c r="K381" s="16" t="s">
        <v>82</v>
      </c>
      <c r="L381" s="17"/>
      <c r="M381" s="17"/>
      <c r="N381" s="17"/>
      <c r="O381" s="17"/>
      <c r="P381" s="18"/>
      <c r="Q381" s="16" t="s">
        <v>83</v>
      </c>
      <c r="R381" s="18"/>
    </row>
    <row r="382" spans="1:18" ht="16.5" customHeight="1">
      <c r="A382" s="10">
        <v>381</v>
      </c>
      <c r="B382" s="10">
        <v>43</v>
      </c>
      <c r="C382" s="10">
        <v>17</v>
      </c>
      <c r="D382" s="11" t="s">
        <v>1882</v>
      </c>
      <c r="E382" s="12" t="s">
        <v>1883</v>
      </c>
      <c r="F382" s="11" t="s">
        <v>1884</v>
      </c>
      <c r="G382" s="10"/>
      <c r="H382" s="13" t="s">
        <v>1885</v>
      </c>
      <c r="I382" s="14" t="s">
        <v>1886</v>
      </c>
      <c r="J382" s="15" t="s">
        <v>1887</v>
      </c>
      <c r="K382" s="16" t="s">
        <v>82</v>
      </c>
      <c r="L382" s="17"/>
      <c r="M382" s="17"/>
      <c r="N382" s="17"/>
      <c r="O382" s="17"/>
      <c r="P382" s="18"/>
      <c r="Q382" s="16" t="s">
        <v>83</v>
      </c>
      <c r="R382" s="18"/>
    </row>
    <row r="383" spans="1:18" ht="16.5" customHeight="1">
      <c r="A383" s="10">
        <v>382</v>
      </c>
      <c r="B383" s="10">
        <v>43</v>
      </c>
      <c r="C383" s="10">
        <v>18</v>
      </c>
      <c r="D383" s="11" t="s">
        <v>1883</v>
      </c>
      <c r="E383" s="19" t="s">
        <v>1884</v>
      </c>
      <c r="F383" s="11" t="s">
        <v>1888</v>
      </c>
      <c r="G383" s="10" t="s">
        <v>266</v>
      </c>
      <c r="H383" s="13" t="s">
        <v>1889</v>
      </c>
      <c r="I383" s="14" t="s">
        <v>1890</v>
      </c>
      <c r="J383" s="15" t="s">
        <v>1891</v>
      </c>
      <c r="K383" s="16" t="s">
        <v>82</v>
      </c>
      <c r="L383" s="17"/>
      <c r="M383" s="17"/>
      <c r="N383" s="17"/>
      <c r="O383" s="17"/>
      <c r="P383" s="18"/>
      <c r="Q383" s="16" t="s">
        <v>83</v>
      </c>
      <c r="R383" s="18"/>
    </row>
    <row r="384" spans="1:18" ht="16.5" customHeight="1">
      <c r="A384" s="10">
        <v>383</v>
      </c>
      <c r="B384" s="10">
        <v>43</v>
      </c>
      <c r="C384" s="10">
        <v>19</v>
      </c>
      <c r="D384" s="11" t="s">
        <v>1884</v>
      </c>
      <c r="E384" s="19" t="s">
        <v>1888</v>
      </c>
      <c r="F384" s="11" t="s">
        <v>1892</v>
      </c>
      <c r="G384" s="10" t="s">
        <v>633</v>
      </c>
      <c r="H384" s="13" t="s">
        <v>634</v>
      </c>
      <c r="I384" s="14" t="s">
        <v>1893</v>
      </c>
      <c r="J384" s="15" t="s">
        <v>1894</v>
      </c>
      <c r="K384" s="16" t="s">
        <v>82</v>
      </c>
      <c r="L384" s="17"/>
      <c r="M384" s="17"/>
      <c r="N384" s="17"/>
      <c r="O384" s="17"/>
      <c r="P384" s="18"/>
      <c r="Q384" s="16" t="s">
        <v>83</v>
      </c>
      <c r="R384" s="18"/>
    </row>
    <row r="385" spans="1:18" ht="16.5" customHeight="1">
      <c r="A385" s="10">
        <v>384</v>
      </c>
      <c r="B385" s="10">
        <v>43</v>
      </c>
      <c r="C385" s="10">
        <v>20</v>
      </c>
      <c r="D385" s="11" t="s">
        <v>1888</v>
      </c>
      <c r="E385" s="12" t="s">
        <v>1892</v>
      </c>
      <c r="F385" s="11" t="s">
        <v>1895</v>
      </c>
      <c r="G385" s="10"/>
      <c r="H385" s="13" t="s">
        <v>1896</v>
      </c>
      <c r="I385" s="14" t="s">
        <v>1897</v>
      </c>
      <c r="J385" s="15" t="s">
        <v>1898</v>
      </c>
      <c r="K385" s="16" t="s">
        <v>82</v>
      </c>
      <c r="L385" s="17"/>
      <c r="M385" s="17"/>
      <c r="N385" s="17"/>
      <c r="O385" s="17"/>
      <c r="P385" s="18"/>
      <c r="Q385" s="16" t="s">
        <v>83</v>
      </c>
      <c r="R385" s="18"/>
    </row>
    <row r="386" spans="1:18" ht="16.5" customHeight="1">
      <c r="A386" s="10">
        <v>385</v>
      </c>
      <c r="B386" s="10">
        <v>43</v>
      </c>
      <c r="C386" s="10">
        <v>33</v>
      </c>
      <c r="D386" s="11" t="s">
        <v>1899</v>
      </c>
      <c r="E386" s="12" t="s">
        <v>1900</v>
      </c>
      <c r="F386" s="11" t="s">
        <v>1901</v>
      </c>
      <c r="G386" s="10"/>
      <c r="H386" s="13" t="s">
        <v>1902</v>
      </c>
      <c r="I386" s="14" t="s">
        <v>1903</v>
      </c>
      <c r="J386" s="15" t="s">
        <v>1904</v>
      </c>
      <c r="K386" s="16" t="s">
        <v>82</v>
      </c>
      <c r="L386" s="17"/>
      <c r="M386" s="17"/>
      <c r="N386" s="17"/>
      <c r="O386" s="17"/>
      <c r="P386" s="18"/>
      <c r="Q386" s="16" t="s">
        <v>83</v>
      </c>
      <c r="R386" s="18"/>
    </row>
    <row r="387" spans="1:18" ht="16.5" customHeight="1">
      <c r="A387" s="10">
        <v>386</v>
      </c>
      <c r="B387" s="10">
        <v>43</v>
      </c>
      <c r="C387" s="10">
        <v>34</v>
      </c>
      <c r="D387" s="11" t="s">
        <v>1900</v>
      </c>
      <c r="E387" s="19" t="s">
        <v>1901</v>
      </c>
      <c r="F387" s="11" t="s">
        <v>1905</v>
      </c>
      <c r="G387" s="10" t="s">
        <v>160</v>
      </c>
      <c r="H387" s="13" t="s">
        <v>1906</v>
      </c>
      <c r="I387" s="14" t="s">
        <v>1907</v>
      </c>
      <c r="J387" s="15" t="s">
        <v>1908</v>
      </c>
      <c r="K387" s="16" t="s">
        <v>89</v>
      </c>
      <c r="L387" s="17" t="s">
        <v>128</v>
      </c>
      <c r="M387" s="17" t="s">
        <v>91</v>
      </c>
      <c r="N387" s="17" t="s">
        <v>1909</v>
      </c>
      <c r="O387" s="17" t="s">
        <v>1910</v>
      </c>
      <c r="P387" s="18" t="s">
        <v>1911</v>
      </c>
      <c r="Q387" s="16" t="s">
        <v>83</v>
      </c>
      <c r="R387" s="18"/>
    </row>
    <row r="388" spans="1:18" ht="16.5" customHeight="1">
      <c r="A388" s="10">
        <v>387</v>
      </c>
      <c r="B388" s="10">
        <v>43</v>
      </c>
      <c r="C388" s="10">
        <v>35</v>
      </c>
      <c r="D388" s="11" t="s">
        <v>1901</v>
      </c>
      <c r="E388" s="19" t="s">
        <v>1905</v>
      </c>
      <c r="F388" s="11" t="s">
        <v>1912</v>
      </c>
      <c r="G388" s="10" t="s">
        <v>320</v>
      </c>
      <c r="H388" s="13" t="s">
        <v>1913</v>
      </c>
      <c r="I388" s="14" t="s">
        <v>1914</v>
      </c>
      <c r="J388" s="15" t="s">
        <v>1915</v>
      </c>
      <c r="K388" s="16" t="s">
        <v>89</v>
      </c>
      <c r="L388" s="17" t="s">
        <v>128</v>
      </c>
      <c r="M388" s="17" t="s">
        <v>91</v>
      </c>
      <c r="N388" s="17" t="s">
        <v>1916</v>
      </c>
      <c r="O388" s="17" t="s">
        <v>1917</v>
      </c>
      <c r="P388" s="18" t="s">
        <v>1918</v>
      </c>
      <c r="Q388" s="16" t="s">
        <v>83</v>
      </c>
      <c r="R388" s="18"/>
    </row>
    <row r="389" spans="1:18" ht="16.5" customHeight="1">
      <c r="A389" s="10">
        <v>388</v>
      </c>
      <c r="B389" s="10">
        <v>43</v>
      </c>
      <c r="C389" s="10">
        <v>36</v>
      </c>
      <c r="D389" s="11" t="s">
        <v>1905</v>
      </c>
      <c r="E389" s="12" t="s">
        <v>1912</v>
      </c>
      <c r="F389" s="11" t="s">
        <v>1919</v>
      </c>
      <c r="G389" s="10"/>
      <c r="H389" s="13" t="s">
        <v>1920</v>
      </c>
      <c r="I389" s="14" t="s">
        <v>1921</v>
      </c>
      <c r="J389" s="15" t="s">
        <v>1922</v>
      </c>
      <c r="K389" s="16" t="s">
        <v>89</v>
      </c>
      <c r="L389" s="17" t="s">
        <v>128</v>
      </c>
      <c r="M389" s="17" t="s">
        <v>91</v>
      </c>
      <c r="N389" s="17" t="s">
        <v>1923</v>
      </c>
      <c r="O389" s="17" t="s">
        <v>1924</v>
      </c>
      <c r="P389" s="18" t="s">
        <v>1925</v>
      </c>
      <c r="Q389" s="16" t="s">
        <v>113</v>
      </c>
      <c r="R389" s="18"/>
    </row>
    <row r="390" spans="1:18" ht="16.5" customHeight="1">
      <c r="A390" s="10">
        <v>389</v>
      </c>
      <c r="B390" s="10">
        <v>43</v>
      </c>
      <c r="C390" s="10">
        <v>37</v>
      </c>
      <c r="D390" s="11" t="s">
        <v>1912</v>
      </c>
      <c r="E390" s="12" t="s">
        <v>1919</v>
      </c>
      <c r="F390" s="11" t="s">
        <v>1926</v>
      </c>
      <c r="G390" s="10"/>
      <c r="H390" s="13" t="s">
        <v>1927</v>
      </c>
      <c r="I390" s="14" t="s">
        <v>1928</v>
      </c>
      <c r="J390" s="15" t="s">
        <v>1929</v>
      </c>
      <c r="K390" s="16" t="s">
        <v>89</v>
      </c>
      <c r="L390" s="17" t="s">
        <v>128</v>
      </c>
      <c r="M390" s="17" t="s">
        <v>91</v>
      </c>
      <c r="N390" s="17" t="s">
        <v>1930</v>
      </c>
      <c r="O390" s="17" t="s">
        <v>1931</v>
      </c>
      <c r="P390" s="18" t="s">
        <v>1932</v>
      </c>
      <c r="Q390" s="16" t="s">
        <v>113</v>
      </c>
      <c r="R390" s="18"/>
    </row>
    <row r="391" spans="1:18" ht="26.25" customHeight="1">
      <c r="A391" s="10">
        <v>390</v>
      </c>
      <c r="B391" s="10">
        <v>43</v>
      </c>
      <c r="C391" s="10">
        <v>38</v>
      </c>
      <c r="D391" s="11" t="s">
        <v>1919</v>
      </c>
      <c r="E391" s="19" t="s">
        <v>1926</v>
      </c>
      <c r="F391" s="11" t="s">
        <v>1933</v>
      </c>
      <c r="G391" s="10" t="s">
        <v>266</v>
      </c>
      <c r="H391" s="13" t="s">
        <v>1934</v>
      </c>
      <c r="I391" s="14" t="s">
        <v>1935</v>
      </c>
      <c r="J391" s="15" t="s">
        <v>1936</v>
      </c>
      <c r="K391" s="16" t="s">
        <v>82</v>
      </c>
      <c r="L391" s="17"/>
      <c r="M391" s="17"/>
      <c r="N391" s="17"/>
      <c r="O391" s="17"/>
      <c r="P391" s="18"/>
      <c r="Q391" s="16" t="s">
        <v>83</v>
      </c>
      <c r="R391" s="18"/>
    </row>
    <row r="392" spans="1:18" ht="16.5" customHeight="1">
      <c r="A392" s="10">
        <v>391</v>
      </c>
      <c r="B392" s="10">
        <v>43</v>
      </c>
      <c r="C392" s="10">
        <v>39</v>
      </c>
      <c r="D392" s="11" t="s">
        <v>1926</v>
      </c>
      <c r="E392" s="12" t="s">
        <v>1933</v>
      </c>
      <c r="F392" s="11" t="s">
        <v>1937</v>
      </c>
      <c r="G392" s="10"/>
      <c r="H392" s="13" t="s">
        <v>1938</v>
      </c>
      <c r="I392" s="14" t="s">
        <v>1939</v>
      </c>
      <c r="J392" s="15" t="s">
        <v>1940</v>
      </c>
      <c r="K392" s="16" t="s">
        <v>82</v>
      </c>
      <c r="L392" s="17"/>
      <c r="M392" s="17"/>
      <c r="N392" s="17"/>
      <c r="O392" s="17"/>
      <c r="P392" s="18"/>
      <c r="Q392" s="16" t="s">
        <v>83</v>
      </c>
      <c r="R392" s="18"/>
    </row>
    <row r="393" spans="1:18" ht="16.5" customHeight="1">
      <c r="A393" s="10">
        <v>392</v>
      </c>
      <c r="B393" s="10">
        <v>43</v>
      </c>
      <c r="C393" s="10">
        <v>40</v>
      </c>
      <c r="D393" s="11" t="s">
        <v>1933</v>
      </c>
      <c r="E393" s="12" t="s">
        <v>1937</v>
      </c>
      <c r="F393" s="11" t="s">
        <v>1200</v>
      </c>
      <c r="G393" s="10"/>
      <c r="H393" s="13" t="s">
        <v>1941</v>
      </c>
      <c r="I393" s="14" t="s">
        <v>1942</v>
      </c>
      <c r="J393" s="15" t="s">
        <v>1943</v>
      </c>
      <c r="K393" s="16" t="s">
        <v>82</v>
      </c>
      <c r="L393" s="17"/>
      <c r="M393" s="17"/>
      <c r="N393" s="17"/>
      <c r="O393" s="17"/>
      <c r="P393" s="18"/>
      <c r="Q393" s="16" t="s">
        <v>83</v>
      </c>
      <c r="R393" s="18"/>
    </row>
    <row r="394" spans="1:18" ht="16.5" customHeight="1">
      <c r="A394" s="10">
        <v>393</v>
      </c>
      <c r="B394" s="10">
        <v>43</v>
      </c>
      <c r="C394" s="10">
        <v>41</v>
      </c>
      <c r="D394" s="11" t="s">
        <v>1937</v>
      </c>
      <c r="E394" s="19" t="s">
        <v>1200</v>
      </c>
      <c r="F394" s="11" t="s">
        <v>1944</v>
      </c>
      <c r="G394" s="10" t="s">
        <v>1200</v>
      </c>
      <c r="H394" s="13" t="s">
        <v>1204</v>
      </c>
      <c r="I394" s="14" t="s">
        <v>1945</v>
      </c>
      <c r="J394" s="15" t="s">
        <v>1946</v>
      </c>
      <c r="K394" s="16" t="s">
        <v>89</v>
      </c>
      <c r="L394" s="17" t="s">
        <v>128</v>
      </c>
      <c r="M394" s="17" t="s">
        <v>91</v>
      </c>
      <c r="N394" s="17" t="s">
        <v>1200</v>
      </c>
      <c r="O394" s="17" t="s">
        <v>1207</v>
      </c>
      <c r="P394" s="18" t="s">
        <v>1208</v>
      </c>
      <c r="Q394" s="16" t="s">
        <v>113</v>
      </c>
      <c r="R394" s="18"/>
    </row>
    <row r="395" spans="1:18" ht="16.5" customHeight="1">
      <c r="A395" s="10">
        <v>394</v>
      </c>
      <c r="B395" s="10">
        <v>43</v>
      </c>
      <c r="C395" s="10">
        <v>42</v>
      </c>
      <c r="D395" s="11" t="s">
        <v>1200</v>
      </c>
      <c r="E395" s="12" t="s">
        <v>1944</v>
      </c>
      <c r="F395" s="11"/>
      <c r="G395" s="10"/>
      <c r="H395" s="13" t="s">
        <v>1947</v>
      </c>
      <c r="I395" s="14" t="s">
        <v>1948</v>
      </c>
      <c r="J395" s="15" t="s">
        <v>1949</v>
      </c>
      <c r="K395" s="16" t="s">
        <v>82</v>
      </c>
      <c r="L395" s="17"/>
      <c r="M395" s="17"/>
      <c r="N395" s="17"/>
      <c r="O395" s="17"/>
      <c r="P395" s="18"/>
      <c r="Q395" s="16" t="s">
        <v>83</v>
      </c>
      <c r="R395" s="18"/>
    </row>
  </sheetData>
  <phoneticPr fontId="9" type="noConversion"/>
  <dataValidations count="4">
    <dataValidation type="list" allowBlank="1" sqref="K2:K395" xr:uid="{00000000-0002-0000-0200-000000000000}">
      <formula1>"Y,N"</formula1>
      <formula2>0</formula2>
    </dataValidation>
    <dataValidation type="list" allowBlank="1" sqref="L2:L395" xr:uid="{00000000-0002-0000-0200-000001000000}">
      <formula1>"SD-1 자연·물질,SD-2 신체·감각,SD-3 공간·방위,SD-4 사냥·전쟁,SD-5 운동·시간,SD-6 문화·제도,(수사 기제)"</formula1>
      <formula2>0</formula2>
    </dataValidation>
    <dataValidation type="list" allowBlank="1" sqref="M2:M395" xr:uid="{00000000-0002-0000-0200-000002000000}">
      <formula1>"TD-1 축적·유통,TD-2 권력·지배,TD-3 인식·진위,TD-4 도덕·책무,TD-5 문명·제도,TD-7 경물·감각,TD-6 기타"</formula1>
      <formula2>0</formula2>
    </dataValidation>
    <dataValidation type="list" allowBlank="1" sqref="Q2:Q395" xr:uid="{00000000-0002-0000-0200-000003000000}">
      <formula1>"높음,보통,낮음"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325"/>
  <sheetViews>
    <sheetView zoomScaleNormal="100" workbookViewId="0">
      <pane xSplit="10" ySplit="1" topLeftCell="K2" activePane="bottomRight" state="frozen"/>
      <selection pane="topRight" activeCell="K1" sqref="K1"/>
      <selection pane="bottomLeft" activeCell="A2" sqref="A2"/>
      <selection pane="bottomRight"/>
    </sheetView>
  </sheetViews>
  <sheetFormatPr defaultColWidth="8.7109375" defaultRowHeight="15"/>
  <cols>
    <col min="1" max="1" width="5" style="4" customWidth="1"/>
    <col min="2" max="3" width="6" style="4" customWidth="1"/>
    <col min="4" max="4" width="20" style="4" customWidth="1"/>
    <col min="5" max="5" width="30" style="4" customWidth="1"/>
    <col min="6" max="6" width="20" style="4" customWidth="1"/>
    <col min="7" max="7" width="13" style="4" customWidth="1"/>
    <col min="8" max="8" width="58" style="4" customWidth="1"/>
    <col min="9" max="10" width="34" style="4" customWidth="1"/>
    <col min="11" max="11" width="12" style="4" customWidth="1"/>
    <col min="12" max="12" width="14" style="4" customWidth="1"/>
    <col min="13" max="13" width="26" style="4" customWidth="1"/>
    <col min="14" max="14" width="8" style="4" customWidth="1"/>
    <col min="15" max="15" width="16" style="4" customWidth="1"/>
  </cols>
  <sheetData>
    <row r="1" spans="1:18" ht="31.5" customHeight="1">
      <c r="A1" s="9" t="s">
        <v>58</v>
      </c>
      <c r="B1" s="9" t="s">
        <v>59</v>
      </c>
      <c r="C1" s="9" t="s">
        <v>60</v>
      </c>
      <c r="D1" s="9" t="s">
        <v>61</v>
      </c>
      <c r="E1" s="9" t="s">
        <v>62</v>
      </c>
      <c r="F1" s="9" t="s">
        <v>63</v>
      </c>
      <c r="G1" s="9" t="s">
        <v>64</v>
      </c>
      <c r="H1" s="9" t="s">
        <v>65</v>
      </c>
      <c r="I1" s="9" t="s">
        <v>66</v>
      </c>
      <c r="J1" s="9" t="s">
        <v>67</v>
      </c>
      <c r="K1" s="9" t="s">
        <v>68</v>
      </c>
      <c r="L1" s="9" t="s">
        <v>69</v>
      </c>
      <c r="M1" s="9" t="s">
        <v>70</v>
      </c>
      <c r="N1" s="9" t="s">
        <v>71</v>
      </c>
      <c r="O1" s="9" t="s">
        <v>72</v>
      </c>
      <c r="P1" s="9" t="s">
        <v>73</v>
      </c>
      <c r="Q1" s="9" t="s">
        <v>74</v>
      </c>
      <c r="R1" s="9" t="s">
        <v>75</v>
      </c>
    </row>
    <row r="2" spans="1:18" ht="16.5" customHeight="1">
      <c r="A2" s="10">
        <v>1</v>
      </c>
      <c r="B2" s="10">
        <v>7</v>
      </c>
      <c r="C2" s="10">
        <v>10</v>
      </c>
      <c r="D2" s="11" t="s">
        <v>1950</v>
      </c>
      <c r="E2" s="12" t="s">
        <v>1951</v>
      </c>
      <c r="F2" s="11" t="s">
        <v>1952</v>
      </c>
      <c r="G2" s="10"/>
      <c r="H2" s="13" t="s">
        <v>1953</v>
      </c>
      <c r="I2" s="14" t="s">
        <v>1954</v>
      </c>
      <c r="J2" s="15" t="s">
        <v>1955</v>
      </c>
      <c r="K2" s="16" t="s">
        <v>82</v>
      </c>
      <c r="L2" s="17"/>
      <c r="M2" s="17"/>
      <c r="N2" s="17"/>
      <c r="O2" s="17"/>
      <c r="P2" s="18"/>
      <c r="Q2" s="16" t="s">
        <v>83</v>
      </c>
      <c r="R2" s="18"/>
    </row>
    <row r="3" spans="1:18" ht="16.5" customHeight="1">
      <c r="A3" s="10">
        <v>2</v>
      </c>
      <c r="B3" s="10">
        <v>7</v>
      </c>
      <c r="C3" s="10">
        <v>11</v>
      </c>
      <c r="D3" s="11" t="s">
        <v>1951</v>
      </c>
      <c r="E3" s="19" t="s">
        <v>1952</v>
      </c>
      <c r="F3" s="11" t="s">
        <v>1956</v>
      </c>
      <c r="G3" s="10" t="s">
        <v>1957</v>
      </c>
      <c r="H3" s="13" t="s">
        <v>1958</v>
      </c>
      <c r="I3" s="14" t="s">
        <v>1959</v>
      </c>
      <c r="J3" s="15" t="s">
        <v>1960</v>
      </c>
      <c r="K3" s="16" t="s">
        <v>89</v>
      </c>
      <c r="L3" s="17" t="s">
        <v>155</v>
      </c>
      <c r="M3" s="17" t="s">
        <v>1961</v>
      </c>
      <c r="N3" s="17" t="s">
        <v>1962</v>
      </c>
      <c r="O3" s="17" t="s">
        <v>1963</v>
      </c>
      <c r="P3" s="18" t="s">
        <v>1964</v>
      </c>
      <c r="Q3" s="16" t="s">
        <v>148</v>
      </c>
      <c r="R3" s="18"/>
    </row>
    <row r="4" spans="1:18" ht="16.5" customHeight="1">
      <c r="A4" s="10">
        <v>3</v>
      </c>
      <c r="B4" s="10">
        <v>7</v>
      </c>
      <c r="C4" s="10">
        <v>12</v>
      </c>
      <c r="D4" s="11" t="s">
        <v>1952</v>
      </c>
      <c r="E4" s="12" t="s">
        <v>1956</v>
      </c>
      <c r="F4" s="11" t="s">
        <v>1965</v>
      </c>
      <c r="G4" s="10"/>
      <c r="H4" s="13"/>
      <c r="I4" s="14" t="s">
        <v>1966</v>
      </c>
      <c r="J4" s="15" t="s">
        <v>1967</v>
      </c>
      <c r="K4" s="16" t="s">
        <v>82</v>
      </c>
      <c r="L4" s="17"/>
      <c r="M4" s="17"/>
      <c r="N4" s="17"/>
      <c r="O4" s="17"/>
      <c r="P4" s="18"/>
      <c r="Q4" s="16" t="s">
        <v>83</v>
      </c>
      <c r="R4" s="18"/>
    </row>
    <row r="5" spans="1:18" ht="16.5" customHeight="1">
      <c r="A5" s="10">
        <v>4</v>
      </c>
      <c r="B5" s="10">
        <v>8</v>
      </c>
      <c r="C5" s="10">
        <v>38</v>
      </c>
      <c r="D5" s="11" t="s">
        <v>1968</v>
      </c>
      <c r="E5" s="12" t="s">
        <v>1969</v>
      </c>
      <c r="F5" s="11" t="s">
        <v>1970</v>
      </c>
      <c r="G5" s="10"/>
      <c r="H5" s="13" t="s">
        <v>1971</v>
      </c>
      <c r="I5" s="14" t="s">
        <v>1972</v>
      </c>
      <c r="J5" s="15" t="s">
        <v>1973</v>
      </c>
      <c r="K5" s="16" t="s">
        <v>82</v>
      </c>
      <c r="L5" s="17"/>
      <c r="M5" s="17"/>
      <c r="N5" s="17"/>
      <c r="O5" s="17"/>
      <c r="P5" s="18"/>
      <c r="Q5" s="16" t="s">
        <v>83</v>
      </c>
      <c r="R5" s="18"/>
    </row>
    <row r="6" spans="1:18" ht="16.5" customHeight="1">
      <c r="A6" s="10">
        <v>5</v>
      </c>
      <c r="B6" s="10">
        <v>8</v>
      </c>
      <c r="C6" s="10">
        <v>39</v>
      </c>
      <c r="D6" s="11" t="s">
        <v>1969</v>
      </c>
      <c r="E6" s="19" t="s">
        <v>1970</v>
      </c>
      <c r="F6" s="11" t="s">
        <v>1974</v>
      </c>
      <c r="G6" s="10" t="s">
        <v>575</v>
      </c>
      <c r="H6" s="13" t="s">
        <v>1975</v>
      </c>
      <c r="I6" s="14" t="s">
        <v>1976</v>
      </c>
      <c r="J6" s="15" t="s">
        <v>1977</v>
      </c>
      <c r="K6" s="16" t="s">
        <v>82</v>
      </c>
      <c r="L6" s="17"/>
      <c r="M6" s="17"/>
      <c r="N6" s="17"/>
      <c r="O6" s="17"/>
      <c r="P6" s="18"/>
      <c r="Q6" s="16" t="s">
        <v>83</v>
      </c>
      <c r="R6" s="18"/>
    </row>
    <row r="7" spans="1:18" ht="16.5" customHeight="1">
      <c r="A7" s="10">
        <v>6</v>
      </c>
      <c r="B7" s="10">
        <v>8</v>
      </c>
      <c r="C7" s="10">
        <v>40</v>
      </c>
      <c r="D7" s="11" t="s">
        <v>1970</v>
      </c>
      <c r="E7" s="12" t="s">
        <v>1974</v>
      </c>
      <c r="F7" s="11" t="s">
        <v>1978</v>
      </c>
      <c r="G7" s="10"/>
      <c r="H7" s="13" t="s">
        <v>1979</v>
      </c>
      <c r="I7" s="14" t="s">
        <v>1980</v>
      </c>
      <c r="J7" s="15" t="s">
        <v>1981</v>
      </c>
      <c r="K7" s="16" t="s">
        <v>82</v>
      </c>
      <c r="L7" s="17"/>
      <c r="M7" s="17"/>
      <c r="N7" s="17"/>
      <c r="O7" s="17"/>
      <c r="P7" s="18"/>
      <c r="Q7" s="16" t="s">
        <v>83</v>
      </c>
      <c r="R7" s="18"/>
    </row>
    <row r="8" spans="1:18" ht="16.5" customHeight="1">
      <c r="A8" s="10">
        <v>7</v>
      </c>
      <c r="B8" s="10">
        <v>8</v>
      </c>
      <c r="C8" s="10">
        <v>56</v>
      </c>
      <c r="D8" s="11" t="s">
        <v>1982</v>
      </c>
      <c r="E8" s="12" t="s">
        <v>1983</v>
      </c>
      <c r="F8" s="11" t="s">
        <v>1984</v>
      </c>
      <c r="G8" s="10"/>
      <c r="H8" s="13" t="s">
        <v>1985</v>
      </c>
      <c r="I8" s="14" t="s">
        <v>1986</v>
      </c>
      <c r="J8" s="15" t="s">
        <v>1987</v>
      </c>
      <c r="K8" s="16" t="s">
        <v>82</v>
      </c>
      <c r="L8" s="17"/>
      <c r="M8" s="17"/>
      <c r="N8" s="17"/>
      <c r="O8" s="17"/>
      <c r="P8" s="18"/>
      <c r="Q8" s="16" t="s">
        <v>83</v>
      </c>
      <c r="R8" s="18"/>
    </row>
    <row r="9" spans="1:18" ht="16.5" customHeight="1">
      <c r="A9" s="10">
        <v>8</v>
      </c>
      <c r="B9" s="10">
        <v>8</v>
      </c>
      <c r="C9" s="10">
        <v>57</v>
      </c>
      <c r="D9" s="11" t="s">
        <v>1983</v>
      </c>
      <c r="E9" s="19" t="s">
        <v>1984</v>
      </c>
      <c r="F9" s="11" t="s">
        <v>1988</v>
      </c>
      <c r="G9" s="10" t="s">
        <v>85</v>
      </c>
      <c r="H9" s="13" t="s">
        <v>1989</v>
      </c>
      <c r="I9" s="14" t="s">
        <v>1990</v>
      </c>
      <c r="J9" s="15" t="s">
        <v>1991</v>
      </c>
      <c r="K9" s="16" t="s">
        <v>82</v>
      </c>
      <c r="L9" s="17"/>
      <c r="M9" s="17"/>
      <c r="N9" s="17"/>
      <c r="O9" s="17"/>
      <c r="P9" s="18"/>
      <c r="Q9" s="16" t="s">
        <v>83</v>
      </c>
      <c r="R9" s="18"/>
    </row>
    <row r="10" spans="1:18" ht="16.5" customHeight="1">
      <c r="A10" s="10">
        <v>9</v>
      </c>
      <c r="B10" s="10">
        <v>8</v>
      </c>
      <c r="C10" s="10">
        <v>58</v>
      </c>
      <c r="D10" s="11" t="s">
        <v>1984</v>
      </c>
      <c r="E10" s="12" t="s">
        <v>1988</v>
      </c>
      <c r="F10" s="11" t="s">
        <v>1992</v>
      </c>
      <c r="G10" s="10"/>
      <c r="H10" s="13" t="s">
        <v>1993</v>
      </c>
      <c r="I10" s="14" t="s">
        <v>1994</v>
      </c>
      <c r="J10" s="15" t="s">
        <v>1995</v>
      </c>
      <c r="K10" s="16" t="s">
        <v>82</v>
      </c>
      <c r="L10" s="17"/>
      <c r="M10" s="17"/>
      <c r="N10" s="17"/>
      <c r="O10" s="17"/>
      <c r="P10" s="18"/>
      <c r="Q10" s="16" t="s">
        <v>83</v>
      </c>
      <c r="R10" s="18"/>
    </row>
    <row r="11" spans="1:18" ht="16.5" customHeight="1">
      <c r="A11" s="10">
        <v>10</v>
      </c>
      <c r="B11" s="10">
        <v>9</v>
      </c>
      <c r="C11" s="10">
        <v>9</v>
      </c>
      <c r="D11" s="11" t="s">
        <v>1996</v>
      </c>
      <c r="E11" s="12" t="s">
        <v>1997</v>
      </c>
      <c r="F11" s="11" t="s">
        <v>1998</v>
      </c>
      <c r="G11" s="10"/>
      <c r="H11" s="13" t="s">
        <v>1999</v>
      </c>
      <c r="I11" s="14" t="s">
        <v>2000</v>
      </c>
      <c r="J11" s="15" t="s">
        <v>2001</v>
      </c>
      <c r="K11" s="16" t="s">
        <v>82</v>
      </c>
      <c r="L11" s="17"/>
      <c r="M11" s="17"/>
      <c r="N11" s="17"/>
      <c r="O11" s="17"/>
      <c r="P11" s="18"/>
      <c r="Q11" s="16" t="s">
        <v>83</v>
      </c>
      <c r="R11" s="18"/>
    </row>
    <row r="12" spans="1:18" ht="16.5" customHeight="1">
      <c r="A12" s="10">
        <v>11</v>
      </c>
      <c r="B12" s="10">
        <v>9</v>
      </c>
      <c r="C12" s="10">
        <v>10</v>
      </c>
      <c r="D12" s="11" t="s">
        <v>1997</v>
      </c>
      <c r="E12" s="19" t="s">
        <v>1998</v>
      </c>
      <c r="F12" s="11" t="s">
        <v>2002</v>
      </c>
      <c r="G12" s="10" t="s">
        <v>397</v>
      </c>
      <c r="H12" s="13" t="s">
        <v>2003</v>
      </c>
      <c r="I12" s="14" t="s">
        <v>2004</v>
      </c>
      <c r="J12" s="15" t="s">
        <v>2005</v>
      </c>
      <c r="K12" s="16" t="s">
        <v>82</v>
      </c>
      <c r="L12" s="17"/>
      <c r="M12" s="17"/>
      <c r="N12" s="17"/>
      <c r="O12" s="17"/>
      <c r="P12" s="18"/>
      <c r="Q12" s="16" t="s">
        <v>83</v>
      </c>
      <c r="R12" s="18"/>
    </row>
    <row r="13" spans="1:18" ht="16.5" customHeight="1">
      <c r="A13" s="10">
        <v>12</v>
      </c>
      <c r="B13" s="10">
        <v>9</v>
      </c>
      <c r="C13" s="10">
        <v>11</v>
      </c>
      <c r="D13" s="11" t="s">
        <v>1998</v>
      </c>
      <c r="E13" s="12" t="s">
        <v>2002</v>
      </c>
      <c r="F13" s="11" t="s">
        <v>2006</v>
      </c>
      <c r="G13" s="10"/>
      <c r="H13" s="13" t="s">
        <v>2007</v>
      </c>
      <c r="I13" s="14" t="s">
        <v>2008</v>
      </c>
      <c r="J13" s="15" t="s">
        <v>2009</v>
      </c>
      <c r="K13" s="16" t="s">
        <v>89</v>
      </c>
      <c r="L13" s="17" t="s">
        <v>368</v>
      </c>
      <c r="M13" s="17" t="s">
        <v>1961</v>
      </c>
      <c r="N13" s="17" t="s">
        <v>2010</v>
      </c>
      <c r="O13" s="17" t="s">
        <v>2011</v>
      </c>
      <c r="P13" s="18" t="s">
        <v>2012</v>
      </c>
      <c r="Q13" s="16" t="s">
        <v>113</v>
      </c>
      <c r="R13" s="18"/>
    </row>
    <row r="14" spans="1:18" ht="16.5" customHeight="1">
      <c r="A14" s="10">
        <v>13</v>
      </c>
      <c r="B14" s="10">
        <v>10</v>
      </c>
      <c r="C14" s="10">
        <v>22</v>
      </c>
      <c r="D14" s="11" t="s">
        <v>2013</v>
      </c>
      <c r="E14" s="12" t="s">
        <v>2014</v>
      </c>
      <c r="F14" s="11" t="s">
        <v>2015</v>
      </c>
      <c r="G14" s="10"/>
      <c r="H14" s="13"/>
      <c r="I14" s="14" t="s">
        <v>2016</v>
      </c>
      <c r="J14" s="15" t="s">
        <v>2017</v>
      </c>
      <c r="K14" s="16" t="s">
        <v>82</v>
      </c>
      <c r="L14" s="17"/>
      <c r="M14" s="17"/>
      <c r="N14" s="17"/>
      <c r="O14" s="17"/>
      <c r="P14" s="18"/>
      <c r="Q14" s="16" t="s">
        <v>83</v>
      </c>
      <c r="R14" s="18"/>
    </row>
    <row r="15" spans="1:18" ht="16.5" customHeight="1">
      <c r="A15" s="10">
        <v>14</v>
      </c>
      <c r="B15" s="10">
        <v>10</v>
      </c>
      <c r="C15" s="10">
        <v>23</v>
      </c>
      <c r="D15" s="11" t="s">
        <v>2014</v>
      </c>
      <c r="E15" s="19" t="s">
        <v>2015</v>
      </c>
      <c r="F15" s="11" t="s">
        <v>2018</v>
      </c>
      <c r="G15" s="10" t="s">
        <v>827</v>
      </c>
      <c r="H15" s="13" t="s">
        <v>2019</v>
      </c>
      <c r="I15" s="14" t="s">
        <v>2020</v>
      </c>
      <c r="J15" s="15" t="s">
        <v>2021</v>
      </c>
      <c r="K15" s="16" t="s">
        <v>89</v>
      </c>
      <c r="L15" s="17" t="s">
        <v>90</v>
      </c>
      <c r="M15" s="17" t="s">
        <v>209</v>
      </c>
      <c r="N15" s="17" t="s">
        <v>2022</v>
      </c>
      <c r="O15" s="17" t="s">
        <v>2023</v>
      </c>
      <c r="P15" s="18" t="s">
        <v>2024</v>
      </c>
      <c r="Q15" s="16" t="s">
        <v>83</v>
      </c>
      <c r="R15" s="18"/>
    </row>
    <row r="16" spans="1:18" ht="16.5" customHeight="1">
      <c r="A16" s="10">
        <v>15</v>
      </c>
      <c r="B16" s="10">
        <v>10</v>
      </c>
      <c r="C16" s="10">
        <v>24</v>
      </c>
      <c r="D16" s="11" t="s">
        <v>2015</v>
      </c>
      <c r="E16" s="12" t="s">
        <v>2018</v>
      </c>
      <c r="F16" s="11" t="s">
        <v>2025</v>
      </c>
      <c r="G16" s="10"/>
      <c r="H16" s="13" t="s">
        <v>2026</v>
      </c>
      <c r="I16" s="14" t="s">
        <v>2027</v>
      </c>
      <c r="J16" s="15" t="s">
        <v>2028</v>
      </c>
      <c r="K16" s="16" t="s">
        <v>82</v>
      </c>
      <c r="L16" s="17"/>
      <c r="M16" s="17"/>
      <c r="N16" s="17"/>
      <c r="O16" s="17"/>
      <c r="P16" s="18"/>
      <c r="Q16" s="16" t="s">
        <v>83</v>
      </c>
      <c r="R16" s="18"/>
    </row>
    <row r="17" spans="1:18" ht="26.25" customHeight="1">
      <c r="A17" s="10">
        <v>16</v>
      </c>
      <c r="B17" s="10">
        <v>10</v>
      </c>
      <c r="C17" s="10">
        <v>37</v>
      </c>
      <c r="D17" s="11" t="s">
        <v>2029</v>
      </c>
      <c r="E17" s="12" t="s">
        <v>2030</v>
      </c>
      <c r="F17" s="11" t="s">
        <v>2031</v>
      </c>
      <c r="G17" s="10"/>
      <c r="H17" s="13" t="s">
        <v>2032</v>
      </c>
      <c r="I17" s="14" t="s">
        <v>2033</v>
      </c>
      <c r="J17" s="15" t="s">
        <v>2034</v>
      </c>
      <c r="K17" s="16" t="s">
        <v>82</v>
      </c>
      <c r="L17" s="17"/>
      <c r="M17" s="17"/>
      <c r="N17" s="17"/>
      <c r="O17" s="17"/>
      <c r="P17" s="18"/>
      <c r="Q17" s="16" t="s">
        <v>83</v>
      </c>
      <c r="R17" s="18"/>
    </row>
    <row r="18" spans="1:18" ht="16.5" customHeight="1">
      <c r="A18" s="10">
        <v>17</v>
      </c>
      <c r="B18" s="10">
        <v>10</v>
      </c>
      <c r="C18" s="10">
        <v>38</v>
      </c>
      <c r="D18" s="11" t="s">
        <v>2030</v>
      </c>
      <c r="E18" s="19" t="s">
        <v>2031</v>
      </c>
      <c r="F18" s="11" t="s">
        <v>2035</v>
      </c>
      <c r="G18" s="10" t="s">
        <v>1957</v>
      </c>
      <c r="H18" s="13" t="s">
        <v>2036</v>
      </c>
      <c r="I18" s="14" t="s">
        <v>2037</v>
      </c>
      <c r="J18" s="15" t="s">
        <v>2038</v>
      </c>
      <c r="K18" s="16" t="s">
        <v>89</v>
      </c>
      <c r="L18" s="17" t="s">
        <v>155</v>
      </c>
      <c r="M18" s="17" t="s">
        <v>91</v>
      </c>
      <c r="N18" s="17" t="s">
        <v>2039</v>
      </c>
      <c r="O18" s="17" t="s">
        <v>2040</v>
      </c>
      <c r="P18" s="18" t="s">
        <v>2041</v>
      </c>
      <c r="Q18" s="16" t="s">
        <v>83</v>
      </c>
      <c r="R18" s="18"/>
    </row>
    <row r="19" spans="1:18" ht="16.5" customHeight="1">
      <c r="A19" s="10">
        <v>18</v>
      </c>
      <c r="B19" s="10">
        <v>10</v>
      </c>
      <c r="C19" s="10">
        <v>39</v>
      </c>
      <c r="D19" s="11" t="s">
        <v>2031</v>
      </c>
      <c r="E19" s="12" t="s">
        <v>2035</v>
      </c>
      <c r="F19" s="11" t="s">
        <v>2042</v>
      </c>
      <c r="G19" s="10"/>
      <c r="H19" s="13" t="s">
        <v>2043</v>
      </c>
      <c r="I19" s="14" t="s">
        <v>2044</v>
      </c>
      <c r="J19" s="15" t="s">
        <v>2045</v>
      </c>
      <c r="K19" s="16" t="s">
        <v>82</v>
      </c>
      <c r="L19" s="17"/>
      <c r="M19" s="17"/>
      <c r="N19" s="17"/>
      <c r="O19" s="17"/>
      <c r="P19" s="18"/>
      <c r="Q19" s="16" t="s">
        <v>83</v>
      </c>
      <c r="R19" s="18"/>
    </row>
    <row r="20" spans="1:18" ht="16.5" customHeight="1">
      <c r="A20" s="10">
        <v>19</v>
      </c>
      <c r="B20" s="10">
        <v>10</v>
      </c>
      <c r="C20" s="10">
        <v>54</v>
      </c>
      <c r="D20" s="11" t="s">
        <v>2046</v>
      </c>
      <c r="E20" s="12" t="s">
        <v>2047</v>
      </c>
      <c r="F20" s="11" t="s">
        <v>2048</v>
      </c>
      <c r="G20" s="10"/>
      <c r="H20" s="13" t="s">
        <v>2049</v>
      </c>
      <c r="I20" s="14" t="s">
        <v>2050</v>
      </c>
      <c r="J20" s="15" t="s">
        <v>2051</v>
      </c>
      <c r="K20" s="16" t="s">
        <v>82</v>
      </c>
      <c r="L20" s="17"/>
      <c r="M20" s="17"/>
      <c r="N20" s="17"/>
      <c r="O20" s="17"/>
      <c r="P20" s="18"/>
      <c r="Q20" s="16" t="s">
        <v>83</v>
      </c>
      <c r="R20" s="18"/>
    </row>
    <row r="21" spans="1:18" ht="16.5" customHeight="1">
      <c r="A21" s="10">
        <v>20</v>
      </c>
      <c r="B21" s="10">
        <v>10</v>
      </c>
      <c r="C21" s="10">
        <v>55</v>
      </c>
      <c r="D21" s="11" t="s">
        <v>2047</v>
      </c>
      <c r="E21" s="19" t="s">
        <v>2048</v>
      </c>
      <c r="F21" s="11" t="s">
        <v>2052</v>
      </c>
      <c r="G21" s="10" t="s">
        <v>774</v>
      </c>
      <c r="H21" s="13" t="s">
        <v>2053</v>
      </c>
      <c r="I21" s="14" t="s">
        <v>2054</v>
      </c>
      <c r="J21" s="15" t="s">
        <v>2055</v>
      </c>
      <c r="K21" s="16" t="s">
        <v>89</v>
      </c>
      <c r="L21" s="17" t="s">
        <v>155</v>
      </c>
      <c r="M21" s="17" t="s">
        <v>91</v>
      </c>
      <c r="N21" s="17" t="s">
        <v>2056</v>
      </c>
      <c r="O21" s="17" t="s">
        <v>2057</v>
      </c>
      <c r="P21" s="18" t="s">
        <v>2058</v>
      </c>
      <c r="Q21" s="16" t="s">
        <v>83</v>
      </c>
      <c r="R21" s="18"/>
    </row>
    <row r="22" spans="1:18" ht="16.5" customHeight="1">
      <c r="A22" s="10">
        <v>21</v>
      </c>
      <c r="B22" s="10">
        <v>10</v>
      </c>
      <c r="C22" s="10">
        <v>56</v>
      </c>
      <c r="D22" s="11" t="s">
        <v>2048</v>
      </c>
      <c r="E22" s="12" t="s">
        <v>2052</v>
      </c>
      <c r="F22" s="11" t="s">
        <v>2059</v>
      </c>
      <c r="G22" s="10"/>
      <c r="H22" s="13" t="s">
        <v>2060</v>
      </c>
      <c r="I22" s="14" t="s">
        <v>2061</v>
      </c>
      <c r="J22" s="15" t="s">
        <v>2062</v>
      </c>
      <c r="K22" s="16" t="s">
        <v>82</v>
      </c>
      <c r="L22" s="17"/>
      <c r="M22" s="17"/>
      <c r="N22" s="17"/>
      <c r="O22" s="17"/>
      <c r="P22" s="18"/>
      <c r="Q22" s="16" t="s">
        <v>83</v>
      </c>
      <c r="R22" s="18"/>
    </row>
    <row r="23" spans="1:18" ht="16.5" customHeight="1">
      <c r="A23" s="10">
        <v>22</v>
      </c>
      <c r="B23" s="10">
        <v>10</v>
      </c>
      <c r="C23" s="10">
        <v>66</v>
      </c>
      <c r="D23" s="11" t="s">
        <v>2063</v>
      </c>
      <c r="E23" s="12" t="s">
        <v>2064</v>
      </c>
      <c r="F23" s="11" t="s">
        <v>2065</v>
      </c>
      <c r="G23" s="10"/>
      <c r="H23" s="13" t="s">
        <v>2066</v>
      </c>
      <c r="I23" s="14" t="s">
        <v>2067</v>
      </c>
      <c r="J23" s="15" t="s">
        <v>2068</v>
      </c>
      <c r="K23" s="16" t="s">
        <v>82</v>
      </c>
      <c r="L23" s="17"/>
      <c r="M23" s="17"/>
      <c r="N23" s="17"/>
      <c r="O23" s="17"/>
      <c r="P23" s="18"/>
      <c r="Q23" s="16" t="s">
        <v>83</v>
      </c>
      <c r="R23" s="18"/>
    </row>
    <row r="24" spans="1:18" ht="16.5" customHeight="1">
      <c r="A24" s="10">
        <v>23</v>
      </c>
      <c r="B24" s="10">
        <v>10</v>
      </c>
      <c r="C24" s="10">
        <v>67</v>
      </c>
      <c r="D24" s="11" t="s">
        <v>2064</v>
      </c>
      <c r="E24" s="19" t="s">
        <v>2065</v>
      </c>
      <c r="F24" s="11"/>
      <c r="G24" s="10" t="s">
        <v>1957</v>
      </c>
      <c r="H24" s="13" t="s">
        <v>2069</v>
      </c>
      <c r="I24" s="14" t="s">
        <v>2070</v>
      </c>
      <c r="J24" s="15" t="s">
        <v>2071</v>
      </c>
      <c r="K24" s="16" t="s">
        <v>89</v>
      </c>
      <c r="L24" s="17" t="s">
        <v>155</v>
      </c>
      <c r="M24" s="17" t="s">
        <v>91</v>
      </c>
      <c r="N24" s="17" t="s">
        <v>2039</v>
      </c>
      <c r="O24" s="17" t="s">
        <v>2040</v>
      </c>
      <c r="P24" s="18" t="s">
        <v>2041</v>
      </c>
      <c r="Q24" s="16" t="s">
        <v>83</v>
      </c>
      <c r="R24" s="18"/>
    </row>
    <row r="25" spans="1:18" ht="16.5" customHeight="1">
      <c r="A25" s="10">
        <v>24</v>
      </c>
      <c r="B25" s="10">
        <v>11</v>
      </c>
      <c r="C25" s="10">
        <v>1</v>
      </c>
      <c r="D25" s="11"/>
      <c r="E25" s="12" t="s">
        <v>2072</v>
      </c>
      <c r="F25" s="11" t="s">
        <v>2073</v>
      </c>
      <c r="G25" s="10"/>
      <c r="H25" s="13" t="s">
        <v>2074</v>
      </c>
      <c r="I25" s="14" t="s">
        <v>2075</v>
      </c>
      <c r="J25" s="15" t="s">
        <v>2075</v>
      </c>
      <c r="K25" s="16" t="s">
        <v>82</v>
      </c>
      <c r="L25" s="17"/>
      <c r="M25" s="17"/>
      <c r="N25" s="17"/>
      <c r="O25" s="17"/>
      <c r="P25" s="18"/>
      <c r="Q25" s="16" t="s">
        <v>83</v>
      </c>
      <c r="R25" s="18"/>
    </row>
    <row r="26" spans="1:18" ht="26.25" customHeight="1">
      <c r="A26" s="10">
        <v>25</v>
      </c>
      <c r="B26" s="10">
        <v>11</v>
      </c>
      <c r="C26" s="10">
        <v>64</v>
      </c>
      <c r="D26" s="11" t="s">
        <v>2076</v>
      </c>
      <c r="E26" s="12" t="s">
        <v>2077</v>
      </c>
      <c r="F26" s="11" t="s">
        <v>2078</v>
      </c>
      <c r="G26" s="10"/>
      <c r="H26" s="13" t="s">
        <v>2079</v>
      </c>
      <c r="I26" s="14" t="s">
        <v>2080</v>
      </c>
      <c r="J26" s="15" t="s">
        <v>2081</v>
      </c>
      <c r="K26" s="16" t="s">
        <v>82</v>
      </c>
      <c r="L26" s="17"/>
      <c r="M26" s="17"/>
      <c r="N26" s="17"/>
      <c r="O26" s="17"/>
      <c r="P26" s="18"/>
      <c r="Q26" s="16" t="s">
        <v>83</v>
      </c>
      <c r="R26" s="18"/>
    </row>
    <row r="27" spans="1:18" ht="16.5" customHeight="1">
      <c r="A27" s="10">
        <v>26</v>
      </c>
      <c r="B27" s="10">
        <v>11</v>
      </c>
      <c r="C27" s="10">
        <v>65</v>
      </c>
      <c r="D27" s="11" t="s">
        <v>2077</v>
      </c>
      <c r="E27" s="19" t="s">
        <v>2078</v>
      </c>
      <c r="F27" s="11"/>
      <c r="G27" s="10" t="s">
        <v>462</v>
      </c>
      <c r="H27" s="13" t="s">
        <v>2082</v>
      </c>
      <c r="I27" s="14" t="s">
        <v>2083</v>
      </c>
      <c r="J27" s="15" t="s">
        <v>2084</v>
      </c>
      <c r="K27" s="16" t="s">
        <v>82</v>
      </c>
      <c r="L27" s="17"/>
      <c r="M27" s="17"/>
      <c r="N27" s="17"/>
      <c r="O27" s="17"/>
      <c r="P27" s="18"/>
      <c r="Q27" s="16" t="s">
        <v>83</v>
      </c>
      <c r="R27" s="18"/>
    </row>
    <row r="28" spans="1:18" ht="16.5" customHeight="1">
      <c r="A28" s="10">
        <v>27</v>
      </c>
      <c r="B28" s="10">
        <v>12</v>
      </c>
      <c r="C28" s="10">
        <v>1</v>
      </c>
      <c r="D28" s="11"/>
      <c r="E28" s="12" t="s">
        <v>2085</v>
      </c>
      <c r="F28" s="11" t="s">
        <v>2086</v>
      </c>
      <c r="G28" s="10"/>
      <c r="H28" s="13" t="s">
        <v>2087</v>
      </c>
      <c r="I28" s="14" t="s">
        <v>2088</v>
      </c>
      <c r="J28" s="15" t="s">
        <v>2089</v>
      </c>
      <c r="K28" s="16" t="s">
        <v>82</v>
      </c>
      <c r="L28" s="17"/>
      <c r="M28" s="17"/>
      <c r="N28" s="17"/>
      <c r="O28" s="17"/>
      <c r="P28" s="18"/>
      <c r="Q28" s="16" t="s">
        <v>83</v>
      </c>
      <c r="R28" s="18"/>
    </row>
    <row r="29" spans="1:18" ht="16.5" customHeight="1">
      <c r="A29" s="10">
        <v>28</v>
      </c>
      <c r="B29" s="10">
        <v>12</v>
      </c>
      <c r="C29" s="10">
        <v>36</v>
      </c>
      <c r="D29" s="11" t="s">
        <v>2090</v>
      </c>
      <c r="E29" s="12" t="s">
        <v>2091</v>
      </c>
      <c r="F29" s="11" t="s">
        <v>2092</v>
      </c>
      <c r="G29" s="10"/>
      <c r="H29" s="13" t="s">
        <v>2093</v>
      </c>
      <c r="I29" s="14" t="s">
        <v>2094</v>
      </c>
      <c r="J29" s="15" t="s">
        <v>2095</v>
      </c>
      <c r="K29" s="16" t="s">
        <v>82</v>
      </c>
      <c r="L29" s="17"/>
      <c r="M29" s="17"/>
      <c r="N29" s="17"/>
      <c r="O29" s="17"/>
      <c r="P29" s="18"/>
      <c r="Q29" s="16" t="s">
        <v>83</v>
      </c>
      <c r="R29" s="18"/>
    </row>
    <row r="30" spans="1:18" ht="16.5" customHeight="1">
      <c r="A30" s="10">
        <v>29</v>
      </c>
      <c r="B30" s="10">
        <v>12</v>
      </c>
      <c r="C30" s="10">
        <v>37</v>
      </c>
      <c r="D30" s="11" t="s">
        <v>2091</v>
      </c>
      <c r="E30" s="19" t="s">
        <v>2092</v>
      </c>
      <c r="F30" s="11" t="s">
        <v>2096</v>
      </c>
      <c r="G30" s="10" t="s">
        <v>540</v>
      </c>
      <c r="H30" s="13" t="s">
        <v>2097</v>
      </c>
      <c r="I30" s="14" t="s">
        <v>2098</v>
      </c>
      <c r="J30" s="15" t="s">
        <v>2099</v>
      </c>
      <c r="K30" s="16" t="s">
        <v>82</v>
      </c>
      <c r="L30" s="17"/>
      <c r="M30" s="17"/>
      <c r="N30" s="17"/>
      <c r="O30" s="17"/>
      <c r="P30" s="18"/>
      <c r="Q30" s="16" t="s">
        <v>83</v>
      </c>
      <c r="R30" s="18"/>
    </row>
    <row r="31" spans="1:18" ht="16.5" customHeight="1">
      <c r="A31" s="10">
        <v>30</v>
      </c>
      <c r="B31" s="10">
        <v>12</v>
      </c>
      <c r="C31" s="10">
        <v>38</v>
      </c>
      <c r="D31" s="11" t="s">
        <v>2092</v>
      </c>
      <c r="E31" s="12" t="s">
        <v>2096</v>
      </c>
      <c r="F31" s="11" t="s">
        <v>2100</v>
      </c>
      <c r="G31" s="10"/>
      <c r="H31" s="13" t="s">
        <v>2101</v>
      </c>
      <c r="I31" s="14" t="s">
        <v>2102</v>
      </c>
      <c r="J31" s="15" t="s">
        <v>2103</v>
      </c>
      <c r="K31" s="16" t="s">
        <v>82</v>
      </c>
      <c r="L31" s="17"/>
      <c r="M31" s="17"/>
      <c r="N31" s="17"/>
      <c r="O31" s="17"/>
      <c r="P31" s="18"/>
      <c r="Q31" s="16" t="s">
        <v>83</v>
      </c>
      <c r="R31" s="18"/>
    </row>
    <row r="32" spans="1:18" ht="16.5" customHeight="1">
      <c r="A32" s="10">
        <v>31</v>
      </c>
      <c r="B32" s="10">
        <v>12</v>
      </c>
      <c r="C32" s="10">
        <v>133</v>
      </c>
      <c r="D32" s="11" t="s">
        <v>2104</v>
      </c>
      <c r="E32" s="12" t="s">
        <v>2105</v>
      </c>
      <c r="F32" s="11" t="s">
        <v>2106</v>
      </c>
      <c r="G32" s="10"/>
      <c r="H32" s="13" t="s">
        <v>2107</v>
      </c>
      <c r="I32" s="14" t="s">
        <v>2108</v>
      </c>
      <c r="J32" s="15" t="s">
        <v>2109</v>
      </c>
      <c r="K32" s="16" t="s">
        <v>82</v>
      </c>
      <c r="L32" s="17"/>
      <c r="M32" s="17"/>
      <c r="N32" s="17"/>
      <c r="O32" s="17"/>
      <c r="P32" s="18"/>
      <c r="Q32" s="16" t="s">
        <v>83</v>
      </c>
      <c r="R32" s="18"/>
    </row>
    <row r="33" spans="1:18" ht="16.5" customHeight="1">
      <c r="A33" s="10">
        <v>32</v>
      </c>
      <c r="B33" s="10">
        <v>12</v>
      </c>
      <c r="C33" s="10">
        <v>134</v>
      </c>
      <c r="D33" s="11" t="s">
        <v>2105</v>
      </c>
      <c r="E33" s="19" t="s">
        <v>2106</v>
      </c>
      <c r="F33" s="11" t="s">
        <v>2110</v>
      </c>
      <c r="G33" s="10" t="s">
        <v>397</v>
      </c>
      <c r="H33" s="13" t="s">
        <v>2111</v>
      </c>
      <c r="I33" s="14" t="s">
        <v>2112</v>
      </c>
      <c r="J33" s="15" t="s">
        <v>2113</v>
      </c>
      <c r="K33" s="16" t="s">
        <v>82</v>
      </c>
      <c r="L33" s="17"/>
      <c r="M33" s="17"/>
      <c r="N33" s="17"/>
      <c r="O33" s="17"/>
      <c r="P33" s="18"/>
      <c r="Q33" s="16" t="s">
        <v>83</v>
      </c>
      <c r="R33" s="18"/>
    </row>
    <row r="34" spans="1:18" ht="16.5" customHeight="1">
      <c r="A34" s="10">
        <v>33</v>
      </c>
      <c r="B34" s="10">
        <v>12</v>
      </c>
      <c r="C34" s="10">
        <v>135</v>
      </c>
      <c r="D34" s="11" t="s">
        <v>2106</v>
      </c>
      <c r="E34" s="12" t="s">
        <v>2110</v>
      </c>
      <c r="F34" s="11" t="s">
        <v>2114</v>
      </c>
      <c r="G34" s="10"/>
      <c r="H34" s="13" t="s">
        <v>2115</v>
      </c>
      <c r="I34" s="14" t="s">
        <v>2116</v>
      </c>
      <c r="J34" s="15" t="s">
        <v>2117</v>
      </c>
      <c r="K34" s="16" t="s">
        <v>82</v>
      </c>
      <c r="L34" s="17"/>
      <c r="M34" s="17"/>
      <c r="N34" s="17"/>
      <c r="O34" s="17"/>
      <c r="P34" s="18"/>
      <c r="Q34" s="16" t="s">
        <v>83</v>
      </c>
      <c r="R34" s="18"/>
    </row>
    <row r="35" spans="1:18" ht="16.5" customHeight="1">
      <c r="A35" s="10">
        <v>34</v>
      </c>
      <c r="B35" s="10">
        <v>13</v>
      </c>
      <c r="C35" s="10">
        <v>46</v>
      </c>
      <c r="D35" s="11" t="s">
        <v>2118</v>
      </c>
      <c r="E35" s="12" t="s">
        <v>2119</v>
      </c>
      <c r="F35" s="11" t="s">
        <v>2120</v>
      </c>
      <c r="G35" s="10"/>
      <c r="H35" s="13" t="s">
        <v>2121</v>
      </c>
      <c r="I35" s="14" t="s">
        <v>2122</v>
      </c>
      <c r="J35" s="15" t="s">
        <v>2123</v>
      </c>
      <c r="K35" s="16" t="s">
        <v>82</v>
      </c>
      <c r="L35" s="17"/>
      <c r="M35" s="17"/>
      <c r="N35" s="17"/>
      <c r="O35" s="17"/>
      <c r="P35" s="18"/>
      <c r="Q35" s="16" t="s">
        <v>83</v>
      </c>
      <c r="R35" s="18"/>
    </row>
    <row r="36" spans="1:18" ht="16.5" customHeight="1">
      <c r="A36" s="10">
        <v>35</v>
      </c>
      <c r="B36" s="10">
        <v>13</v>
      </c>
      <c r="C36" s="10">
        <v>47</v>
      </c>
      <c r="D36" s="11" t="s">
        <v>2119</v>
      </c>
      <c r="E36" s="19" t="s">
        <v>2120</v>
      </c>
      <c r="F36" s="11" t="s">
        <v>2124</v>
      </c>
      <c r="G36" s="10" t="s">
        <v>802</v>
      </c>
      <c r="H36" s="13" t="s">
        <v>2125</v>
      </c>
      <c r="I36" s="14" t="s">
        <v>2126</v>
      </c>
      <c r="J36" s="15" t="s">
        <v>2127</v>
      </c>
      <c r="K36" s="16" t="s">
        <v>82</v>
      </c>
      <c r="L36" s="17"/>
      <c r="M36" s="17"/>
      <c r="N36" s="17"/>
      <c r="O36" s="17"/>
      <c r="P36" s="18"/>
      <c r="Q36" s="16" t="s">
        <v>83</v>
      </c>
      <c r="R36" s="18"/>
    </row>
    <row r="37" spans="1:18" ht="16.5" customHeight="1">
      <c r="A37" s="10">
        <v>36</v>
      </c>
      <c r="B37" s="10">
        <v>13</v>
      </c>
      <c r="C37" s="10">
        <v>48</v>
      </c>
      <c r="D37" s="11" t="s">
        <v>2120</v>
      </c>
      <c r="E37" s="12" t="s">
        <v>2124</v>
      </c>
      <c r="F37" s="11" t="s">
        <v>2128</v>
      </c>
      <c r="G37" s="10"/>
      <c r="H37" s="13"/>
      <c r="I37" s="14" t="s">
        <v>2129</v>
      </c>
      <c r="J37" s="15" t="s">
        <v>2130</v>
      </c>
      <c r="K37" s="16" t="s">
        <v>82</v>
      </c>
      <c r="L37" s="17"/>
      <c r="M37" s="17"/>
      <c r="N37" s="17"/>
      <c r="O37" s="17"/>
      <c r="P37" s="18"/>
      <c r="Q37" s="16" t="s">
        <v>83</v>
      </c>
      <c r="R37" s="18"/>
    </row>
    <row r="38" spans="1:18" ht="16.5" customHeight="1">
      <c r="A38" s="10">
        <v>37</v>
      </c>
      <c r="B38" s="10">
        <v>13</v>
      </c>
      <c r="C38" s="10">
        <v>52</v>
      </c>
      <c r="D38" s="11" t="s">
        <v>2131</v>
      </c>
      <c r="E38" s="12" t="s">
        <v>2132</v>
      </c>
      <c r="F38" s="11" t="s">
        <v>2133</v>
      </c>
      <c r="G38" s="10"/>
      <c r="H38" s="13" t="s">
        <v>2134</v>
      </c>
      <c r="I38" s="14" t="s">
        <v>2135</v>
      </c>
      <c r="J38" s="15" t="s">
        <v>2136</v>
      </c>
      <c r="K38" s="16" t="s">
        <v>82</v>
      </c>
      <c r="L38" s="17"/>
      <c r="M38" s="17"/>
      <c r="N38" s="17"/>
      <c r="O38" s="17"/>
      <c r="P38" s="18"/>
      <c r="Q38" s="16" t="s">
        <v>83</v>
      </c>
      <c r="R38" s="18"/>
    </row>
    <row r="39" spans="1:18" ht="16.5" customHeight="1">
      <c r="A39" s="10">
        <v>38</v>
      </c>
      <c r="B39" s="10">
        <v>13</v>
      </c>
      <c r="C39" s="10">
        <v>53</v>
      </c>
      <c r="D39" s="11" t="s">
        <v>2132</v>
      </c>
      <c r="E39" s="19" t="s">
        <v>2133</v>
      </c>
      <c r="F39" s="11" t="s">
        <v>2137</v>
      </c>
      <c r="G39" s="10" t="s">
        <v>106</v>
      </c>
      <c r="H39" s="13" t="s">
        <v>2138</v>
      </c>
      <c r="I39" s="14" t="s">
        <v>2139</v>
      </c>
      <c r="J39" s="15" t="s">
        <v>2140</v>
      </c>
      <c r="K39" s="16" t="s">
        <v>82</v>
      </c>
      <c r="L39" s="17"/>
      <c r="M39" s="17"/>
      <c r="N39" s="17"/>
      <c r="O39" s="17"/>
      <c r="P39" s="18"/>
      <c r="Q39" s="16" t="s">
        <v>83</v>
      </c>
      <c r="R39" s="18"/>
    </row>
    <row r="40" spans="1:18" ht="16.5" customHeight="1">
      <c r="A40" s="10">
        <v>39</v>
      </c>
      <c r="B40" s="10">
        <v>13</v>
      </c>
      <c r="C40" s="10">
        <v>54</v>
      </c>
      <c r="D40" s="11" t="s">
        <v>2133</v>
      </c>
      <c r="E40" s="12" t="s">
        <v>2137</v>
      </c>
      <c r="F40" s="11" t="s">
        <v>2141</v>
      </c>
      <c r="G40" s="10"/>
      <c r="H40" s="13" t="s">
        <v>2142</v>
      </c>
      <c r="I40" s="14" t="s">
        <v>2143</v>
      </c>
      <c r="J40" s="15" t="s">
        <v>2144</v>
      </c>
      <c r="K40" s="16" t="s">
        <v>82</v>
      </c>
      <c r="L40" s="17"/>
      <c r="M40" s="17"/>
      <c r="N40" s="17"/>
      <c r="O40" s="17"/>
      <c r="P40" s="18"/>
      <c r="Q40" s="16" t="s">
        <v>83</v>
      </c>
      <c r="R40" s="18"/>
    </row>
    <row r="41" spans="1:18" ht="16.5" customHeight="1">
      <c r="A41" s="10">
        <v>40</v>
      </c>
      <c r="B41" s="10">
        <v>21</v>
      </c>
      <c r="C41" s="10">
        <v>35</v>
      </c>
      <c r="D41" s="11" t="s">
        <v>2145</v>
      </c>
      <c r="E41" s="12" t="s">
        <v>2146</v>
      </c>
      <c r="F41" s="11" t="s">
        <v>2147</v>
      </c>
      <c r="G41" s="10"/>
      <c r="H41" s="13" t="s">
        <v>2148</v>
      </c>
      <c r="I41" s="14" t="s">
        <v>2149</v>
      </c>
      <c r="J41" s="15" t="s">
        <v>2149</v>
      </c>
      <c r="K41" s="16" t="s">
        <v>82</v>
      </c>
      <c r="L41" s="17"/>
      <c r="M41" s="17"/>
      <c r="N41" s="17"/>
      <c r="O41" s="17"/>
      <c r="P41" s="18"/>
      <c r="Q41" s="16" t="s">
        <v>83</v>
      </c>
      <c r="R41" s="18"/>
    </row>
    <row r="42" spans="1:18" ht="16.5" customHeight="1">
      <c r="A42" s="10">
        <v>41</v>
      </c>
      <c r="B42" s="10">
        <v>21</v>
      </c>
      <c r="C42" s="10">
        <v>36</v>
      </c>
      <c r="D42" s="11" t="s">
        <v>2146</v>
      </c>
      <c r="E42" s="19" t="s">
        <v>2147</v>
      </c>
      <c r="F42" s="11" t="s">
        <v>2150</v>
      </c>
      <c r="G42" s="10" t="s">
        <v>397</v>
      </c>
      <c r="H42" s="13" t="s">
        <v>2151</v>
      </c>
      <c r="I42" s="14" t="s">
        <v>2152</v>
      </c>
      <c r="J42" s="15" t="s">
        <v>2153</v>
      </c>
      <c r="K42" s="16" t="s">
        <v>89</v>
      </c>
      <c r="L42" s="17" t="s">
        <v>368</v>
      </c>
      <c r="M42" s="17" t="s">
        <v>1961</v>
      </c>
      <c r="N42" s="17" t="s">
        <v>2147</v>
      </c>
      <c r="O42" s="17" t="s">
        <v>2154</v>
      </c>
      <c r="P42" s="18" t="s">
        <v>2155</v>
      </c>
      <c r="Q42" s="16" t="s">
        <v>83</v>
      </c>
      <c r="R42" s="18"/>
    </row>
    <row r="43" spans="1:18" ht="16.5" customHeight="1">
      <c r="A43" s="10">
        <v>42</v>
      </c>
      <c r="B43" s="10">
        <v>21</v>
      </c>
      <c r="C43" s="10">
        <v>37</v>
      </c>
      <c r="D43" s="11" t="s">
        <v>2147</v>
      </c>
      <c r="E43" s="12" t="s">
        <v>2150</v>
      </c>
      <c r="F43" s="11" t="s">
        <v>2156</v>
      </c>
      <c r="G43" s="10"/>
      <c r="H43" s="13" t="s">
        <v>2157</v>
      </c>
      <c r="I43" s="14" t="s">
        <v>2158</v>
      </c>
      <c r="J43" s="15" t="s">
        <v>2158</v>
      </c>
      <c r="K43" s="16" t="s">
        <v>82</v>
      </c>
      <c r="L43" s="17"/>
      <c r="M43" s="17"/>
      <c r="N43" s="17"/>
      <c r="O43" s="17"/>
      <c r="P43" s="18"/>
      <c r="Q43" s="16" t="s">
        <v>83</v>
      </c>
      <c r="R43" s="18"/>
    </row>
    <row r="44" spans="1:18" ht="16.5" customHeight="1">
      <c r="A44" s="10">
        <v>43</v>
      </c>
      <c r="B44" s="10">
        <v>23</v>
      </c>
      <c r="C44" s="10">
        <v>27</v>
      </c>
      <c r="D44" s="11" t="s">
        <v>2159</v>
      </c>
      <c r="E44" s="12" t="s">
        <v>2160</v>
      </c>
      <c r="F44" s="11" t="s">
        <v>2161</v>
      </c>
      <c r="G44" s="10"/>
      <c r="H44" s="13" t="s">
        <v>2162</v>
      </c>
      <c r="I44" s="14" t="s">
        <v>2163</v>
      </c>
      <c r="J44" s="15" t="s">
        <v>2164</v>
      </c>
      <c r="K44" s="16" t="s">
        <v>82</v>
      </c>
      <c r="L44" s="17"/>
      <c r="M44" s="17"/>
      <c r="N44" s="17"/>
      <c r="O44" s="17"/>
      <c r="P44" s="18"/>
      <c r="Q44" s="16" t="s">
        <v>83</v>
      </c>
      <c r="R44" s="18"/>
    </row>
    <row r="45" spans="1:18" ht="16.5" customHeight="1">
      <c r="A45" s="10">
        <v>44</v>
      </c>
      <c r="B45" s="10">
        <v>23</v>
      </c>
      <c r="C45" s="10">
        <v>28</v>
      </c>
      <c r="D45" s="11" t="s">
        <v>2160</v>
      </c>
      <c r="E45" s="19" t="s">
        <v>2161</v>
      </c>
      <c r="F45" s="11" t="s">
        <v>2165</v>
      </c>
      <c r="G45" s="10" t="s">
        <v>540</v>
      </c>
      <c r="H45" s="13" t="s">
        <v>2166</v>
      </c>
      <c r="I45" s="14" t="s">
        <v>2167</v>
      </c>
      <c r="J45" s="15" t="s">
        <v>2168</v>
      </c>
      <c r="K45" s="16" t="s">
        <v>82</v>
      </c>
      <c r="L45" s="17"/>
      <c r="M45" s="17"/>
      <c r="N45" s="17"/>
      <c r="O45" s="17"/>
      <c r="P45" s="18"/>
      <c r="Q45" s="16" t="s">
        <v>83</v>
      </c>
      <c r="R45" s="18"/>
    </row>
    <row r="46" spans="1:18" ht="16.5" customHeight="1">
      <c r="A46" s="10">
        <v>45</v>
      </c>
      <c r="B46" s="10">
        <v>23</v>
      </c>
      <c r="C46" s="10">
        <v>29</v>
      </c>
      <c r="D46" s="11" t="s">
        <v>2161</v>
      </c>
      <c r="E46" s="12" t="s">
        <v>2165</v>
      </c>
      <c r="F46" s="11" t="s">
        <v>2169</v>
      </c>
      <c r="G46" s="10"/>
      <c r="H46" s="13" t="s">
        <v>2170</v>
      </c>
      <c r="I46" s="14" t="s">
        <v>2171</v>
      </c>
      <c r="J46" s="15" t="s">
        <v>2172</v>
      </c>
      <c r="K46" s="16" t="s">
        <v>82</v>
      </c>
      <c r="L46" s="17"/>
      <c r="M46" s="17"/>
      <c r="N46" s="17"/>
      <c r="O46" s="17"/>
      <c r="P46" s="18"/>
      <c r="Q46" s="16" t="s">
        <v>83</v>
      </c>
      <c r="R46" s="18"/>
    </row>
    <row r="47" spans="1:18" ht="16.5" customHeight="1">
      <c r="A47" s="10">
        <v>46</v>
      </c>
      <c r="B47" s="10">
        <v>23</v>
      </c>
      <c r="C47" s="10">
        <v>49</v>
      </c>
      <c r="D47" s="11" t="s">
        <v>2173</v>
      </c>
      <c r="E47" s="12" t="s">
        <v>2174</v>
      </c>
      <c r="F47" s="11" t="s">
        <v>2175</v>
      </c>
      <c r="G47" s="10"/>
      <c r="H47" s="13" t="s">
        <v>2176</v>
      </c>
      <c r="I47" s="14" t="s">
        <v>2177</v>
      </c>
      <c r="J47" s="15" t="s">
        <v>2177</v>
      </c>
      <c r="K47" s="16" t="s">
        <v>82</v>
      </c>
      <c r="L47" s="17"/>
      <c r="M47" s="17"/>
      <c r="N47" s="17"/>
      <c r="O47" s="17"/>
      <c r="P47" s="18"/>
      <c r="Q47" s="16" t="s">
        <v>83</v>
      </c>
      <c r="R47" s="18"/>
    </row>
    <row r="48" spans="1:18" ht="16.5" customHeight="1">
      <c r="A48" s="10">
        <v>47</v>
      </c>
      <c r="B48" s="10">
        <v>23</v>
      </c>
      <c r="C48" s="10">
        <v>50</v>
      </c>
      <c r="D48" s="11" t="s">
        <v>2174</v>
      </c>
      <c r="E48" s="19" t="s">
        <v>2175</v>
      </c>
      <c r="F48" s="11" t="s">
        <v>2178</v>
      </c>
      <c r="G48" s="10" t="s">
        <v>2179</v>
      </c>
      <c r="H48" s="13" t="s">
        <v>2180</v>
      </c>
      <c r="I48" s="14" t="s">
        <v>2181</v>
      </c>
      <c r="J48" s="15" t="s">
        <v>2182</v>
      </c>
      <c r="K48" s="16" t="s">
        <v>82</v>
      </c>
      <c r="L48" s="17"/>
      <c r="M48" s="17"/>
      <c r="N48" s="17"/>
      <c r="O48" s="17"/>
      <c r="P48" s="18"/>
      <c r="Q48" s="16" t="s">
        <v>83</v>
      </c>
      <c r="R48" s="18"/>
    </row>
    <row r="49" spans="1:18" ht="16.5" customHeight="1">
      <c r="A49" s="10">
        <v>48</v>
      </c>
      <c r="B49" s="10">
        <v>23</v>
      </c>
      <c r="C49" s="10">
        <v>51</v>
      </c>
      <c r="D49" s="11" t="s">
        <v>2175</v>
      </c>
      <c r="E49" s="12" t="s">
        <v>2178</v>
      </c>
      <c r="F49" s="11" t="s">
        <v>2183</v>
      </c>
      <c r="G49" s="10"/>
      <c r="H49" s="13" t="s">
        <v>2184</v>
      </c>
      <c r="I49" s="14" t="s">
        <v>2185</v>
      </c>
      <c r="J49" s="15" t="s">
        <v>2186</v>
      </c>
      <c r="K49" s="16" t="s">
        <v>89</v>
      </c>
      <c r="L49" s="17" t="s">
        <v>368</v>
      </c>
      <c r="M49" s="17" t="s">
        <v>1145</v>
      </c>
      <c r="N49" s="17" t="s">
        <v>2187</v>
      </c>
      <c r="O49" s="17" t="s">
        <v>2188</v>
      </c>
      <c r="P49" s="18" t="s">
        <v>2189</v>
      </c>
      <c r="Q49" s="16" t="s">
        <v>83</v>
      </c>
      <c r="R49" s="18"/>
    </row>
    <row r="50" spans="1:18" ht="16.5" customHeight="1">
      <c r="A50" s="10">
        <v>49</v>
      </c>
      <c r="B50" s="10">
        <v>23</v>
      </c>
      <c r="C50" s="10">
        <v>58</v>
      </c>
      <c r="D50" s="11" t="s">
        <v>2190</v>
      </c>
      <c r="E50" s="12" t="s">
        <v>2191</v>
      </c>
      <c r="F50" s="11" t="s">
        <v>2192</v>
      </c>
      <c r="G50" s="10"/>
      <c r="H50" s="13" t="s">
        <v>2193</v>
      </c>
      <c r="I50" s="14" t="s">
        <v>2194</v>
      </c>
      <c r="J50" s="15" t="s">
        <v>2195</v>
      </c>
      <c r="K50" s="16" t="s">
        <v>82</v>
      </c>
      <c r="L50" s="17"/>
      <c r="M50" s="17"/>
      <c r="N50" s="17"/>
      <c r="O50" s="17"/>
      <c r="P50" s="18"/>
      <c r="Q50" s="16" t="s">
        <v>83</v>
      </c>
      <c r="R50" s="18"/>
    </row>
    <row r="51" spans="1:18" ht="26.25" customHeight="1">
      <c r="A51" s="10">
        <v>50</v>
      </c>
      <c r="B51" s="10">
        <v>23</v>
      </c>
      <c r="C51" s="10">
        <v>59</v>
      </c>
      <c r="D51" s="11" t="s">
        <v>2191</v>
      </c>
      <c r="E51" s="19" t="s">
        <v>2192</v>
      </c>
      <c r="F51" s="11"/>
      <c r="G51" s="10" t="s">
        <v>1067</v>
      </c>
      <c r="H51" s="13" t="s">
        <v>2196</v>
      </c>
      <c r="I51" s="14" t="s">
        <v>2197</v>
      </c>
      <c r="J51" s="15" t="s">
        <v>2198</v>
      </c>
      <c r="K51" s="16" t="s">
        <v>82</v>
      </c>
      <c r="L51" s="17"/>
      <c r="M51" s="17"/>
      <c r="N51" s="17"/>
      <c r="O51" s="17"/>
      <c r="P51" s="18"/>
      <c r="Q51" s="16" t="s">
        <v>83</v>
      </c>
      <c r="R51" s="18"/>
    </row>
    <row r="52" spans="1:18" ht="16.5" customHeight="1">
      <c r="A52" s="10">
        <v>51</v>
      </c>
      <c r="B52" s="10">
        <v>24</v>
      </c>
      <c r="C52" s="10">
        <v>1</v>
      </c>
      <c r="D52" s="11"/>
      <c r="E52" s="12" t="s">
        <v>2199</v>
      </c>
      <c r="F52" s="11" t="s">
        <v>2200</v>
      </c>
      <c r="G52" s="10"/>
      <c r="H52" s="13" t="s">
        <v>2201</v>
      </c>
      <c r="I52" s="14" t="s">
        <v>2202</v>
      </c>
      <c r="J52" s="15" t="s">
        <v>2203</v>
      </c>
      <c r="K52" s="16" t="s">
        <v>82</v>
      </c>
      <c r="L52" s="17"/>
      <c r="M52" s="17"/>
      <c r="N52" s="17"/>
      <c r="O52" s="17"/>
      <c r="P52" s="18"/>
      <c r="Q52" s="16" t="s">
        <v>83</v>
      </c>
      <c r="R52" s="18"/>
    </row>
    <row r="53" spans="1:18" ht="16.5" customHeight="1">
      <c r="A53" s="10">
        <v>52</v>
      </c>
      <c r="B53" s="10">
        <v>24</v>
      </c>
      <c r="C53" s="10">
        <v>10</v>
      </c>
      <c r="D53" s="11" t="s">
        <v>2204</v>
      </c>
      <c r="E53" s="12" t="s">
        <v>2205</v>
      </c>
      <c r="F53" s="11" t="s">
        <v>2206</v>
      </c>
      <c r="G53" s="10"/>
      <c r="H53" s="13" t="s">
        <v>2207</v>
      </c>
      <c r="I53" s="14" t="s">
        <v>2208</v>
      </c>
      <c r="J53" s="15" t="s">
        <v>2209</v>
      </c>
      <c r="K53" s="16" t="s">
        <v>82</v>
      </c>
      <c r="L53" s="17"/>
      <c r="M53" s="17"/>
      <c r="N53" s="17"/>
      <c r="O53" s="17"/>
      <c r="P53" s="18"/>
      <c r="Q53" s="16" t="s">
        <v>83</v>
      </c>
      <c r="R53" s="18"/>
    </row>
    <row r="54" spans="1:18" ht="16.5" customHeight="1">
      <c r="A54" s="10">
        <v>53</v>
      </c>
      <c r="B54" s="10">
        <v>24</v>
      </c>
      <c r="C54" s="10">
        <v>11</v>
      </c>
      <c r="D54" s="11" t="s">
        <v>2205</v>
      </c>
      <c r="E54" s="19" t="s">
        <v>2206</v>
      </c>
      <c r="F54" s="11" t="s">
        <v>2210</v>
      </c>
      <c r="G54" s="10" t="s">
        <v>1957</v>
      </c>
      <c r="H54" s="13" t="s">
        <v>2211</v>
      </c>
      <c r="I54" s="14" t="s">
        <v>2212</v>
      </c>
      <c r="J54" s="15" t="s">
        <v>2213</v>
      </c>
      <c r="K54" s="16" t="s">
        <v>82</v>
      </c>
      <c r="L54" s="17"/>
      <c r="M54" s="17"/>
      <c r="N54" s="17"/>
      <c r="O54" s="17"/>
      <c r="P54" s="18"/>
      <c r="Q54" s="16" t="s">
        <v>83</v>
      </c>
      <c r="R54" s="18"/>
    </row>
    <row r="55" spans="1:18" ht="16.5" customHeight="1">
      <c r="A55" s="10">
        <v>54</v>
      </c>
      <c r="B55" s="10">
        <v>24</v>
      </c>
      <c r="C55" s="10">
        <v>12</v>
      </c>
      <c r="D55" s="11" t="s">
        <v>2206</v>
      </c>
      <c r="E55" s="12" t="s">
        <v>2210</v>
      </c>
      <c r="F55" s="11" t="s">
        <v>2214</v>
      </c>
      <c r="G55" s="10"/>
      <c r="H55" s="13" t="s">
        <v>2215</v>
      </c>
      <c r="I55" s="14" t="s">
        <v>2216</v>
      </c>
      <c r="J55" s="15" t="s">
        <v>2217</v>
      </c>
      <c r="K55" s="16" t="s">
        <v>82</v>
      </c>
      <c r="L55" s="17"/>
      <c r="M55" s="17"/>
      <c r="N55" s="17"/>
      <c r="O55" s="17"/>
      <c r="P55" s="18"/>
      <c r="Q55" s="16" t="s">
        <v>83</v>
      </c>
      <c r="R55" s="18"/>
    </row>
    <row r="56" spans="1:18" ht="16.5" customHeight="1">
      <c r="A56" s="10">
        <v>55</v>
      </c>
      <c r="B56" s="10">
        <v>24</v>
      </c>
      <c r="C56" s="10">
        <v>13</v>
      </c>
      <c r="D56" s="11" t="s">
        <v>2210</v>
      </c>
      <c r="E56" s="19" t="s">
        <v>2214</v>
      </c>
      <c r="F56" s="11" t="s">
        <v>2218</v>
      </c>
      <c r="G56" s="10" t="s">
        <v>2179</v>
      </c>
      <c r="H56" s="13" t="s">
        <v>2219</v>
      </c>
      <c r="I56" s="14" t="s">
        <v>2220</v>
      </c>
      <c r="J56" s="15" t="s">
        <v>2221</v>
      </c>
      <c r="K56" s="16" t="s">
        <v>89</v>
      </c>
      <c r="L56" s="17" t="s">
        <v>90</v>
      </c>
      <c r="M56" s="17" t="s">
        <v>164</v>
      </c>
      <c r="N56" s="17" t="s">
        <v>2222</v>
      </c>
      <c r="O56" s="17" t="s">
        <v>2223</v>
      </c>
      <c r="P56" s="18" t="s">
        <v>2224</v>
      </c>
      <c r="Q56" s="16" t="s">
        <v>83</v>
      </c>
      <c r="R56" s="18"/>
    </row>
    <row r="57" spans="1:18" ht="16.5" customHeight="1">
      <c r="A57" s="10">
        <v>56</v>
      </c>
      <c r="B57" s="10">
        <v>24</v>
      </c>
      <c r="C57" s="10">
        <v>14</v>
      </c>
      <c r="D57" s="11" t="s">
        <v>2214</v>
      </c>
      <c r="E57" s="12" t="s">
        <v>2218</v>
      </c>
      <c r="F57" s="11" t="s">
        <v>2225</v>
      </c>
      <c r="G57" s="10"/>
      <c r="H57" s="13" t="s">
        <v>2226</v>
      </c>
      <c r="I57" s="14" t="s">
        <v>2227</v>
      </c>
      <c r="J57" s="15" t="s">
        <v>2227</v>
      </c>
      <c r="K57" s="16" t="s">
        <v>89</v>
      </c>
      <c r="L57" s="17" t="s">
        <v>90</v>
      </c>
      <c r="M57" s="17" t="s">
        <v>164</v>
      </c>
      <c r="N57" s="17" t="s">
        <v>2228</v>
      </c>
      <c r="O57" s="17" t="s">
        <v>2229</v>
      </c>
      <c r="P57" s="18" t="s">
        <v>2224</v>
      </c>
      <c r="Q57" s="16" t="s">
        <v>83</v>
      </c>
      <c r="R57" s="18"/>
    </row>
    <row r="58" spans="1:18" ht="16.5" customHeight="1">
      <c r="A58" s="10">
        <v>57</v>
      </c>
      <c r="B58" s="10">
        <v>24</v>
      </c>
      <c r="C58" s="10">
        <v>15</v>
      </c>
      <c r="D58" s="11" t="s">
        <v>2218</v>
      </c>
      <c r="E58" s="12" t="s">
        <v>2225</v>
      </c>
      <c r="F58" s="11" t="s">
        <v>2230</v>
      </c>
      <c r="G58" s="10"/>
      <c r="H58" s="13" t="s">
        <v>2231</v>
      </c>
      <c r="I58" s="14" t="s">
        <v>2232</v>
      </c>
      <c r="J58" s="15" t="s">
        <v>2233</v>
      </c>
      <c r="K58" s="16" t="s">
        <v>82</v>
      </c>
      <c r="L58" s="17"/>
      <c r="M58" s="17"/>
      <c r="N58" s="17"/>
      <c r="O58" s="17"/>
      <c r="P58" s="18"/>
      <c r="Q58" s="16" t="s">
        <v>83</v>
      </c>
      <c r="R58" s="18"/>
    </row>
    <row r="59" spans="1:18" ht="16.5" customHeight="1">
      <c r="A59" s="10">
        <v>58</v>
      </c>
      <c r="B59" s="10">
        <v>24</v>
      </c>
      <c r="C59" s="10">
        <v>16</v>
      </c>
      <c r="D59" s="11" t="s">
        <v>2225</v>
      </c>
      <c r="E59" s="19" t="s">
        <v>2230</v>
      </c>
      <c r="F59" s="11" t="s">
        <v>2234</v>
      </c>
      <c r="G59" s="10" t="s">
        <v>2235</v>
      </c>
      <c r="H59" s="13" t="s">
        <v>2236</v>
      </c>
      <c r="I59" s="14" t="s">
        <v>2237</v>
      </c>
      <c r="J59" s="15" t="s">
        <v>2238</v>
      </c>
      <c r="K59" s="16" t="s">
        <v>89</v>
      </c>
      <c r="L59" s="17" t="s">
        <v>155</v>
      </c>
      <c r="M59" s="17" t="s">
        <v>91</v>
      </c>
      <c r="N59" s="17" t="s">
        <v>2239</v>
      </c>
      <c r="O59" s="17" t="s">
        <v>2240</v>
      </c>
      <c r="P59" s="18" t="s">
        <v>2241</v>
      </c>
      <c r="Q59" s="16" t="s">
        <v>83</v>
      </c>
      <c r="R59" s="18"/>
    </row>
    <row r="60" spans="1:18" ht="16.5" customHeight="1">
      <c r="A60" s="10">
        <v>59</v>
      </c>
      <c r="B60" s="10">
        <v>24</v>
      </c>
      <c r="C60" s="10">
        <v>17</v>
      </c>
      <c r="D60" s="11" t="s">
        <v>2230</v>
      </c>
      <c r="E60" s="19" t="s">
        <v>2234</v>
      </c>
      <c r="F60" s="11" t="s">
        <v>2242</v>
      </c>
      <c r="G60" s="10" t="s">
        <v>305</v>
      </c>
      <c r="H60" s="13" t="s">
        <v>2243</v>
      </c>
      <c r="I60" s="14" t="s">
        <v>2244</v>
      </c>
      <c r="J60" s="15" t="s">
        <v>2245</v>
      </c>
      <c r="K60" s="16" t="s">
        <v>82</v>
      </c>
      <c r="L60" s="17"/>
      <c r="M60" s="17"/>
      <c r="N60" s="17"/>
      <c r="O60" s="17"/>
      <c r="P60" s="18"/>
      <c r="Q60" s="16" t="s">
        <v>83</v>
      </c>
      <c r="R60" s="18"/>
    </row>
    <row r="61" spans="1:18" ht="16.5" customHeight="1">
      <c r="A61" s="10">
        <v>60</v>
      </c>
      <c r="B61" s="10">
        <v>24</v>
      </c>
      <c r="C61" s="10">
        <v>18</v>
      </c>
      <c r="D61" s="11" t="s">
        <v>2234</v>
      </c>
      <c r="E61" s="19" t="s">
        <v>2242</v>
      </c>
      <c r="F61" s="11" t="s">
        <v>2246</v>
      </c>
      <c r="G61" s="10" t="s">
        <v>633</v>
      </c>
      <c r="H61" s="13" t="s">
        <v>2247</v>
      </c>
      <c r="I61" s="14" t="s">
        <v>2248</v>
      </c>
      <c r="J61" s="15" t="s">
        <v>2249</v>
      </c>
      <c r="K61" s="16" t="s">
        <v>82</v>
      </c>
      <c r="L61" s="17"/>
      <c r="M61" s="17"/>
      <c r="N61" s="17"/>
      <c r="O61" s="17"/>
      <c r="P61" s="18"/>
      <c r="Q61" s="16" t="s">
        <v>83</v>
      </c>
      <c r="R61" s="18"/>
    </row>
    <row r="62" spans="1:18" ht="16.5" customHeight="1">
      <c r="A62" s="10">
        <v>61</v>
      </c>
      <c r="B62" s="10">
        <v>24</v>
      </c>
      <c r="C62" s="10">
        <v>19</v>
      </c>
      <c r="D62" s="11" t="s">
        <v>2242</v>
      </c>
      <c r="E62" s="12" t="s">
        <v>2246</v>
      </c>
      <c r="F62" s="11" t="s">
        <v>2250</v>
      </c>
      <c r="G62" s="10"/>
      <c r="H62" s="13" t="s">
        <v>2251</v>
      </c>
      <c r="I62" s="14" t="s">
        <v>2252</v>
      </c>
      <c r="J62" s="15" t="s">
        <v>2253</v>
      </c>
      <c r="K62" s="16" t="s">
        <v>82</v>
      </c>
      <c r="L62" s="17"/>
      <c r="M62" s="17"/>
      <c r="N62" s="17"/>
      <c r="O62" s="17"/>
      <c r="P62" s="18"/>
      <c r="Q62" s="16" t="s">
        <v>83</v>
      </c>
      <c r="R62" s="18"/>
    </row>
    <row r="63" spans="1:18" ht="16.5" customHeight="1">
      <c r="A63" s="10">
        <v>62</v>
      </c>
      <c r="B63" s="10">
        <v>24</v>
      </c>
      <c r="C63" s="10">
        <v>20</v>
      </c>
      <c r="D63" s="11" t="s">
        <v>2246</v>
      </c>
      <c r="E63" s="12" t="s">
        <v>2250</v>
      </c>
      <c r="F63" s="11" t="s">
        <v>2254</v>
      </c>
      <c r="G63" s="10"/>
      <c r="H63" s="13" t="s">
        <v>2255</v>
      </c>
      <c r="I63" s="14" t="s">
        <v>2256</v>
      </c>
      <c r="J63" s="15" t="s">
        <v>2257</v>
      </c>
      <c r="K63" s="16" t="s">
        <v>82</v>
      </c>
      <c r="L63" s="17"/>
      <c r="M63" s="17"/>
      <c r="N63" s="17"/>
      <c r="O63" s="17"/>
      <c r="P63" s="18"/>
      <c r="Q63" s="16" t="s">
        <v>83</v>
      </c>
      <c r="R63" s="18"/>
    </row>
    <row r="64" spans="1:18" ht="16.5" customHeight="1">
      <c r="A64" s="10">
        <v>63</v>
      </c>
      <c r="B64" s="10">
        <v>24</v>
      </c>
      <c r="C64" s="10">
        <v>21</v>
      </c>
      <c r="D64" s="11" t="s">
        <v>2250</v>
      </c>
      <c r="E64" s="19" t="s">
        <v>2254</v>
      </c>
      <c r="F64" s="11" t="s">
        <v>2258</v>
      </c>
      <c r="G64" s="10" t="s">
        <v>2259</v>
      </c>
      <c r="H64" s="13" t="s">
        <v>2260</v>
      </c>
      <c r="I64" s="14" t="s">
        <v>2261</v>
      </c>
      <c r="J64" s="15" t="s">
        <v>2262</v>
      </c>
      <c r="K64" s="16" t="s">
        <v>82</v>
      </c>
      <c r="L64" s="17"/>
      <c r="M64" s="17"/>
      <c r="N64" s="17"/>
      <c r="O64" s="17"/>
      <c r="P64" s="18"/>
      <c r="Q64" s="16" t="s">
        <v>83</v>
      </c>
      <c r="R64" s="18"/>
    </row>
    <row r="65" spans="1:18" ht="16.5" customHeight="1">
      <c r="A65" s="10">
        <v>64</v>
      </c>
      <c r="B65" s="10">
        <v>24</v>
      </c>
      <c r="C65" s="10">
        <v>22</v>
      </c>
      <c r="D65" s="11" t="s">
        <v>2254</v>
      </c>
      <c r="E65" s="19" t="s">
        <v>2258</v>
      </c>
      <c r="F65" s="11" t="s">
        <v>2263</v>
      </c>
      <c r="G65" s="10" t="s">
        <v>1957</v>
      </c>
      <c r="H65" s="13" t="s">
        <v>2264</v>
      </c>
      <c r="I65" s="14" t="s">
        <v>2265</v>
      </c>
      <c r="J65" s="15" t="s">
        <v>2266</v>
      </c>
      <c r="K65" s="16" t="s">
        <v>82</v>
      </c>
      <c r="L65" s="17"/>
      <c r="M65" s="17"/>
      <c r="N65" s="17"/>
      <c r="O65" s="17"/>
      <c r="P65" s="18"/>
      <c r="Q65" s="16" t="s">
        <v>83</v>
      </c>
      <c r="R65" s="18"/>
    </row>
    <row r="66" spans="1:18" ht="16.5" customHeight="1">
      <c r="A66" s="10">
        <v>65</v>
      </c>
      <c r="B66" s="10">
        <v>24</v>
      </c>
      <c r="C66" s="10">
        <v>23</v>
      </c>
      <c r="D66" s="11" t="s">
        <v>2258</v>
      </c>
      <c r="E66" s="19" t="s">
        <v>2263</v>
      </c>
      <c r="F66" s="11" t="s">
        <v>2267</v>
      </c>
      <c r="G66" s="10" t="s">
        <v>106</v>
      </c>
      <c r="H66" s="13" t="s">
        <v>2268</v>
      </c>
      <c r="I66" s="14" t="s">
        <v>2269</v>
      </c>
      <c r="J66" s="15" t="s">
        <v>2270</v>
      </c>
      <c r="K66" s="16" t="s">
        <v>82</v>
      </c>
      <c r="L66" s="17"/>
      <c r="M66" s="17"/>
      <c r="N66" s="17"/>
      <c r="O66" s="17"/>
      <c r="P66" s="18"/>
      <c r="Q66" s="16" t="s">
        <v>83</v>
      </c>
      <c r="R66" s="18"/>
    </row>
    <row r="67" spans="1:18" ht="16.5" customHeight="1">
      <c r="A67" s="10">
        <v>66</v>
      </c>
      <c r="B67" s="10">
        <v>24</v>
      </c>
      <c r="C67" s="10">
        <v>24</v>
      </c>
      <c r="D67" s="11" t="s">
        <v>2263</v>
      </c>
      <c r="E67" s="12" t="s">
        <v>2267</v>
      </c>
      <c r="F67" s="11" t="s">
        <v>2271</v>
      </c>
      <c r="G67" s="10"/>
      <c r="H67" s="13" t="s">
        <v>2272</v>
      </c>
      <c r="I67" s="14" t="s">
        <v>2273</v>
      </c>
      <c r="J67" s="15" t="s">
        <v>2274</v>
      </c>
      <c r="K67" s="16" t="s">
        <v>82</v>
      </c>
      <c r="L67" s="17"/>
      <c r="M67" s="17"/>
      <c r="N67" s="17"/>
      <c r="O67" s="17"/>
      <c r="P67" s="18"/>
      <c r="Q67" s="16" t="s">
        <v>83</v>
      </c>
      <c r="R67" s="18"/>
    </row>
    <row r="68" spans="1:18" ht="16.5" customHeight="1">
      <c r="A68" s="10">
        <v>67</v>
      </c>
      <c r="B68" s="10">
        <v>24</v>
      </c>
      <c r="C68" s="10">
        <v>26</v>
      </c>
      <c r="D68" s="11" t="s">
        <v>2271</v>
      </c>
      <c r="E68" s="12" t="s">
        <v>2275</v>
      </c>
      <c r="F68" s="11" t="s">
        <v>2276</v>
      </c>
      <c r="G68" s="10"/>
      <c r="H68" s="13" t="s">
        <v>2277</v>
      </c>
      <c r="I68" s="14" t="s">
        <v>2278</v>
      </c>
      <c r="J68" s="15" t="s">
        <v>2279</v>
      </c>
      <c r="K68" s="16" t="s">
        <v>82</v>
      </c>
      <c r="L68" s="17"/>
      <c r="M68" s="17"/>
      <c r="N68" s="17"/>
      <c r="O68" s="17"/>
      <c r="P68" s="18"/>
      <c r="Q68" s="16" t="s">
        <v>83</v>
      </c>
      <c r="R68" s="18"/>
    </row>
    <row r="69" spans="1:18" ht="16.5" customHeight="1">
      <c r="A69" s="10">
        <v>68</v>
      </c>
      <c r="B69" s="10">
        <v>24</v>
      </c>
      <c r="C69" s="10">
        <v>27</v>
      </c>
      <c r="D69" s="11" t="s">
        <v>2275</v>
      </c>
      <c r="E69" s="19" t="s">
        <v>2276</v>
      </c>
      <c r="F69" s="11" t="s">
        <v>2280</v>
      </c>
      <c r="G69" s="10" t="s">
        <v>404</v>
      </c>
      <c r="H69" s="13" t="s">
        <v>2281</v>
      </c>
      <c r="I69" s="14" t="s">
        <v>2282</v>
      </c>
      <c r="J69" s="15" t="s">
        <v>2283</v>
      </c>
      <c r="K69" s="16" t="s">
        <v>82</v>
      </c>
      <c r="L69" s="17"/>
      <c r="M69" s="17"/>
      <c r="N69" s="17"/>
      <c r="O69" s="17"/>
      <c r="P69" s="18"/>
      <c r="Q69" s="16" t="s">
        <v>83</v>
      </c>
      <c r="R69" s="18"/>
    </row>
    <row r="70" spans="1:18" ht="16.5" customHeight="1">
      <c r="A70" s="10">
        <v>69</v>
      </c>
      <c r="B70" s="10">
        <v>24</v>
      </c>
      <c r="C70" s="10">
        <v>28</v>
      </c>
      <c r="D70" s="11" t="s">
        <v>2276</v>
      </c>
      <c r="E70" s="19" t="s">
        <v>2280</v>
      </c>
      <c r="F70" s="11" t="s">
        <v>2284</v>
      </c>
      <c r="G70" s="10" t="s">
        <v>774</v>
      </c>
      <c r="H70" s="13" t="s">
        <v>2285</v>
      </c>
      <c r="I70" s="14" t="s">
        <v>2286</v>
      </c>
      <c r="J70" s="15" t="s">
        <v>2287</v>
      </c>
      <c r="K70" s="16" t="s">
        <v>82</v>
      </c>
      <c r="L70" s="17"/>
      <c r="M70" s="17"/>
      <c r="N70" s="17"/>
      <c r="O70" s="17"/>
      <c r="P70" s="18"/>
      <c r="Q70" s="16" t="s">
        <v>83</v>
      </c>
      <c r="R70" s="18"/>
    </row>
    <row r="71" spans="1:18" ht="16.5" customHeight="1">
      <c r="A71" s="10">
        <v>70</v>
      </c>
      <c r="B71" s="10">
        <v>24</v>
      </c>
      <c r="C71" s="10">
        <v>29</v>
      </c>
      <c r="D71" s="11" t="s">
        <v>2280</v>
      </c>
      <c r="E71" s="12" t="s">
        <v>2284</v>
      </c>
      <c r="F71" s="11" t="s">
        <v>2288</v>
      </c>
      <c r="G71" s="10"/>
      <c r="H71" s="13" t="s">
        <v>2289</v>
      </c>
      <c r="I71" s="14" t="s">
        <v>2290</v>
      </c>
      <c r="J71" s="15" t="s">
        <v>2291</v>
      </c>
      <c r="K71" s="16" t="s">
        <v>82</v>
      </c>
      <c r="L71" s="17"/>
      <c r="M71" s="17"/>
      <c r="N71" s="17"/>
      <c r="O71" s="17"/>
      <c r="P71" s="18"/>
      <c r="Q71" s="16" t="s">
        <v>83</v>
      </c>
      <c r="R71" s="18" t="s">
        <v>2292</v>
      </c>
    </row>
    <row r="72" spans="1:18" ht="16.5" customHeight="1">
      <c r="A72" s="10">
        <v>71</v>
      </c>
      <c r="B72" s="10">
        <v>24</v>
      </c>
      <c r="C72" s="10">
        <v>35</v>
      </c>
      <c r="D72" s="11" t="s">
        <v>2293</v>
      </c>
      <c r="E72" s="12" t="s">
        <v>1077</v>
      </c>
      <c r="F72" s="11" t="s">
        <v>2294</v>
      </c>
      <c r="G72" s="10"/>
      <c r="H72" s="13" t="s">
        <v>1082</v>
      </c>
      <c r="I72" s="14" t="s">
        <v>2295</v>
      </c>
      <c r="J72" s="15" t="s">
        <v>2296</v>
      </c>
      <c r="K72" s="16" t="s">
        <v>82</v>
      </c>
      <c r="L72" s="17"/>
      <c r="M72" s="17"/>
      <c r="N72" s="17"/>
      <c r="O72" s="17"/>
      <c r="P72" s="18"/>
      <c r="Q72" s="16" t="s">
        <v>83</v>
      </c>
      <c r="R72" s="18"/>
    </row>
    <row r="73" spans="1:18" ht="16.5" customHeight="1">
      <c r="A73" s="10">
        <v>72</v>
      </c>
      <c r="B73" s="10">
        <v>24</v>
      </c>
      <c r="C73" s="10">
        <v>36</v>
      </c>
      <c r="D73" s="11" t="s">
        <v>1077</v>
      </c>
      <c r="E73" s="19" t="s">
        <v>2294</v>
      </c>
      <c r="F73" s="11" t="s">
        <v>2297</v>
      </c>
      <c r="G73" s="10" t="s">
        <v>2298</v>
      </c>
      <c r="H73" s="13" t="s">
        <v>2299</v>
      </c>
      <c r="I73" s="14" t="s">
        <v>2300</v>
      </c>
      <c r="J73" s="15" t="s">
        <v>2301</v>
      </c>
      <c r="K73" s="16" t="s">
        <v>82</v>
      </c>
      <c r="L73" s="17"/>
      <c r="M73" s="17"/>
      <c r="N73" s="17"/>
      <c r="O73" s="17"/>
      <c r="P73" s="18"/>
      <c r="Q73" s="16" t="s">
        <v>83</v>
      </c>
      <c r="R73" s="18"/>
    </row>
    <row r="74" spans="1:18" ht="16.5" customHeight="1">
      <c r="A74" s="10">
        <v>73</v>
      </c>
      <c r="B74" s="10">
        <v>24</v>
      </c>
      <c r="C74" s="10">
        <v>37</v>
      </c>
      <c r="D74" s="11" t="s">
        <v>2294</v>
      </c>
      <c r="E74" s="12" t="s">
        <v>2297</v>
      </c>
      <c r="F74" s="11" t="s">
        <v>2302</v>
      </c>
      <c r="G74" s="10"/>
      <c r="H74" s="13" t="s">
        <v>2303</v>
      </c>
      <c r="I74" s="14" t="s">
        <v>2304</v>
      </c>
      <c r="J74" s="15" t="s">
        <v>2305</v>
      </c>
      <c r="K74" s="16" t="s">
        <v>82</v>
      </c>
      <c r="L74" s="17"/>
      <c r="M74" s="17"/>
      <c r="N74" s="17"/>
      <c r="O74" s="17"/>
      <c r="P74" s="18"/>
      <c r="Q74" s="16" t="s">
        <v>83</v>
      </c>
      <c r="R74" s="18"/>
    </row>
    <row r="75" spans="1:18" ht="16.5" customHeight="1">
      <c r="A75" s="10">
        <v>74</v>
      </c>
      <c r="B75" s="10">
        <v>24</v>
      </c>
      <c r="C75" s="10">
        <v>39</v>
      </c>
      <c r="D75" s="11" t="s">
        <v>2302</v>
      </c>
      <c r="E75" s="12" t="s">
        <v>2306</v>
      </c>
      <c r="F75" s="11" t="s">
        <v>2307</v>
      </c>
      <c r="G75" s="10"/>
      <c r="H75" s="13" t="s">
        <v>2308</v>
      </c>
      <c r="I75" s="14" t="s">
        <v>2309</v>
      </c>
      <c r="J75" s="15" t="s">
        <v>2310</v>
      </c>
      <c r="K75" s="16" t="s">
        <v>82</v>
      </c>
      <c r="L75" s="17"/>
      <c r="M75" s="17"/>
      <c r="N75" s="17"/>
      <c r="O75" s="17"/>
      <c r="P75" s="18"/>
      <c r="Q75" s="16" t="s">
        <v>83</v>
      </c>
      <c r="R75" s="18"/>
    </row>
    <row r="76" spans="1:18" ht="16.5" customHeight="1">
      <c r="A76" s="10">
        <v>75</v>
      </c>
      <c r="B76" s="10">
        <v>24</v>
      </c>
      <c r="C76" s="10">
        <v>40</v>
      </c>
      <c r="D76" s="11" t="s">
        <v>2306</v>
      </c>
      <c r="E76" s="19" t="s">
        <v>2307</v>
      </c>
      <c r="F76" s="11" t="s">
        <v>2311</v>
      </c>
      <c r="G76" s="10" t="s">
        <v>774</v>
      </c>
      <c r="H76" s="13" t="s">
        <v>2312</v>
      </c>
      <c r="I76" s="14" t="s">
        <v>2313</v>
      </c>
      <c r="J76" s="15" t="s">
        <v>2314</v>
      </c>
      <c r="K76" s="16" t="s">
        <v>89</v>
      </c>
      <c r="L76" s="17" t="s">
        <v>128</v>
      </c>
      <c r="M76" s="17" t="s">
        <v>447</v>
      </c>
      <c r="N76" s="17" t="s">
        <v>2315</v>
      </c>
      <c r="O76" s="17" t="s">
        <v>2316</v>
      </c>
      <c r="P76" s="18" t="s">
        <v>2317</v>
      </c>
      <c r="Q76" s="16" t="s">
        <v>83</v>
      </c>
      <c r="R76" s="18"/>
    </row>
    <row r="77" spans="1:18" ht="16.5" customHeight="1">
      <c r="A77" s="10">
        <v>76</v>
      </c>
      <c r="B77" s="10">
        <v>24</v>
      </c>
      <c r="C77" s="10">
        <v>41</v>
      </c>
      <c r="D77" s="11" t="s">
        <v>2307</v>
      </c>
      <c r="E77" s="12" t="s">
        <v>2311</v>
      </c>
      <c r="F77" s="11" t="s">
        <v>2318</v>
      </c>
      <c r="G77" s="10"/>
      <c r="H77" s="13" t="s">
        <v>2319</v>
      </c>
      <c r="I77" s="14" t="s">
        <v>2320</v>
      </c>
      <c r="J77" s="15" t="s">
        <v>2321</v>
      </c>
      <c r="K77" s="16" t="s">
        <v>82</v>
      </c>
      <c r="L77" s="17"/>
      <c r="M77" s="17"/>
      <c r="N77" s="17"/>
      <c r="O77" s="17"/>
      <c r="P77" s="18"/>
      <c r="Q77" s="16" t="s">
        <v>83</v>
      </c>
      <c r="R77" s="18"/>
    </row>
    <row r="78" spans="1:18" ht="16.5" customHeight="1">
      <c r="A78" s="10">
        <v>77</v>
      </c>
      <c r="B78" s="10">
        <v>24</v>
      </c>
      <c r="C78" s="10">
        <v>42</v>
      </c>
      <c r="D78" s="11" t="s">
        <v>2311</v>
      </c>
      <c r="E78" s="19" t="s">
        <v>2318</v>
      </c>
      <c r="F78" s="11" t="s">
        <v>2322</v>
      </c>
      <c r="G78" s="10" t="s">
        <v>106</v>
      </c>
      <c r="H78" s="13" t="s">
        <v>2323</v>
      </c>
      <c r="I78" s="14" t="s">
        <v>2324</v>
      </c>
      <c r="J78" s="15" t="s">
        <v>2325</v>
      </c>
      <c r="K78" s="16" t="s">
        <v>82</v>
      </c>
      <c r="L78" s="17"/>
      <c r="M78" s="17"/>
      <c r="N78" s="17"/>
      <c r="O78" s="17"/>
      <c r="P78" s="18"/>
      <c r="Q78" s="16" t="s">
        <v>83</v>
      </c>
      <c r="R78" s="18"/>
    </row>
    <row r="79" spans="1:18" ht="16.5" customHeight="1">
      <c r="A79" s="10">
        <v>78</v>
      </c>
      <c r="B79" s="10">
        <v>24</v>
      </c>
      <c r="C79" s="10">
        <v>43</v>
      </c>
      <c r="D79" s="11" t="s">
        <v>2318</v>
      </c>
      <c r="E79" s="12" t="s">
        <v>2322</v>
      </c>
      <c r="F79" s="11" t="s">
        <v>2326</v>
      </c>
      <c r="G79" s="10"/>
      <c r="H79" s="13" t="s">
        <v>2327</v>
      </c>
      <c r="I79" s="14" t="s">
        <v>2328</v>
      </c>
      <c r="J79" s="15" t="s">
        <v>2329</v>
      </c>
      <c r="K79" s="16" t="s">
        <v>82</v>
      </c>
      <c r="L79" s="17"/>
      <c r="M79" s="17"/>
      <c r="N79" s="17"/>
      <c r="O79" s="17"/>
      <c r="P79" s="18"/>
      <c r="Q79" s="16" t="s">
        <v>83</v>
      </c>
      <c r="R79" s="18"/>
    </row>
    <row r="80" spans="1:18" ht="26.25" customHeight="1">
      <c r="A80" s="10">
        <v>79</v>
      </c>
      <c r="B80" s="10">
        <v>24</v>
      </c>
      <c r="C80" s="10">
        <v>44</v>
      </c>
      <c r="D80" s="11" t="s">
        <v>2322</v>
      </c>
      <c r="E80" s="19" t="s">
        <v>2326</v>
      </c>
      <c r="F80" s="11" t="s">
        <v>2330</v>
      </c>
      <c r="G80" s="10" t="s">
        <v>774</v>
      </c>
      <c r="H80" s="13" t="s">
        <v>2331</v>
      </c>
      <c r="I80" s="14" t="s">
        <v>2332</v>
      </c>
      <c r="J80" s="15" t="s">
        <v>2333</v>
      </c>
      <c r="K80" s="16" t="s">
        <v>89</v>
      </c>
      <c r="L80" s="17" t="s">
        <v>128</v>
      </c>
      <c r="M80" s="17" t="s">
        <v>447</v>
      </c>
      <c r="N80" s="17" t="s">
        <v>2334</v>
      </c>
      <c r="O80" s="17" t="s">
        <v>2335</v>
      </c>
      <c r="P80" s="18" t="s">
        <v>2336</v>
      </c>
      <c r="Q80" s="16" t="s">
        <v>113</v>
      </c>
      <c r="R80" s="18"/>
    </row>
    <row r="81" spans="1:18" ht="16.5" customHeight="1">
      <c r="A81" s="10">
        <v>80</v>
      </c>
      <c r="B81" s="10">
        <v>24</v>
      </c>
      <c r="C81" s="10">
        <v>45</v>
      </c>
      <c r="D81" s="11" t="s">
        <v>2326</v>
      </c>
      <c r="E81" s="12" t="s">
        <v>2330</v>
      </c>
      <c r="F81" s="11" t="s">
        <v>2337</v>
      </c>
      <c r="G81" s="10"/>
      <c r="H81" s="13" t="s">
        <v>2338</v>
      </c>
      <c r="I81" s="14" t="s">
        <v>2339</v>
      </c>
      <c r="J81" s="15" t="s">
        <v>2340</v>
      </c>
      <c r="K81" s="16" t="s">
        <v>82</v>
      </c>
      <c r="L81" s="17"/>
      <c r="M81" s="17"/>
      <c r="N81" s="17"/>
      <c r="O81" s="17"/>
      <c r="P81" s="18"/>
      <c r="Q81" s="16" t="s">
        <v>83</v>
      </c>
      <c r="R81" s="18"/>
    </row>
    <row r="82" spans="1:18" ht="16.5" customHeight="1">
      <c r="A82" s="10">
        <v>81</v>
      </c>
      <c r="B82" s="10">
        <v>24</v>
      </c>
      <c r="C82" s="10">
        <v>47</v>
      </c>
      <c r="D82" s="11" t="s">
        <v>2337</v>
      </c>
      <c r="E82" s="12" t="s">
        <v>2341</v>
      </c>
      <c r="F82" s="11" t="s">
        <v>2342</v>
      </c>
      <c r="G82" s="10"/>
      <c r="H82" s="13" t="s">
        <v>2343</v>
      </c>
      <c r="I82" s="14" t="s">
        <v>2344</v>
      </c>
      <c r="J82" s="15" t="s">
        <v>2345</v>
      </c>
      <c r="K82" s="16" t="s">
        <v>82</v>
      </c>
      <c r="L82" s="17"/>
      <c r="M82" s="17"/>
      <c r="N82" s="17"/>
      <c r="O82" s="17"/>
      <c r="P82" s="18"/>
      <c r="Q82" s="16" t="s">
        <v>83</v>
      </c>
      <c r="R82" s="18"/>
    </row>
    <row r="83" spans="1:18" ht="26.25" customHeight="1">
      <c r="A83" s="10">
        <v>82</v>
      </c>
      <c r="B83" s="10">
        <v>24</v>
      </c>
      <c r="C83" s="10">
        <v>48</v>
      </c>
      <c r="D83" s="11" t="s">
        <v>2341</v>
      </c>
      <c r="E83" s="19" t="s">
        <v>2342</v>
      </c>
      <c r="F83" s="11" t="s">
        <v>2346</v>
      </c>
      <c r="G83" s="10" t="s">
        <v>774</v>
      </c>
      <c r="H83" s="13" t="s">
        <v>2347</v>
      </c>
      <c r="I83" s="14" t="s">
        <v>2348</v>
      </c>
      <c r="J83" s="15" t="s">
        <v>2349</v>
      </c>
      <c r="K83" s="16" t="s">
        <v>82</v>
      </c>
      <c r="L83" s="17"/>
      <c r="M83" s="17"/>
      <c r="N83" s="17"/>
      <c r="O83" s="17"/>
      <c r="P83" s="18"/>
      <c r="Q83" s="16" t="s">
        <v>83</v>
      </c>
      <c r="R83" s="18"/>
    </row>
    <row r="84" spans="1:18" ht="16.5" customHeight="1">
      <c r="A84" s="10">
        <v>83</v>
      </c>
      <c r="B84" s="10">
        <v>24</v>
      </c>
      <c r="C84" s="10">
        <v>49</v>
      </c>
      <c r="D84" s="11" t="s">
        <v>2342</v>
      </c>
      <c r="E84" s="12" t="s">
        <v>2346</v>
      </c>
      <c r="F84" s="11" t="s">
        <v>2350</v>
      </c>
      <c r="G84" s="10"/>
      <c r="H84" s="13" t="s">
        <v>2351</v>
      </c>
      <c r="I84" s="14" t="s">
        <v>2352</v>
      </c>
      <c r="J84" s="15" t="s">
        <v>2353</v>
      </c>
      <c r="K84" s="16" t="s">
        <v>82</v>
      </c>
      <c r="L84" s="17"/>
      <c r="M84" s="17"/>
      <c r="N84" s="17"/>
      <c r="O84" s="17"/>
      <c r="P84" s="18"/>
      <c r="Q84" s="16" t="s">
        <v>83</v>
      </c>
      <c r="R84" s="18" t="s">
        <v>2354</v>
      </c>
    </row>
    <row r="85" spans="1:18" ht="16.5" customHeight="1">
      <c r="A85" s="10">
        <v>84</v>
      </c>
      <c r="B85" s="10">
        <v>25</v>
      </c>
      <c r="C85" s="10">
        <v>19</v>
      </c>
      <c r="D85" s="11" t="s">
        <v>2355</v>
      </c>
      <c r="E85" s="12" t="s">
        <v>2356</v>
      </c>
      <c r="F85" s="11" t="s">
        <v>2357</v>
      </c>
      <c r="G85" s="10"/>
      <c r="H85" s="13" t="s">
        <v>2358</v>
      </c>
      <c r="I85" s="14" t="s">
        <v>2359</v>
      </c>
      <c r="J85" s="15" t="s">
        <v>2360</v>
      </c>
      <c r="K85" s="16" t="s">
        <v>82</v>
      </c>
      <c r="L85" s="17"/>
      <c r="M85" s="17"/>
      <c r="N85" s="17"/>
      <c r="O85" s="17"/>
      <c r="P85" s="18"/>
      <c r="Q85" s="16" t="s">
        <v>83</v>
      </c>
      <c r="R85" s="18"/>
    </row>
    <row r="86" spans="1:18" ht="16.5" customHeight="1">
      <c r="A86" s="10">
        <v>85</v>
      </c>
      <c r="B86" s="10">
        <v>25</v>
      </c>
      <c r="C86" s="10">
        <v>20</v>
      </c>
      <c r="D86" s="11" t="s">
        <v>2356</v>
      </c>
      <c r="E86" s="19" t="s">
        <v>2357</v>
      </c>
      <c r="F86" s="11" t="s">
        <v>2361</v>
      </c>
      <c r="G86" s="10" t="s">
        <v>633</v>
      </c>
      <c r="H86" s="13" t="s">
        <v>634</v>
      </c>
      <c r="I86" s="14" t="s">
        <v>2362</v>
      </c>
      <c r="J86" s="15" t="s">
        <v>2363</v>
      </c>
      <c r="K86" s="16" t="s">
        <v>89</v>
      </c>
      <c r="L86" s="17" t="s">
        <v>368</v>
      </c>
      <c r="M86" s="17" t="s">
        <v>1145</v>
      </c>
      <c r="N86" s="17" t="s">
        <v>2364</v>
      </c>
      <c r="O86" s="17" t="s">
        <v>2365</v>
      </c>
      <c r="P86" s="18" t="s">
        <v>2366</v>
      </c>
      <c r="Q86" s="16" t="s">
        <v>83</v>
      </c>
      <c r="R86" s="18"/>
    </row>
    <row r="87" spans="1:18" ht="16.5" customHeight="1">
      <c r="A87" s="10">
        <v>86</v>
      </c>
      <c r="B87" s="10">
        <v>25</v>
      </c>
      <c r="C87" s="10">
        <v>21</v>
      </c>
      <c r="D87" s="11" t="s">
        <v>2357</v>
      </c>
      <c r="E87" s="12" t="s">
        <v>2361</v>
      </c>
      <c r="F87" s="11" t="s">
        <v>2367</v>
      </c>
      <c r="G87" s="10"/>
      <c r="H87" s="13" t="s">
        <v>2368</v>
      </c>
      <c r="I87" s="14" t="s">
        <v>2369</v>
      </c>
      <c r="J87" s="15" t="s">
        <v>2370</v>
      </c>
      <c r="K87" s="16" t="s">
        <v>82</v>
      </c>
      <c r="L87" s="17"/>
      <c r="M87" s="17"/>
      <c r="N87" s="17"/>
      <c r="O87" s="17"/>
      <c r="P87" s="18"/>
      <c r="Q87" s="16" t="s">
        <v>83</v>
      </c>
      <c r="R87" s="18"/>
    </row>
    <row r="88" spans="1:18" ht="16.5" customHeight="1">
      <c r="A88" s="10">
        <v>87</v>
      </c>
      <c r="B88" s="10">
        <v>27</v>
      </c>
      <c r="C88" s="10">
        <v>60</v>
      </c>
      <c r="D88" s="11" t="s">
        <v>2371</v>
      </c>
      <c r="E88" s="12" t="s">
        <v>2372</v>
      </c>
      <c r="F88" s="11" t="s">
        <v>2373</v>
      </c>
      <c r="G88" s="10"/>
      <c r="H88" s="13" t="s">
        <v>2374</v>
      </c>
      <c r="I88" s="14" t="s">
        <v>2375</v>
      </c>
      <c r="J88" s="15" t="s">
        <v>2376</v>
      </c>
      <c r="K88" s="16" t="s">
        <v>82</v>
      </c>
      <c r="L88" s="17"/>
      <c r="M88" s="17"/>
      <c r="N88" s="17"/>
      <c r="O88" s="17"/>
      <c r="P88" s="18"/>
      <c r="Q88" s="16" t="s">
        <v>83</v>
      </c>
      <c r="R88" s="18"/>
    </row>
    <row r="89" spans="1:18" ht="16.5" customHeight="1">
      <c r="A89" s="10">
        <v>88</v>
      </c>
      <c r="B89" s="10">
        <v>27</v>
      </c>
      <c r="C89" s="10">
        <v>61</v>
      </c>
      <c r="D89" s="11" t="s">
        <v>2372</v>
      </c>
      <c r="E89" s="19" t="s">
        <v>2373</v>
      </c>
      <c r="F89" s="11" t="s">
        <v>2377</v>
      </c>
      <c r="G89" s="10" t="s">
        <v>397</v>
      </c>
      <c r="H89" s="13" t="s">
        <v>2378</v>
      </c>
      <c r="I89" s="14" t="s">
        <v>2379</v>
      </c>
      <c r="J89" s="15" t="s">
        <v>2380</v>
      </c>
      <c r="K89" s="16" t="s">
        <v>82</v>
      </c>
      <c r="L89" s="17"/>
      <c r="M89" s="17"/>
      <c r="N89" s="17"/>
      <c r="O89" s="17"/>
      <c r="P89" s="18"/>
      <c r="Q89" s="16" t="s">
        <v>83</v>
      </c>
      <c r="R89" s="18"/>
    </row>
    <row r="90" spans="1:18" ht="16.5" customHeight="1">
      <c r="A90" s="10">
        <v>89</v>
      </c>
      <c r="B90" s="10">
        <v>27</v>
      </c>
      <c r="C90" s="10">
        <v>62</v>
      </c>
      <c r="D90" s="11" t="s">
        <v>2373</v>
      </c>
      <c r="E90" s="12" t="s">
        <v>2377</v>
      </c>
      <c r="F90" s="11" t="s">
        <v>2381</v>
      </c>
      <c r="G90" s="10"/>
      <c r="H90" s="13" t="s">
        <v>2382</v>
      </c>
      <c r="I90" s="14" t="s">
        <v>2383</v>
      </c>
      <c r="J90" s="15" t="s">
        <v>2384</v>
      </c>
      <c r="K90" s="16" t="s">
        <v>82</v>
      </c>
      <c r="L90" s="17"/>
      <c r="M90" s="17"/>
      <c r="N90" s="17"/>
      <c r="O90" s="17"/>
      <c r="P90" s="18"/>
      <c r="Q90" s="16" t="s">
        <v>83</v>
      </c>
      <c r="R90" s="18"/>
    </row>
    <row r="91" spans="1:18" ht="16.5" customHeight="1">
      <c r="A91" s="10">
        <v>90</v>
      </c>
      <c r="B91" s="10">
        <v>27</v>
      </c>
      <c r="C91" s="10">
        <v>90</v>
      </c>
      <c r="D91" s="11" t="s">
        <v>2385</v>
      </c>
      <c r="E91" s="12" t="s">
        <v>2386</v>
      </c>
      <c r="F91" s="11" t="s">
        <v>2387</v>
      </c>
      <c r="G91" s="10"/>
      <c r="H91" s="13" t="s">
        <v>2388</v>
      </c>
      <c r="I91" s="14" t="s">
        <v>2389</v>
      </c>
      <c r="J91" s="15" t="s">
        <v>2390</v>
      </c>
      <c r="K91" s="16" t="s">
        <v>82</v>
      </c>
      <c r="L91" s="17"/>
      <c r="M91" s="17"/>
      <c r="N91" s="17"/>
      <c r="O91" s="17"/>
      <c r="P91" s="18"/>
      <c r="Q91" s="16" t="s">
        <v>83</v>
      </c>
      <c r="R91" s="18"/>
    </row>
    <row r="92" spans="1:18" ht="16.5" customHeight="1">
      <c r="A92" s="10">
        <v>91</v>
      </c>
      <c r="B92" s="10">
        <v>27</v>
      </c>
      <c r="C92" s="10">
        <v>91</v>
      </c>
      <c r="D92" s="11" t="s">
        <v>2386</v>
      </c>
      <c r="E92" s="19" t="s">
        <v>2387</v>
      </c>
      <c r="F92" s="11" t="s">
        <v>2391</v>
      </c>
      <c r="G92" s="10" t="s">
        <v>1209</v>
      </c>
      <c r="H92" s="13" t="s">
        <v>2392</v>
      </c>
      <c r="I92" s="14" t="s">
        <v>2393</v>
      </c>
      <c r="J92" s="15" t="s">
        <v>2394</v>
      </c>
      <c r="K92" s="16" t="s">
        <v>82</v>
      </c>
      <c r="L92" s="17"/>
      <c r="M92" s="17"/>
      <c r="N92" s="17"/>
      <c r="O92" s="17"/>
      <c r="P92" s="18"/>
      <c r="Q92" s="16" t="s">
        <v>83</v>
      </c>
      <c r="R92" s="18"/>
    </row>
    <row r="93" spans="1:18" ht="16.5" customHeight="1">
      <c r="A93" s="10">
        <v>92</v>
      </c>
      <c r="B93" s="10">
        <v>27</v>
      </c>
      <c r="C93" s="10">
        <v>92</v>
      </c>
      <c r="D93" s="11" t="s">
        <v>2387</v>
      </c>
      <c r="E93" s="12" t="s">
        <v>2391</v>
      </c>
      <c r="F93" s="11" t="s">
        <v>2395</v>
      </c>
      <c r="G93" s="10"/>
      <c r="H93" s="13" t="s">
        <v>2396</v>
      </c>
      <c r="I93" s="14" t="s">
        <v>2397</v>
      </c>
      <c r="J93" s="15" t="s">
        <v>2398</v>
      </c>
      <c r="K93" s="16" t="s">
        <v>82</v>
      </c>
      <c r="L93" s="17"/>
      <c r="M93" s="17"/>
      <c r="N93" s="17"/>
      <c r="O93" s="17"/>
      <c r="P93" s="18"/>
      <c r="Q93" s="16" t="s">
        <v>83</v>
      </c>
      <c r="R93" s="18"/>
    </row>
    <row r="94" spans="1:18" ht="16.5" customHeight="1">
      <c r="A94" s="10">
        <v>93</v>
      </c>
      <c r="B94" s="10">
        <v>27</v>
      </c>
      <c r="C94" s="10">
        <v>100</v>
      </c>
      <c r="D94" s="11" t="s">
        <v>2399</v>
      </c>
      <c r="E94" s="12" t="s">
        <v>2400</v>
      </c>
      <c r="F94" s="11" t="s">
        <v>2401</v>
      </c>
      <c r="G94" s="10"/>
      <c r="H94" s="13" t="s">
        <v>2402</v>
      </c>
      <c r="I94" s="14" t="s">
        <v>2403</v>
      </c>
      <c r="J94" s="15" t="s">
        <v>2404</v>
      </c>
      <c r="K94" s="16" t="s">
        <v>82</v>
      </c>
      <c r="L94" s="17"/>
      <c r="M94" s="17"/>
      <c r="N94" s="17"/>
      <c r="O94" s="17"/>
      <c r="P94" s="18"/>
      <c r="Q94" s="16" t="s">
        <v>83</v>
      </c>
      <c r="R94" s="18"/>
    </row>
    <row r="95" spans="1:18" ht="16.5" customHeight="1">
      <c r="A95" s="10">
        <v>94</v>
      </c>
      <c r="B95" s="10">
        <v>27</v>
      </c>
      <c r="C95" s="10">
        <v>101</v>
      </c>
      <c r="D95" s="11" t="s">
        <v>2400</v>
      </c>
      <c r="E95" s="19" t="s">
        <v>2401</v>
      </c>
      <c r="F95" s="11" t="s">
        <v>2405</v>
      </c>
      <c r="G95" s="10" t="s">
        <v>1209</v>
      </c>
      <c r="H95" s="13" t="s">
        <v>2406</v>
      </c>
      <c r="I95" s="14" t="s">
        <v>2407</v>
      </c>
      <c r="J95" s="15" t="s">
        <v>2408</v>
      </c>
      <c r="K95" s="16" t="s">
        <v>82</v>
      </c>
      <c r="L95" s="17"/>
      <c r="M95" s="17"/>
      <c r="N95" s="17"/>
      <c r="O95" s="17"/>
      <c r="P95" s="18"/>
      <c r="Q95" s="16" t="s">
        <v>83</v>
      </c>
      <c r="R95" s="18"/>
    </row>
    <row r="96" spans="1:18" ht="16.5" customHeight="1">
      <c r="A96" s="10">
        <v>95</v>
      </c>
      <c r="B96" s="10">
        <v>27</v>
      </c>
      <c r="C96" s="10">
        <v>102</v>
      </c>
      <c r="D96" s="11" t="s">
        <v>2401</v>
      </c>
      <c r="E96" s="12" t="s">
        <v>2405</v>
      </c>
      <c r="F96" s="11" t="s">
        <v>2409</v>
      </c>
      <c r="G96" s="10"/>
      <c r="H96" s="13" t="s">
        <v>2410</v>
      </c>
      <c r="I96" s="14" t="s">
        <v>2411</v>
      </c>
      <c r="J96" s="15" t="s">
        <v>2412</v>
      </c>
      <c r="K96" s="16" t="s">
        <v>82</v>
      </c>
      <c r="L96" s="17"/>
      <c r="M96" s="17"/>
      <c r="N96" s="17"/>
      <c r="O96" s="17"/>
      <c r="P96" s="18"/>
      <c r="Q96" s="16" t="s">
        <v>83</v>
      </c>
      <c r="R96" s="18"/>
    </row>
    <row r="97" spans="1:18" ht="16.5" customHeight="1">
      <c r="A97" s="10">
        <v>96</v>
      </c>
      <c r="B97" s="10">
        <v>27</v>
      </c>
      <c r="C97" s="10">
        <v>106</v>
      </c>
      <c r="D97" s="11" t="s">
        <v>2413</v>
      </c>
      <c r="E97" s="12" t="s">
        <v>2414</v>
      </c>
      <c r="F97" s="11" t="s">
        <v>2415</v>
      </c>
      <c r="G97" s="10"/>
      <c r="H97" s="13" t="s">
        <v>2416</v>
      </c>
      <c r="I97" s="14" t="s">
        <v>2417</v>
      </c>
      <c r="J97" s="15" t="s">
        <v>2418</v>
      </c>
      <c r="K97" s="16" t="s">
        <v>82</v>
      </c>
      <c r="L97" s="17"/>
      <c r="M97" s="17"/>
      <c r="N97" s="17"/>
      <c r="O97" s="17"/>
      <c r="P97" s="18"/>
      <c r="Q97" s="16" t="s">
        <v>83</v>
      </c>
      <c r="R97" s="18"/>
    </row>
    <row r="98" spans="1:18" ht="16.5" customHeight="1">
      <c r="A98" s="10">
        <v>97</v>
      </c>
      <c r="B98" s="10">
        <v>27</v>
      </c>
      <c r="C98" s="10">
        <v>107</v>
      </c>
      <c r="D98" s="11" t="s">
        <v>2414</v>
      </c>
      <c r="E98" s="19" t="s">
        <v>2415</v>
      </c>
      <c r="F98" s="11" t="s">
        <v>2419</v>
      </c>
      <c r="G98" s="10" t="s">
        <v>1209</v>
      </c>
      <c r="H98" s="13" t="s">
        <v>2420</v>
      </c>
      <c r="I98" s="14" t="s">
        <v>2421</v>
      </c>
      <c r="J98" s="15" t="s">
        <v>2422</v>
      </c>
      <c r="K98" s="16" t="s">
        <v>82</v>
      </c>
      <c r="L98" s="17"/>
      <c r="M98" s="17"/>
      <c r="N98" s="17"/>
      <c r="O98" s="17"/>
      <c r="P98" s="18"/>
      <c r="Q98" s="16" t="s">
        <v>83</v>
      </c>
      <c r="R98" s="18"/>
    </row>
    <row r="99" spans="1:18" ht="16.5" customHeight="1">
      <c r="A99" s="10">
        <v>98</v>
      </c>
      <c r="B99" s="10">
        <v>27</v>
      </c>
      <c r="C99" s="10">
        <v>108</v>
      </c>
      <c r="D99" s="11" t="s">
        <v>2415</v>
      </c>
      <c r="E99" s="12" t="s">
        <v>2419</v>
      </c>
      <c r="F99" s="11" t="s">
        <v>2423</v>
      </c>
      <c r="G99" s="10"/>
      <c r="H99" s="13" t="s">
        <v>2424</v>
      </c>
      <c r="I99" s="14" t="s">
        <v>2425</v>
      </c>
      <c r="J99" s="15" t="s">
        <v>2426</v>
      </c>
      <c r="K99" s="16" t="s">
        <v>82</v>
      </c>
      <c r="L99" s="17"/>
      <c r="M99" s="17"/>
      <c r="N99" s="17"/>
      <c r="O99" s="17"/>
      <c r="P99" s="18"/>
      <c r="Q99" s="16" t="s">
        <v>83</v>
      </c>
      <c r="R99" s="18"/>
    </row>
    <row r="100" spans="1:18" ht="16.5" customHeight="1">
      <c r="A100" s="10">
        <v>99</v>
      </c>
      <c r="B100" s="10">
        <v>27</v>
      </c>
      <c r="C100" s="10">
        <v>110</v>
      </c>
      <c r="D100" s="11" t="s">
        <v>2423</v>
      </c>
      <c r="E100" s="12" t="s">
        <v>2427</v>
      </c>
      <c r="F100" s="11" t="s">
        <v>2428</v>
      </c>
      <c r="G100" s="10"/>
      <c r="H100" s="13" t="s">
        <v>2429</v>
      </c>
      <c r="I100" s="14" t="s">
        <v>2430</v>
      </c>
      <c r="J100" s="15" t="s">
        <v>2431</v>
      </c>
      <c r="K100" s="16" t="s">
        <v>82</v>
      </c>
      <c r="L100" s="17"/>
      <c r="M100" s="17"/>
      <c r="N100" s="17"/>
      <c r="O100" s="17"/>
      <c r="P100" s="18"/>
      <c r="Q100" s="16" t="s">
        <v>83</v>
      </c>
      <c r="R100" s="18"/>
    </row>
    <row r="101" spans="1:18" ht="16.5" customHeight="1">
      <c r="A101" s="10">
        <v>100</v>
      </c>
      <c r="B101" s="10">
        <v>27</v>
      </c>
      <c r="C101" s="10">
        <v>111</v>
      </c>
      <c r="D101" s="11" t="s">
        <v>2427</v>
      </c>
      <c r="E101" s="19" t="s">
        <v>2428</v>
      </c>
      <c r="F101" s="11" t="s">
        <v>2432</v>
      </c>
      <c r="G101" s="10" t="s">
        <v>1209</v>
      </c>
      <c r="H101" s="13" t="s">
        <v>2433</v>
      </c>
      <c r="I101" s="14" t="s">
        <v>2434</v>
      </c>
      <c r="J101" s="15" t="s">
        <v>2434</v>
      </c>
      <c r="K101" s="16" t="s">
        <v>82</v>
      </c>
      <c r="L101" s="17"/>
      <c r="M101" s="17"/>
      <c r="N101" s="17"/>
      <c r="O101" s="17"/>
      <c r="P101" s="18"/>
      <c r="Q101" s="16" t="s">
        <v>83</v>
      </c>
      <c r="R101" s="18"/>
    </row>
    <row r="102" spans="1:18" ht="16.5" customHeight="1">
      <c r="A102" s="10">
        <v>101</v>
      </c>
      <c r="B102" s="10">
        <v>27</v>
      </c>
      <c r="C102" s="10">
        <v>112</v>
      </c>
      <c r="D102" s="11" t="s">
        <v>2428</v>
      </c>
      <c r="E102" s="12" t="s">
        <v>2432</v>
      </c>
      <c r="F102" s="11" t="s">
        <v>2435</v>
      </c>
      <c r="G102" s="10"/>
      <c r="H102" s="13" t="s">
        <v>2436</v>
      </c>
      <c r="I102" s="14" t="s">
        <v>2437</v>
      </c>
      <c r="J102" s="15" t="s">
        <v>2438</v>
      </c>
      <c r="K102" s="16" t="s">
        <v>82</v>
      </c>
      <c r="L102" s="17"/>
      <c r="M102" s="17"/>
      <c r="N102" s="17"/>
      <c r="O102" s="17"/>
      <c r="P102" s="18"/>
      <c r="Q102" s="16" t="s">
        <v>83</v>
      </c>
      <c r="R102" s="18"/>
    </row>
    <row r="103" spans="1:18" ht="16.5" customHeight="1">
      <c r="A103" s="10">
        <v>102</v>
      </c>
      <c r="B103" s="10">
        <v>27</v>
      </c>
      <c r="C103" s="10">
        <v>120</v>
      </c>
      <c r="D103" s="11" t="s">
        <v>2439</v>
      </c>
      <c r="E103" s="12" t="s">
        <v>2440</v>
      </c>
      <c r="F103" s="11" t="s">
        <v>2441</v>
      </c>
      <c r="G103" s="10"/>
      <c r="H103" s="13" t="s">
        <v>2442</v>
      </c>
      <c r="I103" s="14" t="s">
        <v>2443</v>
      </c>
      <c r="J103" s="15" t="s">
        <v>2443</v>
      </c>
      <c r="K103" s="16" t="s">
        <v>82</v>
      </c>
      <c r="L103" s="17"/>
      <c r="M103" s="17"/>
      <c r="N103" s="17"/>
      <c r="O103" s="17"/>
      <c r="P103" s="18"/>
      <c r="Q103" s="16" t="s">
        <v>83</v>
      </c>
      <c r="R103" s="18"/>
    </row>
    <row r="104" spans="1:18" ht="16.5" customHeight="1">
      <c r="A104" s="10">
        <v>103</v>
      </c>
      <c r="B104" s="10">
        <v>27</v>
      </c>
      <c r="C104" s="10">
        <v>121</v>
      </c>
      <c r="D104" s="11" t="s">
        <v>2440</v>
      </c>
      <c r="E104" s="19" t="s">
        <v>2441</v>
      </c>
      <c r="F104" s="11" t="s">
        <v>2444</v>
      </c>
      <c r="G104" s="10" t="s">
        <v>1957</v>
      </c>
      <c r="H104" s="13" t="s">
        <v>2445</v>
      </c>
      <c r="I104" s="14" t="s">
        <v>2446</v>
      </c>
      <c r="J104" s="15" t="s">
        <v>2447</v>
      </c>
      <c r="K104" s="16" t="s">
        <v>82</v>
      </c>
      <c r="L104" s="17"/>
      <c r="M104" s="17"/>
      <c r="N104" s="17"/>
      <c r="O104" s="17"/>
      <c r="P104" s="18"/>
      <c r="Q104" s="16" t="s">
        <v>83</v>
      </c>
      <c r="R104" s="18"/>
    </row>
    <row r="105" spans="1:18" ht="16.5" customHeight="1">
      <c r="A105" s="10">
        <v>104</v>
      </c>
      <c r="B105" s="10">
        <v>27</v>
      </c>
      <c r="C105" s="10">
        <v>122</v>
      </c>
      <c r="D105" s="11" t="s">
        <v>2441</v>
      </c>
      <c r="E105" s="12" t="s">
        <v>2444</v>
      </c>
      <c r="F105" s="11" t="s">
        <v>2448</v>
      </c>
      <c r="G105" s="10"/>
      <c r="H105" s="13" t="s">
        <v>2449</v>
      </c>
      <c r="I105" s="14" t="s">
        <v>2450</v>
      </c>
      <c r="J105" s="15" t="s">
        <v>2450</v>
      </c>
      <c r="K105" s="16" t="s">
        <v>82</v>
      </c>
      <c r="L105" s="17"/>
      <c r="M105" s="17"/>
      <c r="N105" s="17"/>
      <c r="O105" s="17"/>
      <c r="P105" s="18"/>
      <c r="Q105" s="16" t="s">
        <v>83</v>
      </c>
      <c r="R105" s="18"/>
    </row>
    <row r="106" spans="1:18" ht="16.5" customHeight="1">
      <c r="A106" s="10">
        <v>105</v>
      </c>
      <c r="B106" s="10">
        <v>27</v>
      </c>
      <c r="C106" s="10">
        <v>129</v>
      </c>
      <c r="D106" s="11" t="s">
        <v>2451</v>
      </c>
      <c r="E106" s="12" t="s">
        <v>2452</v>
      </c>
      <c r="F106" s="11" t="s">
        <v>2453</v>
      </c>
      <c r="G106" s="10"/>
      <c r="H106" s="13" t="s">
        <v>2454</v>
      </c>
      <c r="I106" s="14" t="s">
        <v>2455</v>
      </c>
      <c r="J106" s="15" t="s">
        <v>2455</v>
      </c>
      <c r="K106" s="16" t="s">
        <v>82</v>
      </c>
      <c r="L106" s="17"/>
      <c r="M106" s="17"/>
      <c r="N106" s="17"/>
      <c r="O106" s="17"/>
      <c r="P106" s="18"/>
      <c r="Q106" s="16" t="s">
        <v>83</v>
      </c>
      <c r="R106" s="18"/>
    </row>
    <row r="107" spans="1:18" ht="16.5" customHeight="1">
      <c r="A107" s="10">
        <v>106</v>
      </c>
      <c r="B107" s="10">
        <v>27</v>
      </c>
      <c r="C107" s="10">
        <v>130</v>
      </c>
      <c r="D107" s="11" t="s">
        <v>2452</v>
      </c>
      <c r="E107" s="19" t="s">
        <v>2453</v>
      </c>
      <c r="F107" s="11" t="s">
        <v>2456</v>
      </c>
      <c r="G107" s="10" t="s">
        <v>1957</v>
      </c>
      <c r="H107" s="13" t="s">
        <v>2457</v>
      </c>
      <c r="I107" s="14" t="s">
        <v>2458</v>
      </c>
      <c r="J107" s="15" t="s">
        <v>2458</v>
      </c>
      <c r="K107" s="16" t="s">
        <v>82</v>
      </c>
      <c r="L107" s="17"/>
      <c r="M107" s="17"/>
      <c r="N107" s="17"/>
      <c r="O107" s="17"/>
      <c r="P107" s="18"/>
      <c r="Q107" s="16" t="s">
        <v>83</v>
      </c>
      <c r="R107" s="18"/>
    </row>
    <row r="108" spans="1:18" ht="16.5" customHeight="1">
      <c r="A108" s="10">
        <v>107</v>
      </c>
      <c r="B108" s="10">
        <v>27</v>
      </c>
      <c r="C108" s="10">
        <v>131</v>
      </c>
      <c r="D108" s="11" t="s">
        <v>2453</v>
      </c>
      <c r="E108" s="19" t="s">
        <v>2456</v>
      </c>
      <c r="F108" s="11" t="s">
        <v>2459</v>
      </c>
      <c r="G108" s="10" t="s">
        <v>1957</v>
      </c>
      <c r="H108" s="13" t="s">
        <v>2457</v>
      </c>
      <c r="I108" s="14" t="s">
        <v>2460</v>
      </c>
      <c r="J108" s="15" t="s">
        <v>2460</v>
      </c>
      <c r="K108" s="16" t="s">
        <v>82</v>
      </c>
      <c r="L108" s="17"/>
      <c r="M108" s="17"/>
      <c r="N108" s="17"/>
      <c r="O108" s="17"/>
      <c r="P108" s="18"/>
      <c r="Q108" s="16" t="s">
        <v>83</v>
      </c>
      <c r="R108" s="18"/>
    </row>
    <row r="109" spans="1:18" ht="16.5" customHeight="1">
      <c r="A109" s="10">
        <v>108</v>
      </c>
      <c r="B109" s="10">
        <v>27</v>
      </c>
      <c r="C109" s="10">
        <v>132</v>
      </c>
      <c r="D109" s="11" t="s">
        <v>2456</v>
      </c>
      <c r="E109" s="12" t="s">
        <v>2459</v>
      </c>
      <c r="F109" s="11" t="s">
        <v>2461</v>
      </c>
      <c r="G109" s="10"/>
      <c r="H109" s="13" t="s">
        <v>2462</v>
      </c>
      <c r="I109" s="14" t="s">
        <v>2463</v>
      </c>
      <c r="J109" s="15" t="s">
        <v>2463</v>
      </c>
      <c r="K109" s="16" t="s">
        <v>82</v>
      </c>
      <c r="L109" s="17"/>
      <c r="M109" s="17"/>
      <c r="N109" s="17"/>
      <c r="O109" s="17"/>
      <c r="P109" s="18"/>
      <c r="Q109" s="16" t="s">
        <v>83</v>
      </c>
      <c r="R109" s="18"/>
    </row>
    <row r="110" spans="1:18" ht="16.5" customHeight="1">
      <c r="A110" s="10">
        <v>109</v>
      </c>
      <c r="B110" s="10">
        <v>27</v>
      </c>
      <c r="C110" s="10">
        <v>158</v>
      </c>
      <c r="D110" s="11" t="s">
        <v>2464</v>
      </c>
      <c r="E110" s="12" t="s">
        <v>2465</v>
      </c>
      <c r="F110" s="11" t="s">
        <v>2466</v>
      </c>
      <c r="G110" s="10"/>
      <c r="H110" s="13" t="s">
        <v>2467</v>
      </c>
      <c r="I110" s="14" t="s">
        <v>2468</v>
      </c>
      <c r="J110" s="15" t="s">
        <v>2469</v>
      </c>
      <c r="K110" s="16" t="s">
        <v>82</v>
      </c>
      <c r="L110" s="17"/>
      <c r="M110" s="17"/>
      <c r="N110" s="17"/>
      <c r="O110" s="17"/>
      <c r="P110" s="18"/>
      <c r="Q110" s="16" t="s">
        <v>83</v>
      </c>
      <c r="R110" s="18"/>
    </row>
    <row r="111" spans="1:18" ht="16.5" customHeight="1">
      <c r="A111" s="10">
        <v>110</v>
      </c>
      <c r="B111" s="10">
        <v>27</v>
      </c>
      <c r="C111" s="10">
        <v>159</v>
      </c>
      <c r="D111" s="11" t="s">
        <v>2465</v>
      </c>
      <c r="E111" s="19" t="s">
        <v>2466</v>
      </c>
      <c r="F111" s="11" t="s">
        <v>2470</v>
      </c>
      <c r="G111" s="10" t="s">
        <v>1209</v>
      </c>
      <c r="H111" s="13" t="s">
        <v>2471</v>
      </c>
      <c r="I111" s="14" t="s">
        <v>2472</v>
      </c>
      <c r="J111" s="15" t="s">
        <v>2472</v>
      </c>
      <c r="K111" s="16" t="s">
        <v>82</v>
      </c>
      <c r="L111" s="17"/>
      <c r="M111" s="17"/>
      <c r="N111" s="17"/>
      <c r="O111" s="17"/>
      <c r="P111" s="18"/>
      <c r="Q111" s="16" t="s">
        <v>83</v>
      </c>
      <c r="R111" s="18"/>
    </row>
    <row r="112" spans="1:18" ht="16.5" customHeight="1">
      <c r="A112" s="10">
        <v>111</v>
      </c>
      <c r="B112" s="10">
        <v>27</v>
      </c>
      <c r="C112" s="10">
        <v>160</v>
      </c>
      <c r="D112" s="11" t="s">
        <v>2466</v>
      </c>
      <c r="E112" s="12" t="s">
        <v>2470</v>
      </c>
      <c r="F112" s="11" t="s">
        <v>2473</v>
      </c>
      <c r="G112" s="10"/>
      <c r="H112" s="13" t="s">
        <v>2474</v>
      </c>
      <c r="I112" s="14" t="s">
        <v>2475</v>
      </c>
      <c r="J112" s="15" t="s">
        <v>2475</v>
      </c>
      <c r="K112" s="16" t="s">
        <v>82</v>
      </c>
      <c r="L112" s="17"/>
      <c r="M112" s="17"/>
      <c r="N112" s="17"/>
      <c r="O112" s="17"/>
      <c r="P112" s="18"/>
      <c r="Q112" s="16" t="s">
        <v>83</v>
      </c>
      <c r="R112" s="18"/>
    </row>
    <row r="113" spans="1:18" ht="16.5" customHeight="1">
      <c r="A113" s="10">
        <v>112</v>
      </c>
      <c r="B113" s="10">
        <v>27</v>
      </c>
      <c r="C113" s="10">
        <v>164</v>
      </c>
      <c r="D113" s="11" t="s">
        <v>2476</v>
      </c>
      <c r="E113" s="12" t="s">
        <v>2477</v>
      </c>
      <c r="F113" s="11" t="s">
        <v>2478</v>
      </c>
      <c r="G113" s="10"/>
      <c r="H113" s="13" t="s">
        <v>2479</v>
      </c>
      <c r="I113" s="14" t="s">
        <v>2480</v>
      </c>
      <c r="J113" s="15" t="s">
        <v>2481</v>
      </c>
      <c r="K113" s="16" t="s">
        <v>82</v>
      </c>
      <c r="L113" s="17"/>
      <c r="M113" s="17"/>
      <c r="N113" s="17"/>
      <c r="O113" s="17"/>
      <c r="P113" s="18"/>
      <c r="Q113" s="16" t="s">
        <v>83</v>
      </c>
      <c r="R113" s="18"/>
    </row>
    <row r="114" spans="1:18" ht="16.5" customHeight="1">
      <c r="A114" s="10">
        <v>113</v>
      </c>
      <c r="B114" s="10">
        <v>27</v>
      </c>
      <c r="C114" s="10">
        <v>165</v>
      </c>
      <c r="D114" s="11" t="s">
        <v>2477</v>
      </c>
      <c r="E114" s="19" t="s">
        <v>2478</v>
      </c>
      <c r="F114" s="11" t="s">
        <v>2482</v>
      </c>
      <c r="G114" s="10" t="s">
        <v>397</v>
      </c>
      <c r="H114" s="13" t="s">
        <v>2483</v>
      </c>
      <c r="I114" s="14" t="s">
        <v>2484</v>
      </c>
      <c r="J114" s="15" t="s">
        <v>2484</v>
      </c>
      <c r="K114" s="16" t="s">
        <v>82</v>
      </c>
      <c r="L114" s="17"/>
      <c r="M114" s="17"/>
      <c r="N114" s="17"/>
      <c r="O114" s="17"/>
      <c r="P114" s="18"/>
      <c r="Q114" s="16" t="s">
        <v>83</v>
      </c>
      <c r="R114" s="18"/>
    </row>
    <row r="115" spans="1:18" ht="16.5" customHeight="1">
      <c r="A115" s="10">
        <v>114</v>
      </c>
      <c r="B115" s="10">
        <v>27</v>
      </c>
      <c r="C115" s="10">
        <v>166</v>
      </c>
      <c r="D115" s="11" t="s">
        <v>2478</v>
      </c>
      <c r="E115" s="12" t="s">
        <v>2482</v>
      </c>
      <c r="F115" s="11" t="s">
        <v>2485</v>
      </c>
      <c r="G115" s="10"/>
      <c r="H115" s="13" t="s">
        <v>2486</v>
      </c>
      <c r="I115" s="14" t="s">
        <v>2487</v>
      </c>
      <c r="J115" s="15" t="s">
        <v>2488</v>
      </c>
      <c r="K115" s="16" t="s">
        <v>82</v>
      </c>
      <c r="L115" s="17"/>
      <c r="M115" s="17"/>
      <c r="N115" s="17"/>
      <c r="O115" s="17"/>
      <c r="P115" s="18"/>
      <c r="Q115" s="16" t="s">
        <v>83</v>
      </c>
      <c r="R115" s="18"/>
    </row>
    <row r="116" spans="1:18" ht="26.25" customHeight="1">
      <c r="A116" s="10">
        <v>115</v>
      </c>
      <c r="B116" s="10">
        <v>29</v>
      </c>
      <c r="C116" s="10">
        <v>12</v>
      </c>
      <c r="D116" s="11" t="s">
        <v>2489</v>
      </c>
      <c r="E116" s="12" t="s">
        <v>2490</v>
      </c>
      <c r="F116" s="11" t="s">
        <v>2491</v>
      </c>
      <c r="G116" s="10"/>
      <c r="H116" s="13" t="s">
        <v>2492</v>
      </c>
      <c r="I116" s="14" t="s">
        <v>2493</v>
      </c>
      <c r="J116" s="15" t="s">
        <v>2494</v>
      </c>
      <c r="K116" s="16" t="s">
        <v>82</v>
      </c>
      <c r="L116" s="17"/>
      <c r="M116" s="17"/>
      <c r="N116" s="17"/>
      <c r="O116" s="17"/>
      <c r="P116" s="18"/>
      <c r="Q116" s="16" t="s">
        <v>83</v>
      </c>
      <c r="R116" s="18"/>
    </row>
    <row r="117" spans="1:18" ht="16.5" customHeight="1">
      <c r="A117" s="10">
        <v>116</v>
      </c>
      <c r="B117" s="10">
        <v>29</v>
      </c>
      <c r="C117" s="10">
        <v>13</v>
      </c>
      <c r="D117" s="11" t="s">
        <v>2490</v>
      </c>
      <c r="E117" s="19" t="s">
        <v>2491</v>
      </c>
      <c r="F117" s="11" t="s">
        <v>2495</v>
      </c>
      <c r="G117" s="10" t="s">
        <v>2496</v>
      </c>
      <c r="H117" s="13" t="s">
        <v>2497</v>
      </c>
      <c r="I117" s="14" t="s">
        <v>2498</v>
      </c>
      <c r="J117" s="15" t="s">
        <v>2499</v>
      </c>
      <c r="K117" s="16" t="s">
        <v>82</v>
      </c>
      <c r="L117" s="17"/>
      <c r="M117" s="17"/>
      <c r="N117" s="17"/>
      <c r="O117" s="17"/>
      <c r="P117" s="18"/>
      <c r="Q117" s="16" t="s">
        <v>83</v>
      </c>
      <c r="R117" s="18"/>
    </row>
    <row r="118" spans="1:18" ht="16.5" customHeight="1">
      <c r="A118" s="10">
        <v>117</v>
      </c>
      <c r="B118" s="10">
        <v>29</v>
      </c>
      <c r="C118" s="10">
        <v>14</v>
      </c>
      <c r="D118" s="11" t="s">
        <v>2491</v>
      </c>
      <c r="E118" s="12" t="s">
        <v>2495</v>
      </c>
      <c r="F118" s="11" t="s">
        <v>2500</v>
      </c>
      <c r="G118" s="10"/>
      <c r="H118" s="13" t="s">
        <v>2501</v>
      </c>
      <c r="I118" s="14" t="s">
        <v>2502</v>
      </c>
      <c r="J118" s="15" t="s">
        <v>2503</v>
      </c>
      <c r="K118" s="16" t="s">
        <v>82</v>
      </c>
      <c r="L118" s="17"/>
      <c r="M118" s="17"/>
      <c r="N118" s="17"/>
      <c r="O118" s="17"/>
      <c r="P118" s="18"/>
      <c r="Q118" s="16" t="s">
        <v>83</v>
      </c>
      <c r="R118" s="18"/>
    </row>
    <row r="119" spans="1:18" ht="16.5" customHeight="1">
      <c r="A119" s="10">
        <v>118</v>
      </c>
      <c r="B119" s="10">
        <v>29</v>
      </c>
      <c r="C119" s="10">
        <v>25</v>
      </c>
      <c r="D119" s="11" t="s">
        <v>284</v>
      </c>
      <c r="E119" s="12" t="s">
        <v>2504</v>
      </c>
      <c r="F119" s="11" t="s">
        <v>2505</v>
      </c>
      <c r="G119" s="10"/>
      <c r="H119" s="13" t="s">
        <v>2506</v>
      </c>
      <c r="I119" s="14" t="s">
        <v>2507</v>
      </c>
      <c r="J119" s="15" t="s">
        <v>2508</v>
      </c>
      <c r="K119" s="16" t="s">
        <v>82</v>
      </c>
      <c r="L119" s="17"/>
      <c r="M119" s="17"/>
      <c r="N119" s="17"/>
      <c r="O119" s="17"/>
      <c r="P119" s="18"/>
      <c r="Q119" s="16" t="s">
        <v>83</v>
      </c>
      <c r="R119" s="18"/>
    </row>
    <row r="120" spans="1:18" ht="16.5" customHeight="1">
      <c r="A120" s="10">
        <v>119</v>
      </c>
      <c r="B120" s="10">
        <v>29</v>
      </c>
      <c r="C120" s="10">
        <v>26</v>
      </c>
      <c r="D120" s="11" t="s">
        <v>2504</v>
      </c>
      <c r="E120" s="19" t="s">
        <v>2505</v>
      </c>
      <c r="F120" s="11" t="s">
        <v>2509</v>
      </c>
      <c r="G120" s="10" t="s">
        <v>575</v>
      </c>
      <c r="H120" s="13" t="s">
        <v>2510</v>
      </c>
      <c r="I120" s="14" t="s">
        <v>2511</v>
      </c>
      <c r="J120" s="15" t="s">
        <v>2512</v>
      </c>
      <c r="K120" s="16" t="s">
        <v>82</v>
      </c>
      <c r="L120" s="17"/>
      <c r="M120" s="17"/>
      <c r="N120" s="17"/>
      <c r="O120" s="17"/>
      <c r="P120" s="18"/>
      <c r="Q120" s="16" t="s">
        <v>83</v>
      </c>
      <c r="R120" s="18"/>
    </row>
    <row r="121" spans="1:18" ht="16.5" customHeight="1">
      <c r="A121" s="10">
        <v>120</v>
      </c>
      <c r="B121" s="10">
        <v>29</v>
      </c>
      <c r="C121" s="10">
        <v>27</v>
      </c>
      <c r="D121" s="11" t="s">
        <v>2505</v>
      </c>
      <c r="E121" s="12" t="s">
        <v>2509</v>
      </c>
      <c r="F121" s="11" t="s">
        <v>2513</v>
      </c>
      <c r="G121" s="10"/>
      <c r="H121" s="13" t="s">
        <v>2514</v>
      </c>
      <c r="I121" s="14" t="s">
        <v>2515</v>
      </c>
      <c r="J121" s="15" t="s">
        <v>2516</v>
      </c>
      <c r="K121" s="16" t="s">
        <v>82</v>
      </c>
      <c r="L121" s="17"/>
      <c r="M121" s="17"/>
      <c r="N121" s="17"/>
      <c r="O121" s="17"/>
      <c r="P121" s="18"/>
      <c r="Q121" s="16" t="s">
        <v>83</v>
      </c>
      <c r="R121" s="18"/>
    </row>
    <row r="122" spans="1:18" ht="16.5" customHeight="1">
      <c r="A122" s="10">
        <v>121</v>
      </c>
      <c r="B122" s="10">
        <v>29</v>
      </c>
      <c r="C122" s="10">
        <v>35</v>
      </c>
      <c r="D122" s="11" t="s">
        <v>2517</v>
      </c>
      <c r="E122" s="12" t="s">
        <v>2518</v>
      </c>
      <c r="F122" s="11" t="s">
        <v>2519</v>
      </c>
      <c r="G122" s="10"/>
      <c r="H122" s="13" t="s">
        <v>2520</v>
      </c>
      <c r="I122" s="14" t="s">
        <v>2521</v>
      </c>
      <c r="J122" s="15" t="s">
        <v>2522</v>
      </c>
      <c r="K122" s="16" t="s">
        <v>82</v>
      </c>
      <c r="L122" s="17"/>
      <c r="M122" s="17"/>
      <c r="N122" s="17"/>
      <c r="O122" s="17"/>
      <c r="P122" s="18"/>
      <c r="Q122" s="16" t="s">
        <v>83</v>
      </c>
      <c r="R122" s="18"/>
    </row>
    <row r="123" spans="1:18" ht="16.5" customHeight="1">
      <c r="A123" s="10">
        <v>122</v>
      </c>
      <c r="B123" s="10">
        <v>29</v>
      </c>
      <c r="C123" s="10">
        <v>36</v>
      </c>
      <c r="D123" s="11" t="s">
        <v>2518</v>
      </c>
      <c r="E123" s="19" t="s">
        <v>2519</v>
      </c>
      <c r="F123" s="11" t="s">
        <v>2523</v>
      </c>
      <c r="G123" s="10" t="s">
        <v>575</v>
      </c>
      <c r="H123" s="13" t="s">
        <v>2524</v>
      </c>
      <c r="I123" s="14" t="s">
        <v>2525</v>
      </c>
      <c r="J123" s="15" t="s">
        <v>2526</v>
      </c>
      <c r="K123" s="16" t="s">
        <v>82</v>
      </c>
      <c r="L123" s="17"/>
      <c r="M123" s="17"/>
      <c r="N123" s="17"/>
      <c r="O123" s="17"/>
      <c r="P123" s="18"/>
      <c r="Q123" s="16" t="s">
        <v>83</v>
      </c>
      <c r="R123" s="18"/>
    </row>
    <row r="124" spans="1:18" ht="16.5" customHeight="1">
      <c r="A124" s="10">
        <v>123</v>
      </c>
      <c r="B124" s="10">
        <v>29</v>
      </c>
      <c r="C124" s="10">
        <v>37</v>
      </c>
      <c r="D124" s="11" t="s">
        <v>2519</v>
      </c>
      <c r="E124" s="12" t="s">
        <v>2523</v>
      </c>
      <c r="F124" s="11" t="s">
        <v>2527</v>
      </c>
      <c r="G124" s="10"/>
      <c r="H124" s="13" t="s">
        <v>262</v>
      </c>
      <c r="I124" s="14" t="s">
        <v>2528</v>
      </c>
      <c r="J124" s="15" t="s">
        <v>2528</v>
      </c>
      <c r="K124" s="16" t="s">
        <v>82</v>
      </c>
      <c r="L124" s="17"/>
      <c r="M124" s="17"/>
      <c r="N124" s="17"/>
      <c r="O124" s="17"/>
      <c r="P124" s="18"/>
      <c r="Q124" s="16" t="s">
        <v>83</v>
      </c>
      <c r="R124" s="18"/>
    </row>
    <row r="125" spans="1:18" ht="16.5" customHeight="1">
      <c r="A125" s="10">
        <v>124</v>
      </c>
      <c r="B125" s="10">
        <v>29</v>
      </c>
      <c r="C125" s="10">
        <v>40</v>
      </c>
      <c r="D125" s="11" t="s">
        <v>2529</v>
      </c>
      <c r="E125" s="12" t="s">
        <v>2530</v>
      </c>
      <c r="F125" s="11" t="s">
        <v>2531</v>
      </c>
      <c r="G125" s="10"/>
      <c r="H125" s="13" t="s">
        <v>2532</v>
      </c>
      <c r="I125" s="14" t="s">
        <v>2533</v>
      </c>
      <c r="J125" s="15" t="s">
        <v>2534</v>
      </c>
      <c r="K125" s="16" t="s">
        <v>82</v>
      </c>
      <c r="L125" s="17"/>
      <c r="M125" s="17"/>
      <c r="N125" s="17"/>
      <c r="O125" s="17"/>
      <c r="P125" s="18"/>
      <c r="Q125" s="16" t="s">
        <v>83</v>
      </c>
      <c r="R125" s="18"/>
    </row>
    <row r="126" spans="1:18" ht="16.5" customHeight="1">
      <c r="A126" s="10">
        <v>125</v>
      </c>
      <c r="B126" s="10">
        <v>29</v>
      </c>
      <c r="C126" s="10">
        <v>41</v>
      </c>
      <c r="D126" s="11" t="s">
        <v>2530</v>
      </c>
      <c r="E126" s="19" t="s">
        <v>2531</v>
      </c>
      <c r="F126" s="11" t="s">
        <v>2535</v>
      </c>
      <c r="G126" s="10" t="s">
        <v>2496</v>
      </c>
      <c r="H126" s="13" t="s">
        <v>2536</v>
      </c>
      <c r="I126" s="14" t="s">
        <v>2537</v>
      </c>
      <c r="J126" s="15" t="s">
        <v>2538</v>
      </c>
      <c r="K126" s="16" t="s">
        <v>82</v>
      </c>
      <c r="L126" s="17"/>
      <c r="M126" s="17"/>
      <c r="N126" s="17"/>
      <c r="O126" s="17"/>
      <c r="P126" s="18"/>
      <c r="Q126" s="16" t="s">
        <v>83</v>
      </c>
      <c r="R126" s="18"/>
    </row>
    <row r="127" spans="1:18" ht="16.5" customHeight="1">
      <c r="A127" s="10">
        <v>126</v>
      </c>
      <c r="B127" s="10">
        <v>29</v>
      </c>
      <c r="C127" s="10">
        <v>42</v>
      </c>
      <c r="D127" s="11" t="s">
        <v>2531</v>
      </c>
      <c r="E127" s="12" t="s">
        <v>2535</v>
      </c>
      <c r="F127" s="11" t="s">
        <v>2539</v>
      </c>
      <c r="G127" s="10"/>
      <c r="H127" s="13" t="s">
        <v>2540</v>
      </c>
      <c r="I127" s="14" t="s">
        <v>2541</v>
      </c>
      <c r="J127" s="15" t="s">
        <v>2541</v>
      </c>
      <c r="K127" s="16" t="s">
        <v>82</v>
      </c>
      <c r="L127" s="17"/>
      <c r="M127" s="17"/>
      <c r="N127" s="17"/>
      <c r="O127" s="17"/>
      <c r="P127" s="18"/>
      <c r="Q127" s="16" t="s">
        <v>83</v>
      </c>
      <c r="R127" s="18"/>
    </row>
    <row r="128" spans="1:18" ht="16.5" customHeight="1">
      <c r="A128" s="10">
        <v>127</v>
      </c>
      <c r="B128" s="10">
        <v>29</v>
      </c>
      <c r="C128" s="10">
        <v>50</v>
      </c>
      <c r="D128" s="11" t="s">
        <v>2542</v>
      </c>
      <c r="E128" s="12" t="s">
        <v>2543</v>
      </c>
      <c r="F128" s="11" t="s">
        <v>2544</v>
      </c>
      <c r="G128" s="10"/>
      <c r="H128" s="13" t="s">
        <v>2545</v>
      </c>
      <c r="I128" s="14" t="s">
        <v>2546</v>
      </c>
      <c r="J128" s="15" t="s">
        <v>2546</v>
      </c>
      <c r="K128" s="16" t="s">
        <v>82</v>
      </c>
      <c r="L128" s="17"/>
      <c r="M128" s="17"/>
      <c r="N128" s="17"/>
      <c r="O128" s="17"/>
      <c r="P128" s="18"/>
      <c r="Q128" s="16" t="s">
        <v>83</v>
      </c>
      <c r="R128" s="18"/>
    </row>
    <row r="129" spans="1:18" ht="16.5" customHeight="1">
      <c r="A129" s="10">
        <v>128</v>
      </c>
      <c r="B129" s="10">
        <v>29</v>
      </c>
      <c r="C129" s="10">
        <v>51</v>
      </c>
      <c r="D129" s="11" t="s">
        <v>2543</v>
      </c>
      <c r="E129" s="19" t="s">
        <v>2544</v>
      </c>
      <c r="F129" s="11" t="s">
        <v>2547</v>
      </c>
      <c r="G129" s="10" t="s">
        <v>575</v>
      </c>
      <c r="H129" s="13" t="s">
        <v>2548</v>
      </c>
      <c r="I129" s="14" t="s">
        <v>2549</v>
      </c>
      <c r="J129" s="15" t="s">
        <v>2550</v>
      </c>
      <c r="K129" s="16" t="s">
        <v>82</v>
      </c>
      <c r="L129" s="17"/>
      <c r="M129" s="17"/>
      <c r="N129" s="17"/>
      <c r="O129" s="17"/>
      <c r="P129" s="18"/>
      <c r="Q129" s="16" t="s">
        <v>83</v>
      </c>
      <c r="R129" s="18"/>
    </row>
    <row r="130" spans="1:18" ht="16.5" customHeight="1">
      <c r="A130" s="10">
        <v>129</v>
      </c>
      <c r="B130" s="10">
        <v>29</v>
      </c>
      <c r="C130" s="10">
        <v>52</v>
      </c>
      <c r="D130" s="11" t="s">
        <v>2544</v>
      </c>
      <c r="E130" s="12" t="s">
        <v>2547</v>
      </c>
      <c r="F130" s="11" t="s">
        <v>2551</v>
      </c>
      <c r="G130" s="10"/>
      <c r="H130" s="13" t="s">
        <v>2552</v>
      </c>
      <c r="I130" s="14" t="s">
        <v>2553</v>
      </c>
      <c r="J130" s="15" t="s">
        <v>2554</v>
      </c>
      <c r="K130" s="16" t="s">
        <v>82</v>
      </c>
      <c r="L130" s="17"/>
      <c r="M130" s="17"/>
      <c r="N130" s="17"/>
      <c r="O130" s="17"/>
      <c r="P130" s="18"/>
      <c r="Q130" s="16" t="s">
        <v>83</v>
      </c>
      <c r="R130" s="18"/>
    </row>
    <row r="131" spans="1:18" ht="16.5" customHeight="1">
      <c r="A131" s="10">
        <v>130</v>
      </c>
      <c r="B131" s="10">
        <v>29</v>
      </c>
      <c r="C131" s="10">
        <v>57</v>
      </c>
      <c r="D131" s="11" t="s">
        <v>2555</v>
      </c>
      <c r="E131" s="12" t="s">
        <v>2556</v>
      </c>
      <c r="F131" s="11" t="s">
        <v>2557</v>
      </c>
      <c r="G131" s="10"/>
      <c r="H131" s="13" t="s">
        <v>2558</v>
      </c>
      <c r="I131" s="14" t="s">
        <v>2559</v>
      </c>
      <c r="J131" s="15" t="s">
        <v>2560</v>
      </c>
      <c r="K131" s="16" t="s">
        <v>82</v>
      </c>
      <c r="L131" s="17"/>
      <c r="M131" s="17"/>
      <c r="N131" s="17"/>
      <c r="O131" s="17"/>
      <c r="P131" s="18"/>
      <c r="Q131" s="16" t="s">
        <v>83</v>
      </c>
      <c r="R131" s="18"/>
    </row>
    <row r="132" spans="1:18" ht="16.5" customHeight="1">
      <c r="A132" s="10">
        <v>131</v>
      </c>
      <c r="B132" s="10">
        <v>29</v>
      </c>
      <c r="C132" s="10">
        <v>58</v>
      </c>
      <c r="D132" s="11" t="s">
        <v>2556</v>
      </c>
      <c r="E132" s="19" t="s">
        <v>2557</v>
      </c>
      <c r="F132" s="11" t="s">
        <v>2561</v>
      </c>
      <c r="G132" s="10" t="s">
        <v>1957</v>
      </c>
      <c r="H132" s="13" t="s">
        <v>2562</v>
      </c>
      <c r="I132" s="14" t="s">
        <v>2563</v>
      </c>
      <c r="J132" s="15" t="s">
        <v>2564</v>
      </c>
      <c r="K132" s="16" t="s">
        <v>89</v>
      </c>
      <c r="L132" s="17" t="s">
        <v>155</v>
      </c>
      <c r="M132" s="17" t="s">
        <v>1961</v>
      </c>
      <c r="N132" s="17" t="s">
        <v>2557</v>
      </c>
      <c r="O132" s="17" t="s">
        <v>2565</v>
      </c>
      <c r="P132" s="18" t="s">
        <v>2566</v>
      </c>
      <c r="Q132" s="16" t="s">
        <v>83</v>
      </c>
      <c r="R132" s="18"/>
    </row>
    <row r="133" spans="1:18" ht="16.5" customHeight="1">
      <c r="A133" s="10">
        <v>132</v>
      </c>
      <c r="B133" s="10">
        <v>29</v>
      </c>
      <c r="C133" s="10">
        <v>59</v>
      </c>
      <c r="D133" s="11" t="s">
        <v>2557</v>
      </c>
      <c r="E133" s="12" t="s">
        <v>2561</v>
      </c>
      <c r="F133" s="11" t="s">
        <v>2567</v>
      </c>
      <c r="G133" s="10"/>
      <c r="H133" s="13" t="s">
        <v>2568</v>
      </c>
      <c r="I133" s="14" t="s">
        <v>2569</v>
      </c>
      <c r="J133" s="15" t="s">
        <v>2570</v>
      </c>
      <c r="K133" s="16" t="s">
        <v>82</v>
      </c>
      <c r="L133" s="17"/>
      <c r="M133" s="17"/>
      <c r="N133" s="17"/>
      <c r="O133" s="17"/>
      <c r="P133" s="18"/>
      <c r="Q133" s="16" t="s">
        <v>83</v>
      </c>
      <c r="R133" s="18"/>
    </row>
    <row r="134" spans="1:18" ht="16.5" customHeight="1">
      <c r="A134" s="10">
        <v>133</v>
      </c>
      <c r="B134" s="10">
        <v>29</v>
      </c>
      <c r="C134" s="10">
        <v>76</v>
      </c>
      <c r="D134" s="11" t="s">
        <v>2571</v>
      </c>
      <c r="E134" s="12" t="s">
        <v>2572</v>
      </c>
      <c r="F134" s="11" t="s">
        <v>2573</v>
      </c>
      <c r="G134" s="10"/>
      <c r="H134" s="13" t="s">
        <v>2574</v>
      </c>
      <c r="I134" s="14" t="s">
        <v>2575</v>
      </c>
      <c r="J134" s="15" t="s">
        <v>2575</v>
      </c>
      <c r="K134" s="16" t="s">
        <v>82</v>
      </c>
      <c r="L134" s="17"/>
      <c r="M134" s="17"/>
      <c r="N134" s="17"/>
      <c r="O134" s="17"/>
      <c r="P134" s="18"/>
      <c r="Q134" s="16" t="s">
        <v>83</v>
      </c>
      <c r="R134" s="18"/>
    </row>
    <row r="135" spans="1:18" ht="26.25" customHeight="1">
      <c r="A135" s="10">
        <v>134</v>
      </c>
      <c r="B135" s="10">
        <v>29</v>
      </c>
      <c r="C135" s="10">
        <v>77</v>
      </c>
      <c r="D135" s="11" t="s">
        <v>2572</v>
      </c>
      <c r="E135" s="19" t="s">
        <v>2573</v>
      </c>
      <c r="F135" s="11" t="s">
        <v>2576</v>
      </c>
      <c r="G135" s="10" t="s">
        <v>85</v>
      </c>
      <c r="H135" s="13" t="s">
        <v>2577</v>
      </c>
      <c r="I135" s="14" t="s">
        <v>2578</v>
      </c>
      <c r="J135" s="15" t="s">
        <v>2579</v>
      </c>
      <c r="K135" s="16" t="s">
        <v>82</v>
      </c>
      <c r="L135" s="17"/>
      <c r="M135" s="17"/>
      <c r="N135" s="17"/>
      <c r="O135" s="17"/>
      <c r="P135" s="18"/>
      <c r="Q135" s="16" t="s">
        <v>83</v>
      </c>
      <c r="R135" s="18"/>
    </row>
    <row r="136" spans="1:18" ht="26.25" customHeight="1">
      <c r="A136" s="10">
        <v>135</v>
      </c>
      <c r="B136" s="10">
        <v>29</v>
      </c>
      <c r="C136" s="10">
        <v>78</v>
      </c>
      <c r="D136" s="11" t="s">
        <v>2573</v>
      </c>
      <c r="E136" s="19" t="s">
        <v>2576</v>
      </c>
      <c r="F136" s="11" t="s">
        <v>2580</v>
      </c>
      <c r="G136" s="10" t="s">
        <v>85</v>
      </c>
      <c r="H136" s="13" t="s">
        <v>2581</v>
      </c>
      <c r="I136" s="14" t="s">
        <v>2582</v>
      </c>
      <c r="J136" s="15" t="s">
        <v>2583</v>
      </c>
      <c r="K136" s="16" t="s">
        <v>89</v>
      </c>
      <c r="L136" s="17" t="s">
        <v>90</v>
      </c>
      <c r="M136" s="17" t="s">
        <v>209</v>
      </c>
      <c r="N136" s="17" t="s">
        <v>2584</v>
      </c>
      <c r="O136" s="17" t="s">
        <v>2585</v>
      </c>
      <c r="P136" s="18" t="s">
        <v>2586</v>
      </c>
      <c r="Q136" s="16" t="s">
        <v>83</v>
      </c>
      <c r="R136" s="18"/>
    </row>
    <row r="137" spans="1:18" ht="26.25" customHeight="1">
      <c r="A137" s="10">
        <v>136</v>
      </c>
      <c r="B137" s="10">
        <v>29</v>
      </c>
      <c r="C137" s="10">
        <v>79</v>
      </c>
      <c r="D137" s="11" t="s">
        <v>2576</v>
      </c>
      <c r="E137" s="12" t="s">
        <v>2580</v>
      </c>
      <c r="F137" s="11" t="s">
        <v>2587</v>
      </c>
      <c r="G137" s="10"/>
      <c r="H137" s="13" t="s">
        <v>2588</v>
      </c>
      <c r="I137" s="14" t="s">
        <v>2589</v>
      </c>
      <c r="J137" s="15" t="s">
        <v>2590</v>
      </c>
      <c r="K137" s="16" t="s">
        <v>82</v>
      </c>
      <c r="L137" s="17"/>
      <c r="M137" s="17"/>
      <c r="N137" s="17"/>
      <c r="O137" s="17"/>
      <c r="P137" s="18"/>
      <c r="Q137" s="16" t="s">
        <v>83</v>
      </c>
      <c r="R137" s="18"/>
    </row>
    <row r="138" spans="1:18" ht="26.25" customHeight="1">
      <c r="A138" s="10">
        <v>137</v>
      </c>
      <c r="B138" s="10">
        <v>29</v>
      </c>
      <c r="C138" s="10">
        <v>80</v>
      </c>
      <c r="D138" s="11" t="s">
        <v>2580</v>
      </c>
      <c r="E138" s="19" t="s">
        <v>2587</v>
      </c>
      <c r="F138" s="11" t="s">
        <v>2591</v>
      </c>
      <c r="G138" s="10" t="s">
        <v>85</v>
      </c>
      <c r="H138" s="13" t="s">
        <v>2592</v>
      </c>
      <c r="I138" s="14" t="s">
        <v>2593</v>
      </c>
      <c r="J138" s="15" t="s">
        <v>2594</v>
      </c>
      <c r="K138" s="16" t="s">
        <v>89</v>
      </c>
      <c r="L138" s="17" t="s">
        <v>90</v>
      </c>
      <c r="M138" s="17" t="s">
        <v>209</v>
      </c>
      <c r="N138" s="17" t="s">
        <v>2595</v>
      </c>
      <c r="O138" s="17" t="s">
        <v>2585</v>
      </c>
      <c r="P138" s="18" t="s">
        <v>2586</v>
      </c>
      <c r="Q138" s="16" t="s">
        <v>83</v>
      </c>
      <c r="R138" s="18"/>
    </row>
    <row r="139" spans="1:18" ht="16.5" customHeight="1">
      <c r="A139" s="10">
        <v>138</v>
      </c>
      <c r="B139" s="10">
        <v>29</v>
      </c>
      <c r="C139" s="10">
        <v>81</v>
      </c>
      <c r="D139" s="11" t="s">
        <v>2587</v>
      </c>
      <c r="E139" s="12" t="s">
        <v>2591</v>
      </c>
      <c r="F139" s="11" t="s">
        <v>2596</v>
      </c>
      <c r="G139" s="10"/>
      <c r="H139" s="13" t="s">
        <v>2597</v>
      </c>
      <c r="I139" s="14" t="s">
        <v>2598</v>
      </c>
      <c r="J139" s="15" t="s">
        <v>2598</v>
      </c>
      <c r="K139" s="16" t="s">
        <v>82</v>
      </c>
      <c r="L139" s="17"/>
      <c r="M139" s="17"/>
      <c r="N139" s="17"/>
      <c r="O139" s="17"/>
      <c r="P139" s="18"/>
      <c r="Q139" s="16" t="s">
        <v>83</v>
      </c>
      <c r="R139" s="18"/>
    </row>
    <row r="140" spans="1:18" ht="16.5" customHeight="1">
      <c r="A140" s="10">
        <v>139</v>
      </c>
      <c r="B140" s="10">
        <v>32</v>
      </c>
      <c r="C140" s="10">
        <v>3</v>
      </c>
      <c r="D140" s="11" t="s">
        <v>2599</v>
      </c>
      <c r="E140" s="12" t="s">
        <v>2600</v>
      </c>
      <c r="F140" s="11" t="s">
        <v>2601</v>
      </c>
      <c r="G140" s="10"/>
      <c r="H140" s="13" t="s">
        <v>2602</v>
      </c>
      <c r="I140" s="14" t="s">
        <v>2603</v>
      </c>
      <c r="J140" s="15" t="s">
        <v>2604</v>
      </c>
      <c r="K140" s="16" t="s">
        <v>82</v>
      </c>
      <c r="L140" s="17"/>
      <c r="M140" s="17"/>
      <c r="N140" s="17"/>
      <c r="O140" s="17"/>
      <c r="P140" s="18"/>
      <c r="Q140" s="16" t="s">
        <v>83</v>
      </c>
      <c r="R140" s="18"/>
    </row>
    <row r="141" spans="1:18" ht="16.5" customHeight="1">
      <c r="A141" s="10">
        <v>140</v>
      </c>
      <c r="B141" s="10">
        <v>32</v>
      </c>
      <c r="C141" s="10">
        <v>4</v>
      </c>
      <c r="D141" s="11" t="s">
        <v>2600</v>
      </c>
      <c r="E141" s="19" t="s">
        <v>2601</v>
      </c>
      <c r="F141" s="11" t="s">
        <v>2605</v>
      </c>
      <c r="G141" s="10" t="s">
        <v>1209</v>
      </c>
      <c r="H141" s="13" t="s">
        <v>2606</v>
      </c>
      <c r="I141" s="14" t="s">
        <v>2607</v>
      </c>
      <c r="J141" s="15" t="s">
        <v>2608</v>
      </c>
      <c r="K141" s="16" t="s">
        <v>82</v>
      </c>
      <c r="L141" s="17"/>
      <c r="M141" s="17"/>
      <c r="N141" s="17"/>
      <c r="O141" s="17"/>
      <c r="P141" s="18"/>
      <c r="Q141" s="16" t="s">
        <v>83</v>
      </c>
      <c r="R141" s="18"/>
    </row>
    <row r="142" spans="1:18" ht="16.5" customHeight="1">
      <c r="A142" s="10">
        <v>141</v>
      </c>
      <c r="B142" s="10">
        <v>32</v>
      </c>
      <c r="C142" s="10">
        <v>5</v>
      </c>
      <c r="D142" s="11" t="s">
        <v>2601</v>
      </c>
      <c r="E142" s="12" t="s">
        <v>2605</v>
      </c>
      <c r="F142" s="11" t="s">
        <v>2609</v>
      </c>
      <c r="G142" s="10"/>
      <c r="H142" s="13" t="s">
        <v>2610</v>
      </c>
      <c r="I142" s="14" t="s">
        <v>2611</v>
      </c>
      <c r="J142" s="15" t="s">
        <v>2611</v>
      </c>
      <c r="K142" s="16" t="s">
        <v>82</v>
      </c>
      <c r="L142" s="17"/>
      <c r="M142" s="17"/>
      <c r="N142" s="17"/>
      <c r="O142" s="17"/>
      <c r="P142" s="18"/>
      <c r="Q142" s="16" t="s">
        <v>83</v>
      </c>
      <c r="R142" s="18"/>
    </row>
    <row r="143" spans="1:18" ht="16.5" customHeight="1">
      <c r="A143" s="10">
        <v>142</v>
      </c>
      <c r="B143" s="10">
        <v>35</v>
      </c>
      <c r="C143" s="10">
        <v>8</v>
      </c>
      <c r="D143" s="11" t="s">
        <v>2612</v>
      </c>
      <c r="E143" s="12" t="s">
        <v>2613</v>
      </c>
      <c r="F143" s="11" t="s">
        <v>2614</v>
      </c>
      <c r="G143" s="10"/>
      <c r="H143" s="13" t="s">
        <v>2615</v>
      </c>
      <c r="I143" s="14" t="s">
        <v>2616</v>
      </c>
      <c r="J143" s="15" t="s">
        <v>2617</v>
      </c>
      <c r="K143" s="16" t="s">
        <v>89</v>
      </c>
      <c r="L143" s="17" t="s">
        <v>368</v>
      </c>
      <c r="M143" s="17" t="s">
        <v>447</v>
      </c>
      <c r="N143" s="17" t="s">
        <v>2618</v>
      </c>
      <c r="O143" s="17" t="s">
        <v>2619</v>
      </c>
      <c r="P143" s="18" t="s">
        <v>2620</v>
      </c>
      <c r="Q143" s="16" t="s">
        <v>113</v>
      </c>
      <c r="R143" s="18"/>
    </row>
    <row r="144" spans="1:18" ht="16.5" customHeight="1">
      <c r="A144" s="10">
        <v>143</v>
      </c>
      <c r="B144" s="10">
        <v>35</v>
      </c>
      <c r="C144" s="10">
        <v>9</v>
      </c>
      <c r="D144" s="11" t="s">
        <v>2613</v>
      </c>
      <c r="E144" s="19" t="s">
        <v>2614</v>
      </c>
      <c r="F144" s="11" t="s">
        <v>2621</v>
      </c>
      <c r="G144" s="10" t="s">
        <v>160</v>
      </c>
      <c r="H144" s="13" t="s">
        <v>2622</v>
      </c>
      <c r="I144" s="14" t="s">
        <v>2623</v>
      </c>
      <c r="J144" s="15" t="s">
        <v>2624</v>
      </c>
      <c r="K144" s="16" t="s">
        <v>89</v>
      </c>
      <c r="L144" s="17" t="s">
        <v>90</v>
      </c>
      <c r="M144" s="17" t="s">
        <v>91</v>
      </c>
      <c r="N144" s="17" t="s">
        <v>2625</v>
      </c>
      <c r="O144" s="17" t="s">
        <v>2626</v>
      </c>
      <c r="P144" s="18" t="s">
        <v>2627</v>
      </c>
      <c r="Q144" s="16" t="s">
        <v>83</v>
      </c>
      <c r="R144" s="18"/>
    </row>
    <row r="145" spans="1:18" ht="16.5" customHeight="1">
      <c r="A145" s="10">
        <v>144</v>
      </c>
      <c r="B145" s="10">
        <v>35</v>
      </c>
      <c r="C145" s="10">
        <v>10</v>
      </c>
      <c r="D145" s="11" t="s">
        <v>2614</v>
      </c>
      <c r="E145" s="12" t="s">
        <v>2621</v>
      </c>
      <c r="F145" s="11" t="s">
        <v>2628</v>
      </c>
      <c r="G145" s="10"/>
      <c r="H145" s="13" t="s">
        <v>2629</v>
      </c>
      <c r="I145" s="14" t="s">
        <v>2630</v>
      </c>
      <c r="J145" s="15" t="s">
        <v>2630</v>
      </c>
      <c r="K145" s="16" t="s">
        <v>82</v>
      </c>
      <c r="L145" s="17"/>
      <c r="M145" s="17"/>
      <c r="N145" s="17"/>
      <c r="O145" s="17"/>
      <c r="P145" s="18"/>
      <c r="Q145" s="16" t="s">
        <v>83</v>
      </c>
      <c r="R145" s="18"/>
    </row>
    <row r="146" spans="1:18" ht="16.5" customHeight="1">
      <c r="A146" s="10">
        <v>145</v>
      </c>
      <c r="B146" s="10">
        <v>35</v>
      </c>
      <c r="C146" s="10">
        <v>17</v>
      </c>
      <c r="D146" s="11" t="s">
        <v>2631</v>
      </c>
      <c r="E146" s="12" t="s">
        <v>2632</v>
      </c>
      <c r="F146" s="11" t="s">
        <v>2633</v>
      </c>
      <c r="G146" s="10"/>
      <c r="H146" s="13" t="s">
        <v>2634</v>
      </c>
      <c r="I146" s="14" t="s">
        <v>2635</v>
      </c>
      <c r="J146" s="15" t="s">
        <v>2635</v>
      </c>
      <c r="K146" s="16" t="s">
        <v>82</v>
      </c>
      <c r="L146" s="17"/>
      <c r="M146" s="17"/>
      <c r="N146" s="17"/>
      <c r="O146" s="17"/>
      <c r="P146" s="18"/>
      <c r="Q146" s="16" t="s">
        <v>83</v>
      </c>
      <c r="R146" s="18"/>
    </row>
    <row r="147" spans="1:18" ht="16.5" customHeight="1">
      <c r="A147" s="10">
        <v>146</v>
      </c>
      <c r="B147" s="10">
        <v>35</v>
      </c>
      <c r="C147" s="10">
        <v>18</v>
      </c>
      <c r="D147" s="11" t="s">
        <v>2632</v>
      </c>
      <c r="E147" s="19" t="s">
        <v>2633</v>
      </c>
      <c r="F147" s="11" t="s">
        <v>2636</v>
      </c>
      <c r="G147" s="10" t="s">
        <v>85</v>
      </c>
      <c r="H147" s="13" t="s">
        <v>2637</v>
      </c>
      <c r="I147" s="14" t="s">
        <v>2638</v>
      </c>
      <c r="J147" s="15" t="s">
        <v>2639</v>
      </c>
      <c r="K147" s="16" t="s">
        <v>89</v>
      </c>
      <c r="L147" s="17" t="s">
        <v>368</v>
      </c>
      <c r="M147" s="17" t="s">
        <v>1145</v>
      </c>
      <c r="N147" s="17" t="s">
        <v>2640</v>
      </c>
      <c r="O147" s="17" t="s">
        <v>2641</v>
      </c>
      <c r="P147" s="18" t="s">
        <v>2642</v>
      </c>
      <c r="Q147" s="16" t="s">
        <v>83</v>
      </c>
      <c r="R147" s="18"/>
    </row>
    <row r="148" spans="1:18" ht="16.5" customHeight="1">
      <c r="A148" s="10">
        <v>147</v>
      </c>
      <c r="B148" s="10">
        <v>35</v>
      </c>
      <c r="C148" s="10">
        <v>19</v>
      </c>
      <c r="D148" s="11" t="s">
        <v>2633</v>
      </c>
      <c r="E148" s="12" t="s">
        <v>2636</v>
      </c>
      <c r="F148" s="11" t="s">
        <v>2643</v>
      </c>
      <c r="G148" s="10"/>
      <c r="H148" s="13" t="s">
        <v>1443</v>
      </c>
      <c r="I148" s="14" t="s">
        <v>2644</v>
      </c>
      <c r="J148" s="15" t="s">
        <v>2644</v>
      </c>
      <c r="K148" s="16" t="s">
        <v>82</v>
      </c>
      <c r="L148" s="17"/>
      <c r="M148" s="17"/>
      <c r="N148" s="17"/>
      <c r="O148" s="17"/>
      <c r="P148" s="18"/>
      <c r="Q148" s="16" t="s">
        <v>83</v>
      </c>
      <c r="R148" s="18"/>
    </row>
    <row r="149" spans="1:18" ht="16.5" customHeight="1">
      <c r="A149" s="10">
        <v>148</v>
      </c>
      <c r="B149" s="10">
        <v>40</v>
      </c>
      <c r="C149" s="10">
        <v>11</v>
      </c>
      <c r="D149" s="11" t="s">
        <v>2645</v>
      </c>
      <c r="E149" s="12" t="s">
        <v>2646</v>
      </c>
      <c r="F149" s="11" t="s">
        <v>2647</v>
      </c>
      <c r="G149" s="10"/>
      <c r="H149" s="13" t="s">
        <v>2648</v>
      </c>
      <c r="I149" s="14" t="s">
        <v>2649</v>
      </c>
      <c r="J149" s="15" t="s">
        <v>2649</v>
      </c>
      <c r="K149" s="16" t="s">
        <v>82</v>
      </c>
      <c r="L149" s="17"/>
      <c r="M149" s="17"/>
      <c r="N149" s="17"/>
      <c r="O149" s="17"/>
      <c r="P149" s="18"/>
      <c r="Q149" s="16" t="s">
        <v>83</v>
      </c>
      <c r="R149" s="18"/>
    </row>
    <row r="150" spans="1:18" ht="16.5" customHeight="1">
      <c r="A150" s="10">
        <v>149</v>
      </c>
      <c r="B150" s="10">
        <v>40</v>
      </c>
      <c r="C150" s="10">
        <v>12</v>
      </c>
      <c r="D150" s="11" t="s">
        <v>2646</v>
      </c>
      <c r="E150" s="19" t="s">
        <v>2647</v>
      </c>
      <c r="F150" s="11" t="s">
        <v>2650</v>
      </c>
      <c r="G150" s="10" t="s">
        <v>106</v>
      </c>
      <c r="H150" s="13" t="s">
        <v>2651</v>
      </c>
      <c r="I150" s="14" t="s">
        <v>2652</v>
      </c>
      <c r="J150" s="15" t="s">
        <v>2653</v>
      </c>
      <c r="K150" s="16" t="s">
        <v>82</v>
      </c>
      <c r="L150" s="17"/>
      <c r="M150" s="17"/>
      <c r="N150" s="17"/>
      <c r="O150" s="17"/>
      <c r="P150" s="18"/>
      <c r="Q150" s="16" t="s">
        <v>83</v>
      </c>
      <c r="R150" s="18"/>
    </row>
    <row r="151" spans="1:18" ht="16.5" customHeight="1">
      <c r="A151" s="10">
        <v>150</v>
      </c>
      <c r="B151" s="10">
        <v>40</v>
      </c>
      <c r="C151" s="10">
        <v>13</v>
      </c>
      <c r="D151" s="11" t="s">
        <v>2647</v>
      </c>
      <c r="E151" s="12" t="s">
        <v>2650</v>
      </c>
      <c r="F151" s="11" t="s">
        <v>2654</v>
      </c>
      <c r="G151" s="10"/>
      <c r="H151" s="13" t="s">
        <v>2655</v>
      </c>
      <c r="I151" s="14" t="s">
        <v>2656</v>
      </c>
      <c r="J151" s="15" t="s">
        <v>2656</v>
      </c>
      <c r="K151" s="16" t="s">
        <v>82</v>
      </c>
      <c r="L151" s="17"/>
      <c r="M151" s="17"/>
      <c r="N151" s="17"/>
      <c r="O151" s="17"/>
      <c r="P151" s="18"/>
      <c r="Q151" s="16" t="s">
        <v>83</v>
      </c>
      <c r="R151" s="18"/>
    </row>
    <row r="152" spans="1:18" ht="16.5" customHeight="1">
      <c r="A152" s="10">
        <v>151</v>
      </c>
      <c r="B152" s="10">
        <v>40</v>
      </c>
      <c r="C152" s="10">
        <v>26</v>
      </c>
      <c r="D152" s="11" t="s">
        <v>2657</v>
      </c>
      <c r="E152" s="12" t="s">
        <v>2658</v>
      </c>
      <c r="F152" s="11" t="s">
        <v>2659</v>
      </c>
      <c r="G152" s="10"/>
      <c r="H152" s="13" t="s">
        <v>2660</v>
      </c>
      <c r="I152" s="14" t="s">
        <v>2661</v>
      </c>
      <c r="J152" s="15" t="s">
        <v>2661</v>
      </c>
      <c r="K152" s="16" t="s">
        <v>82</v>
      </c>
      <c r="L152" s="17"/>
      <c r="M152" s="17"/>
      <c r="N152" s="17"/>
      <c r="O152" s="17"/>
      <c r="P152" s="18"/>
      <c r="Q152" s="16" t="s">
        <v>83</v>
      </c>
      <c r="R152" s="18"/>
    </row>
    <row r="153" spans="1:18" ht="16.5" customHeight="1">
      <c r="A153" s="10">
        <v>152</v>
      </c>
      <c r="B153" s="10">
        <v>40</v>
      </c>
      <c r="C153" s="10">
        <v>27</v>
      </c>
      <c r="D153" s="11" t="s">
        <v>2658</v>
      </c>
      <c r="E153" s="19" t="s">
        <v>2659</v>
      </c>
      <c r="F153" s="11" t="s">
        <v>2662</v>
      </c>
      <c r="G153" s="10" t="s">
        <v>160</v>
      </c>
      <c r="H153" s="13" t="s">
        <v>2663</v>
      </c>
      <c r="I153" s="14" t="s">
        <v>2664</v>
      </c>
      <c r="J153" s="15" t="s">
        <v>2665</v>
      </c>
      <c r="K153" s="16" t="s">
        <v>89</v>
      </c>
      <c r="L153" s="17" t="s">
        <v>155</v>
      </c>
      <c r="M153" s="17" t="s">
        <v>164</v>
      </c>
      <c r="N153" s="17" t="s">
        <v>2666</v>
      </c>
      <c r="O153" s="17" t="s">
        <v>2667</v>
      </c>
      <c r="P153" s="18" t="s">
        <v>2668</v>
      </c>
      <c r="Q153" s="16" t="s">
        <v>83</v>
      </c>
      <c r="R153" s="18"/>
    </row>
    <row r="154" spans="1:18" ht="16.5" customHeight="1">
      <c r="A154" s="10">
        <v>153</v>
      </c>
      <c r="B154" s="10">
        <v>40</v>
      </c>
      <c r="C154" s="10">
        <v>28</v>
      </c>
      <c r="D154" s="11" t="s">
        <v>2659</v>
      </c>
      <c r="E154" s="12" t="s">
        <v>2662</v>
      </c>
      <c r="F154" s="11" t="s">
        <v>2669</v>
      </c>
      <c r="G154" s="10"/>
      <c r="H154" s="13" t="s">
        <v>2670</v>
      </c>
      <c r="I154" s="14" t="s">
        <v>2671</v>
      </c>
      <c r="J154" s="15" t="s">
        <v>2672</v>
      </c>
      <c r="K154" s="16" t="s">
        <v>82</v>
      </c>
      <c r="L154" s="17"/>
      <c r="M154" s="17"/>
      <c r="N154" s="17"/>
      <c r="O154" s="17"/>
      <c r="P154" s="18"/>
      <c r="Q154" s="16" t="s">
        <v>83</v>
      </c>
      <c r="R154" s="18"/>
    </row>
    <row r="155" spans="1:18" ht="16.5" customHeight="1">
      <c r="A155" s="10">
        <v>154</v>
      </c>
      <c r="B155" s="10">
        <v>40</v>
      </c>
      <c r="C155" s="10">
        <v>36</v>
      </c>
      <c r="D155" s="11" t="s">
        <v>2673</v>
      </c>
      <c r="E155" s="12" t="s">
        <v>2674</v>
      </c>
      <c r="F155" s="11" t="s">
        <v>2675</v>
      </c>
      <c r="G155" s="10"/>
      <c r="H155" s="13" t="s">
        <v>2676</v>
      </c>
      <c r="I155" s="14" t="s">
        <v>2677</v>
      </c>
      <c r="J155" s="15" t="s">
        <v>2678</v>
      </c>
      <c r="K155" s="16" t="s">
        <v>82</v>
      </c>
      <c r="L155" s="17"/>
      <c r="M155" s="17"/>
      <c r="N155" s="17"/>
      <c r="O155" s="17"/>
      <c r="P155" s="18"/>
      <c r="Q155" s="16" t="s">
        <v>83</v>
      </c>
      <c r="R155" s="18"/>
    </row>
    <row r="156" spans="1:18" ht="16.5" customHeight="1">
      <c r="A156" s="10">
        <v>155</v>
      </c>
      <c r="B156" s="10">
        <v>40</v>
      </c>
      <c r="C156" s="10">
        <v>37</v>
      </c>
      <c r="D156" s="11" t="s">
        <v>2674</v>
      </c>
      <c r="E156" s="19" t="s">
        <v>2675</v>
      </c>
      <c r="F156" s="11" t="s">
        <v>2679</v>
      </c>
      <c r="G156" s="10" t="s">
        <v>320</v>
      </c>
      <c r="H156" s="13" t="s">
        <v>2680</v>
      </c>
      <c r="I156" s="14" t="s">
        <v>2681</v>
      </c>
      <c r="J156" s="15" t="s">
        <v>2682</v>
      </c>
      <c r="K156" s="16" t="s">
        <v>82</v>
      </c>
      <c r="L156" s="17"/>
      <c r="M156" s="17"/>
      <c r="N156" s="17"/>
      <c r="O156" s="17"/>
      <c r="P156" s="18"/>
      <c r="Q156" s="16" t="s">
        <v>83</v>
      </c>
      <c r="R156" s="18"/>
    </row>
    <row r="157" spans="1:18" ht="16.5" customHeight="1">
      <c r="A157" s="10">
        <v>156</v>
      </c>
      <c r="B157" s="10">
        <v>40</v>
      </c>
      <c r="C157" s="10">
        <v>38</v>
      </c>
      <c r="D157" s="11" t="s">
        <v>2675</v>
      </c>
      <c r="E157" s="12" t="s">
        <v>2679</v>
      </c>
      <c r="F157" s="11" t="s">
        <v>2683</v>
      </c>
      <c r="G157" s="10"/>
      <c r="H157" s="13" t="s">
        <v>2684</v>
      </c>
      <c r="I157" s="14" t="s">
        <v>2685</v>
      </c>
      <c r="J157" s="15" t="s">
        <v>2686</v>
      </c>
      <c r="K157" s="16" t="s">
        <v>82</v>
      </c>
      <c r="L157" s="17"/>
      <c r="M157" s="17"/>
      <c r="N157" s="17"/>
      <c r="O157" s="17"/>
      <c r="P157" s="18"/>
      <c r="Q157" s="16" t="s">
        <v>83</v>
      </c>
      <c r="R157" s="18"/>
    </row>
    <row r="158" spans="1:18" ht="16.5" customHeight="1">
      <c r="A158" s="10">
        <v>157</v>
      </c>
      <c r="B158" s="10">
        <v>40</v>
      </c>
      <c r="C158" s="10">
        <v>111</v>
      </c>
      <c r="D158" s="11" t="s">
        <v>2687</v>
      </c>
      <c r="E158" s="12" t="s">
        <v>2688</v>
      </c>
      <c r="F158" s="11" t="s">
        <v>2689</v>
      </c>
      <c r="G158" s="10"/>
      <c r="H158" s="13" t="s">
        <v>866</v>
      </c>
      <c r="I158" s="14" t="s">
        <v>2690</v>
      </c>
      <c r="J158" s="15" t="s">
        <v>2690</v>
      </c>
      <c r="K158" s="16" t="s">
        <v>82</v>
      </c>
      <c r="L158" s="17"/>
      <c r="M158" s="17"/>
      <c r="N158" s="17"/>
      <c r="O158" s="17"/>
      <c r="P158" s="18"/>
      <c r="Q158" s="16" t="s">
        <v>83</v>
      </c>
      <c r="R158" s="18"/>
    </row>
    <row r="159" spans="1:18" ht="16.5" customHeight="1">
      <c r="A159" s="10">
        <v>158</v>
      </c>
      <c r="B159" s="10">
        <v>40</v>
      </c>
      <c r="C159" s="10">
        <v>112</v>
      </c>
      <c r="D159" s="11" t="s">
        <v>2688</v>
      </c>
      <c r="E159" s="19" t="s">
        <v>2689</v>
      </c>
      <c r="F159" s="11" t="s">
        <v>2691</v>
      </c>
      <c r="G159" s="10" t="s">
        <v>2692</v>
      </c>
      <c r="H159" s="13" t="s">
        <v>2693</v>
      </c>
      <c r="I159" s="14" t="s">
        <v>2694</v>
      </c>
      <c r="J159" s="15" t="s">
        <v>2695</v>
      </c>
      <c r="K159" s="16" t="s">
        <v>82</v>
      </c>
      <c r="L159" s="17"/>
      <c r="M159" s="17"/>
      <c r="N159" s="17"/>
      <c r="O159" s="17"/>
      <c r="P159" s="18"/>
      <c r="Q159" s="16" t="s">
        <v>83</v>
      </c>
      <c r="R159" s="18"/>
    </row>
    <row r="160" spans="1:18" ht="16.5" customHeight="1">
      <c r="A160" s="10">
        <v>159</v>
      </c>
      <c r="B160" s="10">
        <v>40</v>
      </c>
      <c r="C160" s="10">
        <v>113</v>
      </c>
      <c r="D160" s="11" t="s">
        <v>2689</v>
      </c>
      <c r="E160" s="12" t="s">
        <v>2691</v>
      </c>
      <c r="F160" s="11" t="s">
        <v>2696</v>
      </c>
      <c r="G160" s="10"/>
      <c r="H160" s="13" t="s">
        <v>2697</v>
      </c>
      <c r="I160" s="14" t="s">
        <v>2698</v>
      </c>
      <c r="J160" s="15" t="s">
        <v>2699</v>
      </c>
      <c r="K160" s="16" t="s">
        <v>82</v>
      </c>
      <c r="L160" s="17"/>
      <c r="M160" s="17"/>
      <c r="N160" s="17"/>
      <c r="O160" s="17"/>
      <c r="P160" s="18"/>
      <c r="Q160" s="16" t="s">
        <v>83</v>
      </c>
      <c r="R160" s="18"/>
    </row>
    <row r="161" spans="1:18" ht="16.5" customHeight="1">
      <c r="A161" s="10">
        <v>160</v>
      </c>
      <c r="B161" s="10">
        <v>43</v>
      </c>
      <c r="C161" s="10">
        <v>33</v>
      </c>
      <c r="D161" s="11" t="s">
        <v>2700</v>
      </c>
      <c r="E161" s="12" t="s">
        <v>2701</v>
      </c>
      <c r="F161" s="11" t="s">
        <v>2702</v>
      </c>
      <c r="G161" s="10"/>
      <c r="H161" s="13" t="s">
        <v>2703</v>
      </c>
      <c r="I161" s="14" t="s">
        <v>2704</v>
      </c>
      <c r="J161" s="15" t="s">
        <v>2704</v>
      </c>
      <c r="K161" s="16" t="s">
        <v>82</v>
      </c>
      <c r="L161" s="17"/>
      <c r="M161" s="17"/>
      <c r="N161" s="17"/>
      <c r="O161" s="17"/>
      <c r="P161" s="18"/>
      <c r="Q161" s="16" t="s">
        <v>83</v>
      </c>
      <c r="R161" s="18"/>
    </row>
    <row r="162" spans="1:18" ht="16.5" customHeight="1">
      <c r="A162" s="10">
        <v>161</v>
      </c>
      <c r="B162" s="10">
        <v>43</v>
      </c>
      <c r="C162" s="10">
        <v>34</v>
      </c>
      <c r="D162" s="11" t="s">
        <v>2701</v>
      </c>
      <c r="E162" s="19" t="s">
        <v>2702</v>
      </c>
      <c r="F162" s="11" t="s">
        <v>2705</v>
      </c>
      <c r="G162" s="10" t="s">
        <v>160</v>
      </c>
      <c r="H162" s="13" t="s">
        <v>2706</v>
      </c>
      <c r="I162" s="14" t="s">
        <v>2707</v>
      </c>
      <c r="J162" s="15" t="s">
        <v>2708</v>
      </c>
      <c r="K162" s="16" t="s">
        <v>82</v>
      </c>
      <c r="L162" s="17"/>
      <c r="M162" s="17"/>
      <c r="N162" s="17"/>
      <c r="O162" s="17"/>
      <c r="P162" s="18"/>
      <c r="Q162" s="16" t="s">
        <v>83</v>
      </c>
      <c r="R162" s="18"/>
    </row>
    <row r="163" spans="1:18" ht="16.5" customHeight="1">
      <c r="A163" s="10">
        <v>162</v>
      </c>
      <c r="B163" s="10">
        <v>43</v>
      </c>
      <c r="C163" s="10">
        <v>35</v>
      </c>
      <c r="D163" s="11" t="s">
        <v>2702</v>
      </c>
      <c r="E163" s="19" t="s">
        <v>2705</v>
      </c>
      <c r="F163" s="11" t="s">
        <v>2709</v>
      </c>
      <c r="G163" s="10" t="s">
        <v>160</v>
      </c>
      <c r="H163" s="13" t="s">
        <v>2710</v>
      </c>
      <c r="I163" s="14" t="s">
        <v>2711</v>
      </c>
      <c r="J163" s="15" t="s">
        <v>2712</v>
      </c>
      <c r="K163" s="16" t="s">
        <v>82</v>
      </c>
      <c r="L163" s="17"/>
      <c r="M163" s="17"/>
      <c r="N163" s="17"/>
      <c r="O163" s="17"/>
      <c r="P163" s="18"/>
      <c r="Q163" s="16" t="s">
        <v>83</v>
      </c>
      <c r="R163" s="18"/>
    </row>
    <row r="164" spans="1:18" ht="16.5" customHeight="1">
      <c r="A164" s="10">
        <v>163</v>
      </c>
      <c r="B164" s="10">
        <v>43</v>
      </c>
      <c r="C164" s="10">
        <v>36</v>
      </c>
      <c r="D164" s="11" t="s">
        <v>2705</v>
      </c>
      <c r="E164" s="12" t="s">
        <v>2709</v>
      </c>
      <c r="F164" s="11" t="s">
        <v>2713</v>
      </c>
      <c r="G164" s="10"/>
      <c r="H164" s="13" t="s">
        <v>2714</v>
      </c>
      <c r="I164" s="14" t="s">
        <v>2715</v>
      </c>
      <c r="J164" s="15" t="s">
        <v>2716</v>
      </c>
      <c r="K164" s="16" t="s">
        <v>82</v>
      </c>
      <c r="L164" s="17"/>
      <c r="M164" s="17"/>
      <c r="N164" s="17"/>
      <c r="O164" s="17"/>
      <c r="P164" s="18"/>
      <c r="Q164" s="16" t="s">
        <v>83</v>
      </c>
      <c r="R164" s="18"/>
    </row>
    <row r="165" spans="1:18" ht="16.5" customHeight="1">
      <c r="A165" s="10">
        <v>164</v>
      </c>
      <c r="B165" s="10">
        <v>43</v>
      </c>
      <c r="C165" s="10">
        <v>56</v>
      </c>
      <c r="D165" s="11" t="s">
        <v>2717</v>
      </c>
      <c r="E165" s="12" t="s">
        <v>2718</v>
      </c>
      <c r="F165" s="11" t="s">
        <v>2719</v>
      </c>
      <c r="G165" s="10"/>
      <c r="H165" s="13" t="s">
        <v>2720</v>
      </c>
      <c r="I165" s="14" t="s">
        <v>2721</v>
      </c>
      <c r="J165" s="15" t="s">
        <v>2722</v>
      </c>
      <c r="K165" s="16" t="s">
        <v>82</v>
      </c>
      <c r="L165" s="17"/>
      <c r="M165" s="17"/>
      <c r="N165" s="17"/>
      <c r="O165" s="17"/>
      <c r="P165" s="18"/>
      <c r="Q165" s="16" t="s">
        <v>83</v>
      </c>
      <c r="R165" s="18"/>
    </row>
    <row r="166" spans="1:18" ht="16.5" customHeight="1">
      <c r="A166" s="10">
        <v>165</v>
      </c>
      <c r="B166" s="10">
        <v>43</v>
      </c>
      <c r="C166" s="10">
        <v>57</v>
      </c>
      <c r="D166" s="11" t="s">
        <v>2718</v>
      </c>
      <c r="E166" s="19" t="s">
        <v>2719</v>
      </c>
      <c r="F166" s="11" t="s">
        <v>2723</v>
      </c>
      <c r="G166" s="10" t="s">
        <v>827</v>
      </c>
      <c r="H166" s="13" t="s">
        <v>2724</v>
      </c>
      <c r="I166" s="14" t="s">
        <v>2725</v>
      </c>
      <c r="J166" s="15" t="s">
        <v>2726</v>
      </c>
      <c r="K166" s="16" t="s">
        <v>82</v>
      </c>
      <c r="L166" s="17"/>
      <c r="M166" s="17"/>
      <c r="N166" s="17"/>
      <c r="O166" s="17"/>
      <c r="P166" s="18"/>
      <c r="Q166" s="16" t="s">
        <v>83</v>
      </c>
      <c r="R166" s="18"/>
    </row>
    <row r="167" spans="1:18" ht="16.5" customHeight="1">
      <c r="A167" s="10">
        <v>166</v>
      </c>
      <c r="B167" s="10">
        <v>43</v>
      </c>
      <c r="C167" s="10">
        <v>58</v>
      </c>
      <c r="D167" s="11" t="s">
        <v>2719</v>
      </c>
      <c r="E167" s="12" t="s">
        <v>2723</v>
      </c>
      <c r="F167" s="11" t="s">
        <v>2727</v>
      </c>
      <c r="G167" s="10"/>
      <c r="H167" s="13" t="s">
        <v>2728</v>
      </c>
      <c r="I167" s="14" t="s">
        <v>2729</v>
      </c>
      <c r="J167" s="15" t="s">
        <v>2730</v>
      </c>
      <c r="K167" s="16" t="s">
        <v>82</v>
      </c>
      <c r="L167" s="17"/>
      <c r="M167" s="17"/>
      <c r="N167" s="17"/>
      <c r="O167" s="17"/>
      <c r="P167" s="18"/>
      <c r="Q167" s="16" t="s">
        <v>83</v>
      </c>
      <c r="R167" s="18"/>
    </row>
    <row r="168" spans="1:18" ht="16.5" customHeight="1">
      <c r="A168" s="10">
        <v>167</v>
      </c>
      <c r="B168" s="10">
        <v>45</v>
      </c>
      <c r="C168" s="10">
        <v>10</v>
      </c>
      <c r="D168" s="11" t="s">
        <v>2731</v>
      </c>
      <c r="E168" s="12" t="s">
        <v>2732</v>
      </c>
      <c r="F168" s="11" t="s">
        <v>2733</v>
      </c>
      <c r="G168" s="10"/>
      <c r="H168" s="13" t="s">
        <v>2734</v>
      </c>
      <c r="I168" s="14" t="s">
        <v>2735</v>
      </c>
      <c r="J168" s="15" t="s">
        <v>2736</v>
      </c>
      <c r="K168" s="16" t="s">
        <v>82</v>
      </c>
      <c r="L168" s="17"/>
      <c r="M168" s="17"/>
      <c r="N168" s="17"/>
      <c r="O168" s="17"/>
      <c r="P168" s="18"/>
      <c r="Q168" s="16" t="s">
        <v>83</v>
      </c>
      <c r="R168" s="18"/>
    </row>
    <row r="169" spans="1:18" ht="16.5" customHeight="1">
      <c r="A169" s="10">
        <v>168</v>
      </c>
      <c r="B169" s="10">
        <v>45</v>
      </c>
      <c r="C169" s="10">
        <v>11</v>
      </c>
      <c r="D169" s="11" t="s">
        <v>2732</v>
      </c>
      <c r="E169" s="19" t="s">
        <v>2733</v>
      </c>
      <c r="F169" s="11" t="s">
        <v>2737</v>
      </c>
      <c r="G169" s="10" t="s">
        <v>1524</v>
      </c>
      <c r="H169" s="13" t="s">
        <v>2738</v>
      </c>
      <c r="I169" s="14" t="s">
        <v>2739</v>
      </c>
      <c r="J169" s="15" t="s">
        <v>2740</v>
      </c>
      <c r="K169" s="16" t="s">
        <v>89</v>
      </c>
      <c r="L169" s="17" t="s">
        <v>90</v>
      </c>
      <c r="M169" s="17" t="s">
        <v>164</v>
      </c>
      <c r="N169" s="17" t="s">
        <v>2741</v>
      </c>
      <c r="O169" s="17" t="s">
        <v>2742</v>
      </c>
      <c r="P169" s="18" t="s">
        <v>2743</v>
      </c>
      <c r="Q169" s="16" t="s">
        <v>83</v>
      </c>
      <c r="R169" s="18"/>
    </row>
    <row r="170" spans="1:18" ht="16.5" customHeight="1">
      <c r="A170" s="10">
        <v>169</v>
      </c>
      <c r="B170" s="10">
        <v>45</v>
      </c>
      <c r="C170" s="10">
        <v>12</v>
      </c>
      <c r="D170" s="11" t="s">
        <v>2733</v>
      </c>
      <c r="E170" s="12" t="s">
        <v>2737</v>
      </c>
      <c r="F170" s="11" t="s">
        <v>2744</v>
      </c>
      <c r="G170" s="10"/>
      <c r="H170" s="13" t="s">
        <v>2745</v>
      </c>
      <c r="I170" s="14" t="s">
        <v>2746</v>
      </c>
      <c r="J170" s="15" t="s">
        <v>2746</v>
      </c>
      <c r="K170" s="16" t="s">
        <v>82</v>
      </c>
      <c r="L170" s="17"/>
      <c r="M170" s="17"/>
      <c r="N170" s="17"/>
      <c r="O170" s="17"/>
      <c r="P170" s="18"/>
      <c r="Q170" s="16" t="s">
        <v>83</v>
      </c>
      <c r="R170" s="18"/>
    </row>
    <row r="171" spans="1:18" ht="16.5" customHeight="1">
      <c r="A171" s="10">
        <v>170</v>
      </c>
      <c r="B171" s="10">
        <v>46</v>
      </c>
      <c r="C171" s="10">
        <v>21</v>
      </c>
      <c r="D171" s="11" t="s">
        <v>2747</v>
      </c>
      <c r="E171" s="12" t="s">
        <v>2748</v>
      </c>
      <c r="F171" s="11" t="s">
        <v>2749</v>
      </c>
      <c r="G171" s="10"/>
      <c r="H171" s="13" t="s">
        <v>2750</v>
      </c>
      <c r="I171" s="14" t="s">
        <v>2751</v>
      </c>
      <c r="J171" s="15" t="s">
        <v>2751</v>
      </c>
      <c r="K171" s="16" t="s">
        <v>82</v>
      </c>
      <c r="L171" s="17"/>
      <c r="M171" s="17"/>
      <c r="N171" s="17"/>
      <c r="O171" s="17"/>
      <c r="P171" s="18"/>
      <c r="Q171" s="16" t="s">
        <v>83</v>
      </c>
      <c r="R171" s="18"/>
    </row>
    <row r="172" spans="1:18" ht="16.5" customHeight="1">
      <c r="A172" s="10">
        <v>171</v>
      </c>
      <c r="B172" s="10">
        <v>46</v>
      </c>
      <c r="C172" s="10">
        <v>22</v>
      </c>
      <c r="D172" s="11" t="s">
        <v>2748</v>
      </c>
      <c r="E172" s="19" t="s">
        <v>2749</v>
      </c>
      <c r="F172" s="11" t="s">
        <v>2752</v>
      </c>
      <c r="G172" s="10" t="s">
        <v>2753</v>
      </c>
      <c r="H172" s="13" t="s">
        <v>2754</v>
      </c>
      <c r="I172" s="14" t="s">
        <v>2755</v>
      </c>
      <c r="J172" s="15" t="s">
        <v>2756</v>
      </c>
      <c r="K172" s="16" t="s">
        <v>82</v>
      </c>
      <c r="L172" s="17"/>
      <c r="M172" s="17"/>
      <c r="N172" s="17"/>
      <c r="O172" s="17"/>
      <c r="P172" s="18"/>
      <c r="Q172" s="16" t="s">
        <v>83</v>
      </c>
      <c r="R172" s="18"/>
    </row>
    <row r="173" spans="1:18" ht="16.5" customHeight="1">
      <c r="A173" s="10">
        <v>172</v>
      </c>
      <c r="B173" s="10">
        <v>46</v>
      </c>
      <c r="C173" s="10">
        <v>23</v>
      </c>
      <c r="D173" s="11" t="s">
        <v>2749</v>
      </c>
      <c r="E173" s="12" t="s">
        <v>2752</v>
      </c>
      <c r="F173" s="11" t="s">
        <v>2757</v>
      </c>
      <c r="G173" s="10"/>
      <c r="H173" s="13" t="s">
        <v>2758</v>
      </c>
      <c r="I173" s="14" t="s">
        <v>2759</v>
      </c>
      <c r="J173" s="15" t="s">
        <v>2760</v>
      </c>
      <c r="K173" s="16" t="s">
        <v>82</v>
      </c>
      <c r="L173" s="17"/>
      <c r="M173" s="17"/>
      <c r="N173" s="17"/>
      <c r="O173" s="17"/>
      <c r="P173" s="18"/>
      <c r="Q173" s="16" t="s">
        <v>83</v>
      </c>
      <c r="R173" s="18"/>
    </row>
    <row r="174" spans="1:18" ht="16.5" customHeight="1">
      <c r="A174" s="10">
        <v>173</v>
      </c>
      <c r="B174" s="10">
        <v>47</v>
      </c>
      <c r="C174" s="10">
        <v>11</v>
      </c>
      <c r="D174" s="11" t="s">
        <v>2761</v>
      </c>
      <c r="E174" s="12" t="s">
        <v>2762</v>
      </c>
      <c r="F174" s="11" t="s">
        <v>2763</v>
      </c>
      <c r="G174" s="10"/>
      <c r="H174" s="13" t="s">
        <v>2764</v>
      </c>
      <c r="I174" s="14" t="s">
        <v>2765</v>
      </c>
      <c r="J174" s="15" t="s">
        <v>2766</v>
      </c>
      <c r="K174" s="16" t="s">
        <v>82</v>
      </c>
      <c r="L174" s="17"/>
      <c r="M174" s="17"/>
      <c r="N174" s="17"/>
      <c r="O174" s="17"/>
      <c r="P174" s="18"/>
      <c r="Q174" s="16" t="s">
        <v>83</v>
      </c>
      <c r="R174" s="18"/>
    </row>
    <row r="175" spans="1:18" ht="16.5" customHeight="1">
      <c r="A175" s="10">
        <v>174</v>
      </c>
      <c r="B175" s="10">
        <v>47</v>
      </c>
      <c r="C175" s="10">
        <v>12</v>
      </c>
      <c r="D175" s="11" t="s">
        <v>2762</v>
      </c>
      <c r="E175" s="19" t="s">
        <v>2763</v>
      </c>
      <c r="F175" s="11" t="s">
        <v>2767</v>
      </c>
      <c r="G175" s="10" t="s">
        <v>85</v>
      </c>
      <c r="H175" s="13" t="s">
        <v>2768</v>
      </c>
      <c r="I175" s="14" t="s">
        <v>2769</v>
      </c>
      <c r="J175" s="15" t="s">
        <v>2769</v>
      </c>
      <c r="K175" s="16" t="s">
        <v>82</v>
      </c>
      <c r="L175" s="17"/>
      <c r="M175" s="17"/>
      <c r="N175" s="17"/>
      <c r="O175" s="17"/>
      <c r="P175" s="18"/>
      <c r="Q175" s="16" t="s">
        <v>83</v>
      </c>
      <c r="R175" s="18"/>
    </row>
    <row r="176" spans="1:18" ht="16.5" customHeight="1">
      <c r="A176" s="10">
        <v>175</v>
      </c>
      <c r="B176" s="10">
        <v>47</v>
      </c>
      <c r="C176" s="10">
        <v>13</v>
      </c>
      <c r="D176" s="11" t="s">
        <v>2763</v>
      </c>
      <c r="E176" s="12" t="s">
        <v>2767</v>
      </c>
      <c r="F176" s="11" t="s">
        <v>2770</v>
      </c>
      <c r="G176" s="10"/>
      <c r="H176" s="13" t="s">
        <v>2771</v>
      </c>
      <c r="I176" s="14" t="s">
        <v>2772</v>
      </c>
      <c r="J176" s="15" t="s">
        <v>2773</v>
      </c>
      <c r="K176" s="16" t="s">
        <v>82</v>
      </c>
      <c r="L176" s="17"/>
      <c r="M176" s="17"/>
      <c r="N176" s="17"/>
      <c r="O176" s="17"/>
      <c r="P176" s="18"/>
      <c r="Q176" s="16" t="s">
        <v>83</v>
      </c>
      <c r="R176" s="18"/>
    </row>
    <row r="177" spans="1:18" ht="16.5" customHeight="1">
      <c r="A177" s="10">
        <v>176</v>
      </c>
      <c r="B177" s="10">
        <v>47</v>
      </c>
      <c r="C177" s="10">
        <v>17</v>
      </c>
      <c r="D177" s="11" t="s">
        <v>2774</v>
      </c>
      <c r="E177" s="12" t="s">
        <v>2775</v>
      </c>
      <c r="F177" s="11" t="s">
        <v>2776</v>
      </c>
      <c r="G177" s="10"/>
      <c r="H177" s="13" t="s">
        <v>2777</v>
      </c>
      <c r="I177" s="14" t="s">
        <v>2778</v>
      </c>
      <c r="J177" s="15" t="s">
        <v>2779</v>
      </c>
      <c r="K177" s="16" t="s">
        <v>82</v>
      </c>
      <c r="L177" s="17"/>
      <c r="M177" s="17"/>
      <c r="N177" s="17"/>
      <c r="O177" s="17"/>
      <c r="P177" s="18"/>
      <c r="Q177" s="16" t="s">
        <v>83</v>
      </c>
      <c r="R177" s="18"/>
    </row>
    <row r="178" spans="1:18" ht="16.5" customHeight="1">
      <c r="A178" s="10">
        <v>177</v>
      </c>
      <c r="B178" s="10">
        <v>47</v>
      </c>
      <c r="C178" s="10">
        <v>18</v>
      </c>
      <c r="D178" s="11" t="s">
        <v>2775</v>
      </c>
      <c r="E178" s="19" t="s">
        <v>2776</v>
      </c>
      <c r="F178" s="11" t="s">
        <v>2780</v>
      </c>
      <c r="G178" s="10" t="s">
        <v>569</v>
      </c>
      <c r="H178" s="13" t="s">
        <v>2781</v>
      </c>
      <c r="I178" s="14" t="s">
        <v>2782</v>
      </c>
      <c r="J178" s="15" t="s">
        <v>2783</v>
      </c>
      <c r="K178" s="16" t="s">
        <v>82</v>
      </c>
      <c r="L178" s="17"/>
      <c r="M178" s="17"/>
      <c r="N178" s="17"/>
      <c r="O178" s="17"/>
      <c r="P178" s="18"/>
      <c r="Q178" s="16" t="s">
        <v>83</v>
      </c>
      <c r="R178" s="18"/>
    </row>
    <row r="179" spans="1:18" ht="16.5" customHeight="1">
      <c r="A179" s="10">
        <v>178</v>
      </c>
      <c r="B179" s="10">
        <v>47</v>
      </c>
      <c r="C179" s="10">
        <v>19</v>
      </c>
      <c r="D179" s="11" t="s">
        <v>2776</v>
      </c>
      <c r="E179" s="12" t="s">
        <v>2780</v>
      </c>
      <c r="F179" s="11" t="s">
        <v>2784</v>
      </c>
      <c r="G179" s="10"/>
      <c r="H179" s="13" t="s">
        <v>2785</v>
      </c>
      <c r="I179" s="14" t="s">
        <v>2786</v>
      </c>
      <c r="J179" s="15" t="s">
        <v>2787</v>
      </c>
      <c r="K179" s="16" t="s">
        <v>82</v>
      </c>
      <c r="L179" s="17"/>
      <c r="M179" s="17"/>
      <c r="N179" s="17"/>
      <c r="O179" s="17"/>
      <c r="P179" s="18"/>
      <c r="Q179" s="16" t="s">
        <v>83</v>
      </c>
      <c r="R179" s="18"/>
    </row>
    <row r="180" spans="1:18" ht="16.5" customHeight="1">
      <c r="A180" s="10">
        <v>179</v>
      </c>
      <c r="B180" s="10">
        <v>49</v>
      </c>
      <c r="C180" s="10">
        <v>3</v>
      </c>
      <c r="D180" s="11" t="s">
        <v>2788</v>
      </c>
      <c r="E180" s="12" t="s">
        <v>2789</v>
      </c>
      <c r="F180" s="11" t="s">
        <v>2790</v>
      </c>
      <c r="G180" s="10"/>
      <c r="H180" s="13" t="s">
        <v>2791</v>
      </c>
      <c r="I180" s="14" t="s">
        <v>2792</v>
      </c>
      <c r="J180" s="15" t="s">
        <v>2793</v>
      </c>
      <c r="K180" s="16" t="s">
        <v>82</v>
      </c>
      <c r="L180" s="17"/>
      <c r="M180" s="17"/>
      <c r="N180" s="17"/>
      <c r="O180" s="17"/>
      <c r="P180" s="18"/>
      <c r="Q180" s="16" t="s">
        <v>83</v>
      </c>
      <c r="R180" s="18"/>
    </row>
    <row r="181" spans="1:18" ht="16.5" customHeight="1">
      <c r="A181" s="10">
        <v>180</v>
      </c>
      <c r="B181" s="10">
        <v>49</v>
      </c>
      <c r="C181" s="10">
        <v>4</v>
      </c>
      <c r="D181" s="11" t="s">
        <v>2789</v>
      </c>
      <c r="E181" s="19" t="s">
        <v>2790</v>
      </c>
      <c r="F181" s="11" t="s">
        <v>2794</v>
      </c>
      <c r="G181" s="10" t="s">
        <v>2795</v>
      </c>
      <c r="H181" s="13" t="s">
        <v>2796</v>
      </c>
      <c r="I181" s="14" t="s">
        <v>2797</v>
      </c>
      <c r="J181" s="15" t="s">
        <v>2797</v>
      </c>
      <c r="K181" s="16" t="s">
        <v>82</v>
      </c>
      <c r="L181" s="17"/>
      <c r="M181" s="17"/>
      <c r="N181" s="17"/>
      <c r="O181" s="17"/>
      <c r="P181" s="18"/>
      <c r="Q181" s="16" t="s">
        <v>83</v>
      </c>
      <c r="R181" s="18"/>
    </row>
    <row r="182" spans="1:18" ht="16.5" customHeight="1">
      <c r="A182" s="10">
        <v>181</v>
      </c>
      <c r="B182" s="10">
        <v>49</v>
      </c>
      <c r="C182" s="10">
        <v>5</v>
      </c>
      <c r="D182" s="11" t="s">
        <v>2790</v>
      </c>
      <c r="E182" s="12" t="s">
        <v>2794</v>
      </c>
      <c r="F182" s="11" t="s">
        <v>2798</v>
      </c>
      <c r="G182" s="10"/>
      <c r="H182" s="13" t="s">
        <v>2799</v>
      </c>
      <c r="I182" s="14" t="s">
        <v>2800</v>
      </c>
      <c r="J182" s="15" t="s">
        <v>2800</v>
      </c>
      <c r="K182" s="16" t="s">
        <v>82</v>
      </c>
      <c r="L182" s="17"/>
      <c r="M182" s="17"/>
      <c r="N182" s="17"/>
      <c r="O182" s="17"/>
      <c r="P182" s="18"/>
      <c r="Q182" s="16" t="s">
        <v>83</v>
      </c>
      <c r="R182" s="18"/>
    </row>
    <row r="183" spans="1:18" ht="16.5" customHeight="1">
      <c r="A183" s="10">
        <v>182</v>
      </c>
      <c r="B183" s="10">
        <v>50</v>
      </c>
      <c r="C183" s="10">
        <v>21</v>
      </c>
      <c r="D183" s="11" t="s">
        <v>2801</v>
      </c>
      <c r="E183" s="12" t="s">
        <v>2802</v>
      </c>
      <c r="F183" s="11" t="s">
        <v>2803</v>
      </c>
      <c r="G183" s="10"/>
      <c r="H183" s="13" t="s">
        <v>2804</v>
      </c>
      <c r="I183" s="14" t="s">
        <v>2805</v>
      </c>
      <c r="J183" s="15" t="s">
        <v>2805</v>
      </c>
      <c r="K183" s="16" t="s">
        <v>82</v>
      </c>
      <c r="L183" s="17"/>
      <c r="M183" s="17"/>
      <c r="N183" s="17"/>
      <c r="O183" s="17"/>
      <c r="P183" s="18"/>
      <c r="Q183" s="16" t="s">
        <v>83</v>
      </c>
      <c r="R183" s="18"/>
    </row>
    <row r="184" spans="1:18" ht="16.5" customHeight="1">
      <c r="A184" s="10">
        <v>183</v>
      </c>
      <c r="B184" s="10">
        <v>50</v>
      </c>
      <c r="C184" s="10">
        <v>22</v>
      </c>
      <c r="D184" s="11" t="s">
        <v>2802</v>
      </c>
      <c r="E184" s="19" t="s">
        <v>2803</v>
      </c>
      <c r="F184" s="11" t="s">
        <v>2806</v>
      </c>
      <c r="G184" s="10" t="s">
        <v>569</v>
      </c>
      <c r="H184" s="13" t="s">
        <v>2807</v>
      </c>
      <c r="I184" s="14" t="s">
        <v>2808</v>
      </c>
      <c r="J184" s="15" t="s">
        <v>2809</v>
      </c>
      <c r="K184" s="16" t="s">
        <v>82</v>
      </c>
      <c r="L184" s="17"/>
      <c r="M184" s="17"/>
      <c r="N184" s="17"/>
      <c r="O184" s="17"/>
      <c r="P184" s="18"/>
      <c r="Q184" s="16" t="s">
        <v>83</v>
      </c>
      <c r="R184" s="18"/>
    </row>
    <row r="185" spans="1:18" ht="16.5" customHeight="1">
      <c r="A185" s="10">
        <v>184</v>
      </c>
      <c r="B185" s="10">
        <v>50</v>
      </c>
      <c r="C185" s="10">
        <v>23</v>
      </c>
      <c r="D185" s="11" t="s">
        <v>2803</v>
      </c>
      <c r="E185" s="12" t="s">
        <v>2806</v>
      </c>
      <c r="F185" s="11" t="s">
        <v>2810</v>
      </c>
      <c r="G185" s="10"/>
      <c r="H185" s="13" t="s">
        <v>2811</v>
      </c>
      <c r="I185" s="14" t="s">
        <v>2812</v>
      </c>
      <c r="J185" s="15" t="s">
        <v>2813</v>
      </c>
      <c r="K185" s="16" t="s">
        <v>82</v>
      </c>
      <c r="L185" s="17"/>
      <c r="M185" s="17"/>
      <c r="N185" s="17"/>
      <c r="O185" s="17"/>
      <c r="P185" s="18"/>
      <c r="Q185" s="16" t="s">
        <v>83</v>
      </c>
      <c r="R185" s="18"/>
    </row>
    <row r="186" spans="1:18" ht="16.5" customHeight="1">
      <c r="A186" s="10">
        <v>185</v>
      </c>
      <c r="B186" s="10">
        <v>50</v>
      </c>
      <c r="C186" s="10">
        <v>80</v>
      </c>
      <c r="D186" s="11" t="s">
        <v>2814</v>
      </c>
      <c r="E186" s="12" t="s">
        <v>2815</v>
      </c>
      <c r="F186" s="11" t="s">
        <v>2816</v>
      </c>
      <c r="G186" s="10"/>
      <c r="H186" s="13" t="s">
        <v>2817</v>
      </c>
      <c r="I186" s="14" t="s">
        <v>2818</v>
      </c>
      <c r="J186" s="15" t="s">
        <v>2819</v>
      </c>
      <c r="K186" s="16" t="s">
        <v>82</v>
      </c>
      <c r="L186" s="17"/>
      <c r="M186" s="17"/>
      <c r="N186" s="17"/>
      <c r="O186" s="17"/>
      <c r="P186" s="18"/>
      <c r="Q186" s="16" t="s">
        <v>83</v>
      </c>
      <c r="R186" s="18"/>
    </row>
    <row r="187" spans="1:18" ht="16.5" customHeight="1">
      <c r="A187" s="10">
        <v>186</v>
      </c>
      <c r="B187" s="10">
        <v>50</v>
      </c>
      <c r="C187" s="10">
        <v>81</v>
      </c>
      <c r="D187" s="11" t="s">
        <v>2815</v>
      </c>
      <c r="E187" s="19" t="s">
        <v>2816</v>
      </c>
      <c r="F187" s="11" t="s">
        <v>2820</v>
      </c>
      <c r="G187" s="10" t="s">
        <v>85</v>
      </c>
      <c r="H187" s="13" t="s">
        <v>2821</v>
      </c>
      <c r="I187" s="14" t="s">
        <v>2822</v>
      </c>
      <c r="J187" s="15" t="s">
        <v>2823</v>
      </c>
      <c r="K187" s="16" t="s">
        <v>82</v>
      </c>
      <c r="L187" s="17"/>
      <c r="M187" s="17"/>
      <c r="N187" s="17"/>
      <c r="O187" s="17"/>
      <c r="P187" s="18"/>
      <c r="Q187" s="16" t="s">
        <v>83</v>
      </c>
      <c r="R187" s="18"/>
    </row>
    <row r="188" spans="1:18" ht="16.5" customHeight="1">
      <c r="A188" s="10">
        <v>187</v>
      </c>
      <c r="B188" s="10">
        <v>50</v>
      </c>
      <c r="C188" s="10">
        <v>82</v>
      </c>
      <c r="D188" s="11" t="s">
        <v>2816</v>
      </c>
      <c r="E188" s="12" t="s">
        <v>2820</v>
      </c>
      <c r="F188" s="11" t="s">
        <v>2824</v>
      </c>
      <c r="G188" s="10"/>
      <c r="H188" s="13" t="s">
        <v>2825</v>
      </c>
      <c r="I188" s="14" t="s">
        <v>2826</v>
      </c>
      <c r="J188" s="15" t="s">
        <v>2826</v>
      </c>
      <c r="K188" s="16" t="s">
        <v>82</v>
      </c>
      <c r="L188" s="17"/>
      <c r="M188" s="17"/>
      <c r="N188" s="17"/>
      <c r="O188" s="17"/>
      <c r="P188" s="18"/>
      <c r="Q188" s="16" t="s">
        <v>83</v>
      </c>
      <c r="R188" s="18"/>
    </row>
    <row r="189" spans="1:18" ht="16.5" customHeight="1">
      <c r="A189" s="10">
        <v>188</v>
      </c>
      <c r="B189" s="10">
        <v>53</v>
      </c>
      <c r="C189" s="10">
        <v>33</v>
      </c>
      <c r="D189" s="11" t="s">
        <v>2827</v>
      </c>
      <c r="E189" s="12" t="s">
        <v>349</v>
      </c>
      <c r="F189" s="11"/>
      <c r="G189" s="10"/>
      <c r="H189" s="13" t="s">
        <v>200</v>
      </c>
      <c r="I189" s="14" t="s">
        <v>1096</v>
      </c>
      <c r="J189" s="15" t="s">
        <v>1096</v>
      </c>
      <c r="K189" s="16" t="s">
        <v>82</v>
      </c>
      <c r="L189" s="17"/>
      <c r="M189" s="17"/>
      <c r="N189" s="17"/>
      <c r="O189" s="17"/>
      <c r="P189" s="18"/>
      <c r="Q189" s="16" t="s">
        <v>83</v>
      </c>
      <c r="R189" s="18"/>
    </row>
    <row r="190" spans="1:18" ht="16.5" customHeight="1">
      <c r="A190" s="10">
        <v>189</v>
      </c>
      <c r="B190" s="10">
        <v>54</v>
      </c>
      <c r="C190" s="10">
        <v>1</v>
      </c>
      <c r="D190" s="11"/>
      <c r="E190" s="19" t="s">
        <v>2828</v>
      </c>
      <c r="F190" s="11" t="s">
        <v>2829</v>
      </c>
      <c r="G190" s="10" t="s">
        <v>2795</v>
      </c>
      <c r="H190" s="13" t="s">
        <v>2830</v>
      </c>
      <c r="I190" s="14" t="s">
        <v>2831</v>
      </c>
      <c r="J190" s="15" t="s">
        <v>2831</v>
      </c>
      <c r="K190" s="16" t="s">
        <v>82</v>
      </c>
      <c r="L190" s="17"/>
      <c r="M190" s="17"/>
      <c r="N190" s="17"/>
      <c r="O190" s="17"/>
      <c r="P190" s="18"/>
      <c r="Q190" s="16" t="s">
        <v>83</v>
      </c>
      <c r="R190" s="18"/>
    </row>
    <row r="191" spans="1:18" ht="16.5" customHeight="1">
      <c r="A191" s="10">
        <v>190</v>
      </c>
      <c r="B191" s="10">
        <v>54</v>
      </c>
      <c r="C191" s="10">
        <v>2</v>
      </c>
      <c r="D191" s="11" t="s">
        <v>2828</v>
      </c>
      <c r="E191" s="12" t="s">
        <v>2829</v>
      </c>
      <c r="F191" s="11" t="s">
        <v>2832</v>
      </c>
      <c r="G191" s="10"/>
      <c r="H191" s="13" t="s">
        <v>2833</v>
      </c>
      <c r="I191" s="14" t="s">
        <v>2834</v>
      </c>
      <c r="J191" s="15" t="s">
        <v>2835</v>
      </c>
      <c r="K191" s="16" t="s">
        <v>82</v>
      </c>
      <c r="L191" s="17"/>
      <c r="M191" s="17"/>
      <c r="N191" s="17"/>
      <c r="O191" s="17"/>
      <c r="P191" s="18"/>
      <c r="Q191" s="16" t="s">
        <v>83</v>
      </c>
      <c r="R191" s="18"/>
    </row>
    <row r="192" spans="1:18" ht="16.5" customHeight="1">
      <c r="A192" s="10">
        <v>191</v>
      </c>
      <c r="B192" s="10">
        <v>54</v>
      </c>
      <c r="C192" s="10">
        <v>11</v>
      </c>
      <c r="D192" s="11" t="s">
        <v>2836</v>
      </c>
      <c r="E192" s="12" t="s">
        <v>2837</v>
      </c>
      <c r="F192" s="11" t="s">
        <v>2838</v>
      </c>
      <c r="G192" s="10"/>
      <c r="H192" s="13" t="s">
        <v>2839</v>
      </c>
      <c r="I192" s="14" t="s">
        <v>2840</v>
      </c>
      <c r="J192" s="15" t="s">
        <v>2841</v>
      </c>
      <c r="K192" s="16" t="s">
        <v>82</v>
      </c>
      <c r="L192" s="17"/>
      <c r="M192" s="17"/>
      <c r="N192" s="17"/>
      <c r="O192" s="17"/>
      <c r="P192" s="18"/>
      <c r="Q192" s="16" t="s">
        <v>83</v>
      </c>
      <c r="R192" s="18"/>
    </row>
    <row r="193" spans="1:18" ht="16.5" customHeight="1">
      <c r="A193" s="10">
        <v>192</v>
      </c>
      <c r="B193" s="10">
        <v>54</v>
      </c>
      <c r="C193" s="10">
        <v>12</v>
      </c>
      <c r="D193" s="11" t="s">
        <v>2837</v>
      </c>
      <c r="E193" s="19" t="s">
        <v>2838</v>
      </c>
      <c r="F193" s="11" t="s">
        <v>2842</v>
      </c>
      <c r="G193" s="10" t="s">
        <v>2795</v>
      </c>
      <c r="H193" s="13" t="s">
        <v>2843</v>
      </c>
      <c r="I193" s="14" t="s">
        <v>2844</v>
      </c>
      <c r="J193" s="15" t="s">
        <v>2845</v>
      </c>
      <c r="K193" s="16" t="s">
        <v>82</v>
      </c>
      <c r="L193" s="17"/>
      <c r="M193" s="17"/>
      <c r="N193" s="17"/>
      <c r="O193" s="17"/>
      <c r="P193" s="18"/>
      <c r="Q193" s="16" t="s">
        <v>83</v>
      </c>
      <c r="R193" s="18"/>
    </row>
    <row r="194" spans="1:18" ht="16.5" customHeight="1">
      <c r="A194" s="10">
        <v>193</v>
      </c>
      <c r="B194" s="10">
        <v>54</v>
      </c>
      <c r="C194" s="10">
        <v>13</v>
      </c>
      <c r="D194" s="11" t="s">
        <v>2838</v>
      </c>
      <c r="E194" s="12" t="s">
        <v>2842</v>
      </c>
      <c r="F194" s="11" t="s">
        <v>2846</v>
      </c>
      <c r="G194" s="10"/>
      <c r="H194" s="13" t="s">
        <v>2847</v>
      </c>
      <c r="I194" s="14" t="s">
        <v>2848</v>
      </c>
      <c r="J194" s="15" t="s">
        <v>2849</v>
      </c>
      <c r="K194" s="16" t="s">
        <v>82</v>
      </c>
      <c r="L194" s="17"/>
      <c r="M194" s="17"/>
      <c r="N194" s="17"/>
      <c r="O194" s="17"/>
      <c r="P194" s="18"/>
      <c r="Q194" s="16" t="s">
        <v>83</v>
      </c>
      <c r="R194" s="18"/>
    </row>
    <row r="195" spans="1:18" ht="16.5" customHeight="1">
      <c r="A195" s="10">
        <v>194</v>
      </c>
      <c r="B195" s="10">
        <v>54</v>
      </c>
      <c r="C195" s="10">
        <v>14</v>
      </c>
      <c r="D195" s="11" t="s">
        <v>2842</v>
      </c>
      <c r="E195" s="19" t="s">
        <v>2846</v>
      </c>
      <c r="F195" s="11" t="s">
        <v>1032</v>
      </c>
      <c r="G195" s="10" t="s">
        <v>2850</v>
      </c>
      <c r="H195" s="13" t="s">
        <v>2851</v>
      </c>
      <c r="I195" s="14" t="s">
        <v>2852</v>
      </c>
      <c r="J195" s="15" t="s">
        <v>2853</v>
      </c>
      <c r="K195" s="16" t="s">
        <v>89</v>
      </c>
      <c r="L195" s="17" t="s">
        <v>155</v>
      </c>
      <c r="M195" s="17" t="s">
        <v>91</v>
      </c>
      <c r="N195" s="17" t="s">
        <v>2854</v>
      </c>
      <c r="O195" s="17" t="s">
        <v>2855</v>
      </c>
      <c r="P195" s="18" t="s">
        <v>2856</v>
      </c>
      <c r="Q195" s="16" t="s">
        <v>113</v>
      </c>
      <c r="R195" s="18"/>
    </row>
    <row r="196" spans="1:18" ht="16.5" customHeight="1">
      <c r="A196" s="10">
        <v>195</v>
      </c>
      <c r="B196" s="10">
        <v>54</v>
      </c>
      <c r="C196" s="10">
        <v>15</v>
      </c>
      <c r="D196" s="11" t="s">
        <v>2846</v>
      </c>
      <c r="E196" s="12" t="s">
        <v>1032</v>
      </c>
      <c r="F196" s="11" t="s">
        <v>2857</v>
      </c>
      <c r="G196" s="10"/>
      <c r="H196" s="13" t="s">
        <v>2858</v>
      </c>
      <c r="I196" s="14" t="s">
        <v>2859</v>
      </c>
      <c r="J196" s="15" t="s">
        <v>2860</v>
      </c>
      <c r="K196" s="16" t="s">
        <v>82</v>
      </c>
      <c r="L196" s="17"/>
      <c r="M196" s="17"/>
      <c r="N196" s="17"/>
      <c r="O196" s="17"/>
      <c r="P196" s="18"/>
      <c r="Q196" s="16" t="s">
        <v>83</v>
      </c>
      <c r="R196" s="18"/>
    </row>
    <row r="197" spans="1:18" ht="16.5" customHeight="1">
      <c r="A197" s="10">
        <v>196</v>
      </c>
      <c r="B197" s="10">
        <v>54</v>
      </c>
      <c r="C197" s="10">
        <v>16</v>
      </c>
      <c r="D197" s="11" t="s">
        <v>1032</v>
      </c>
      <c r="E197" s="19" t="s">
        <v>2857</v>
      </c>
      <c r="F197" s="11" t="s">
        <v>2861</v>
      </c>
      <c r="G197" s="10" t="s">
        <v>802</v>
      </c>
      <c r="H197" s="13" t="s">
        <v>2862</v>
      </c>
      <c r="I197" s="14" t="s">
        <v>2863</v>
      </c>
      <c r="J197" s="15" t="s">
        <v>2864</v>
      </c>
      <c r="K197" s="16" t="s">
        <v>82</v>
      </c>
      <c r="L197" s="17"/>
      <c r="M197" s="17"/>
      <c r="N197" s="17"/>
      <c r="O197" s="17"/>
      <c r="P197" s="18"/>
      <c r="Q197" s="16" t="s">
        <v>83</v>
      </c>
      <c r="R197" s="18"/>
    </row>
    <row r="198" spans="1:18" ht="16.5" customHeight="1">
      <c r="A198" s="10">
        <v>197</v>
      </c>
      <c r="B198" s="10">
        <v>54</v>
      </c>
      <c r="C198" s="10">
        <v>17</v>
      </c>
      <c r="D198" s="11" t="s">
        <v>2857</v>
      </c>
      <c r="E198" s="12" t="s">
        <v>2861</v>
      </c>
      <c r="F198" s="11" t="s">
        <v>2865</v>
      </c>
      <c r="G198" s="10"/>
      <c r="H198" s="13" t="s">
        <v>2866</v>
      </c>
      <c r="I198" s="14" t="s">
        <v>2867</v>
      </c>
      <c r="J198" s="15" t="s">
        <v>2868</v>
      </c>
      <c r="K198" s="16" t="s">
        <v>82</v>
      </c>
      <c r="L198" s="17"/>
      <c r="M198" s="17"/>
      <c r="N198" s="17"/>
      <c r="O198" s="17"/>
      <c r="P198" s="18"/>
      <c r="Q198" s="16" t="s">
        <v>83</v>
      </c>
      <c r="R198" s="18"/>
    </row>
    <row r="199" spans="1:18" ht="16.5" customHeight="1">
      <c r="A199" s="10">
        <v>198</v>
      </c>
      <c r="B199" s="10">
        <v>54</v>
      </c>
      <c r="C199" s="10">
        <v>18</v>
      </c>
      <c r="D199" s="11" t="s">
        <v>2861</v>
      </c>
      <c r="E199" s="19" t="s">
        <v>2865</v>
      </c>
      <c r="F199" s="11" t="s">
        <v>2869</v>
      </c>
      <c r="G199" s="10" t="s">
        <v>633</v>
      </c>
      <c r="H199" s="13" t="s">
        <v>2870</v>
      </c>
      <c r="I199" s="14" t="s">
        <v>2871</v>
      </c>
      <c r="J199" s="15" t="s">
        <v>2872</v>
      </c>
      <c r="K199" s="16" t="s">
        <v>82</v>
      </c>
      <c r="L199" s="17"/>
      <c r="M199" s="17"/>
      <c r="N199" s="17"/>
      <c r="O199" s="17"/>
      <c r="P199" s="18"/>
      <c r="Q199" s="16" t="s">
        <v>83</v>
      </c>
      <c r="R199" s="18"/>
    </row>
    <row r="200" spans="1:18" ht="16.5" customHeight="1">
      <c r="A200" s="10">
        <v>199</v>
      </c>
      <c r="B200" s="10">
        <v>54</v>
      </c>
      <c r="C200" s="10">
        <v>19</v>
      </c>
      <c r="D200" s="11" t="s">
        <v>2865</v>
      </c>
      <c r="E200" s="19" t="s">
        <v>2869</v>
      </c>
      <c r="F200" s="11" t="s">
        <v>2873</v>
      </c>
      <c r="G200" s="10" t="s">
        <v>2795</v>
      </c>
      <c r="H200" s="13" t="s">
        <v>2874</v>
      </c>
      <c r="I200" s="14" t="s">
        <v>2875</v>
      </c>
      <c r="J200" s="15" t="s">
        <v>2876</v>
      </c>
      <c r="K200" s="16" t="s">
        <v>82</v>
      </c>
      <c r="L200" s="17"/>
      <c r="M200" s="17"/>
      <c r="N200" s="17"/>
      <c r="O200" s="17"/>
      <c r="P200" s="18"/>
      <c r="Q200" s="16" t="s">
        <v>83</v>
      </c>
      <c r="R200" s="18"/>
    </row>
    <row r="201" spans="1:18" ht="16.5" customHeight="1">
      <c r="A201" s="10">
        <v>200</v>
      </c>
      <c r="B201" s="10">
        <v>54</v>
      </c>
      <c r="C201" s="10">
        <v>20</v>
      </c>
      <c r="D201" s="11" t="s">
        <v>2869</v>
      </c>
      <c r="E201" s="19" t="s">
        <v>2873</v>
      </c>
      <c r="F201" s="11" t="s">
        <v>2877</v>
      </c>
      <c r="G201" s="10" t="s">
        <v>160</v>
      </c>
      <c r="H201" s="13" t="s">
        <v>2878</v>
      </c>
      <c r="I201" s="14" t="s">
        <v>2879</v>
      </c>
      <c r="J201" s="15" t="s">
        <v>2879</v>
      </c>
      <c r="K201" s="16" t="s">
        <v>82</v>
      </c>
      <c r="L201" s="17"/>
      <c r="M201" s="17"/>
      <c r="N201" s="17"/>
      <c r="O201" s="17"/>
      <c r="P201" s="18"/>
      <c r="Q201" s="16" t="s">
        <v>83</v>
      </c>
      <c r="R201" s="18"/>
    </row>
    <row r="202" spans="1:18" ht="16.5" customHeight="1">
      <c r="A202" s="10">
        <v>201</v>
      </c>
      <c r="B202" s="10">
        <v>54</v>
      </c>
      <c r="C202" s="10">
        <v>21</v>
      </c>
      <c r="D202" s="11" t="s">
        <v>2873</v>
      </c>
      <c r="E202" s="19" t="s">
        <v>2877</v>
      </c>
      <c r="F202" s="11" t="s">
        <v>2880</v>
      </c>
      <c r="G202" s="10" t="s">
        <v>133</v>
      </c>
      <c r="H202" s="13" t="s">
        <v>2881</v>
      </c>
      <c r="I202" s="14" t="s">
        <v>2882</v>
      </c>
      <c r="J202" s="15" t="s">
        <v>2882</v>
      </c>
      <c r="K202" s="16" t="s">
        <v>82</v>
      </c>
      <c r="L202" s="17"/>
      <c r="M202" s="17"/>
      <c r="N202" s="17"/>
      <c r="O202" s="17"/>
      <c r="P202" s="18"/>
      <c r="Q202" s="16" t="s">
        <v>83</v>
      </c>
      <c r="R202" s="18"/>
    </row>
    <row r="203" spans="1:18" ht="16.5" customHeight="1">
      <c r="A203" s="10">
        <v>202</v>
      </c>
      <c r="B203" s="10">
        <v>54</v>
      </c>
      <c r="C203" s="10">
        <v>22</v>
      </c>
      <c r="D203" s="11" t="s">
        <v>2877</v>
      </c>
      <c r="E203" s="12" t="s">
        <v>2880</v>
      </c>
      <c r="F203" s="11" t="s">
        <v>2883</v>
      </c>
      <c r="G203" s="10"/>
      <c r="H203" s="13" t="s">
        <v>2884</v>
      </c>
      <c r="I203" s="14" t="s">
        <v>2885</v>
      </c>
      <c r="J203" s="15" t="s">
        <v>2885</v>
      </c>
      <c r="K203" s="16" t="s">
        <v>82</v>
      </c>
      <c r="L203" s="17"/>
      <c r="M203" s="17"/>
      <c r="N203" s="17"/>
      <c r="O203" s="17"/>
      <c r="P203" s="18"/>
      <c r="Q203" s="16" t="s">
        <v>83</v>
      </c>
      <c r="R203" s="18"/>
    </row>
    <row r="204" spans="1:18" ht="16.5" customHeight="1">
      <c r="A204" s="10">
        <v>203</v>
      </c>
      <c r="B204" s="10">
        <v>56</v>
      </c>
      <c r="C204" s="10">
        <v>9</v>
      </c>
      <c r="D204" s="11" t="s">
        <v>2886</v>
      </c>
      <c r="E204" s="12" t="s">
        <v>2887</v>
      </c>
      <c r="F204" s="11" t="s">
        <v>2888</v>
      </c>
      <c r="G204" s="10"/>
      <c r="H204" s="13" t="s">
        <v>2889</v>
      </c>
      <c r="I204" s="14" t="s">
        <v>2890</v>
      </c>
      <c r="J204" s="15" t="s">
        <v>2891</v>
      </c>
      <c r="K204" s="16" t="s">
        <v>82</v>
      </c>
      <c r="L204" s="17"/>
      <c r="M204" s="17"/>
      <c r="N204" s="17"/>
      <c r="O204" s="17"/>
      <c r="P204" s="18"/>
      <c r="Q204" s="16" t="s">
        <v>83</v>
      </c>
      <c r="R204" s="18"/>
    </row>
    <row r="205" spans="1:18" ht="16.5" customHeight="1">
      <c r="A205" s="10">
        <v>204</v>
      </c>
      <c r="B205" s="10">
        <v>56</v>
      </c>
      <c r="C205" s="10">
        <v>10</v>
      </c>
      <c r="D205" s="11" t="s">
        <v>2887</v>
      </c>
      <c r="E205" s="19" t="s">
        <v>2888</v>
      </c>
      <c r="F205" s="11" t="s">
        <v>2892</v>
      </c>
      <c r="G205" s="10" t="s">
        <v>338</v>
      </c>
      <c r="H205" s="13" t="s">
        <v>2893</v>
      </c>
      <c r="I205" s="14" t="s">
        <v>2894</v>
      </c>
      <c r="J205" s="15" t="s">
        <v>2895</v>
      </c>
      <c r="K205" s="16" t="s">
        <v>82</v>
      </c>
      <c r="L205" s="17"/>
      <c r="M205" s="17"/>
      <c r="N205" s="17"/>
      <c r="O205" s="17"/>
      <c r="P205" s="18"/>
      <c r="Q205" s="16" t="s">
        <v>83</v>
      </c>
      <c r="R205" s="18"/>
    </row>
    <row r="206" spans="1:18" ht="16.5" customHeight="1">
      <c r="A206" s="10">
        <v>205</v>
      </c>
      <c r="B206" s="10">
        <v>56</v>
      </c>
      <c r="C206" s="10">
        <v>11</v>
      </c>
      <c r="D206" s="11" t="s">
        <v>2888</v>
      </c>
      <c r="E206" s="12" t="s">
        <v>2892</v>
      </c>
      <c r="F206" s="11" t="s">
        <v>2896</v>
      </c>
      <c r="G206" s="10"/>
      <c r="H206" s="13" t="s">
        <v>2897</v>
      </c>
      <c r="I206" s="14" t="s">
        <v>2898</v>
      </c>
      <c r="J206" s="15" t="s">
        <v>2899</v>
      </c>
      <c r="K206" s="16" t="s">
        <v>82</v>
      </c>
      <c r="L206" s="17"/>
      <c r="M206" s="17"/>
      <c r="N206" s="17"/>
      <c r="O206" s="17"/>
      <c r="P206" s="18"/>
      <c r="Q206" s="16" t="s">
        <v>83</v>
      </c>
      <c r="R206" s="18"/>
    </row>
    <row r="207" spans="1:18" ht="16.5" customHeight="1">
      <c r="A207" s="10">
        <v>206</v>
      </c>
      <c r="B207" s="10">
        <v>57</v>
      </c>
      <c r="C207" s="10">
        <v>19</v>
      </c>
      <c r="D207" s="11" t="s">
        <v>2900</v>
      </c>
      <c r="E207" s="12" t="s">
        <v>2901</v>
      </c>
      <c r="F207" s="11" t="s">
        <v>2902</v>
      </c>
      <c r="G207" s="10"/>
      <c r="H207" s="13" t="s">
        <v>2903</v>
      </c>
      <c r="I207" s="14" t="s">
        <v>2904</v>
      </c>
      <c r="J207" s="15" t="s">
        <v>2905</v>
      </c>
      <c r="K207" s="16" t="s">
        <v>82</v>
      </c>
      <c r="L207" s="17"/>
      <c r="M207" s="17"/>
      <c r="N207" s="17"/>
      <c r="O207" s="17"/>
      <c r="P207" s="18"/>
      <c r="Q207" s="16" t="s">
        <v>83</v>
      </c>
      <c r="R207" s="18"/>
    </row>
    <row r="208" spans="1:18" ht="16.5" customHeight="1">
      <c r="A208" s="10">
        <v>207</v>
      </c>
      <c r="B208" s="10">
        <v>57</v>
      </c>
      <c r="C208" s="10">
        <v>20</v>
      </c>
      <c r="D208" s="11" t="s">
        <v>2901</v>
      </c>
      <c r="E208" s="19" t="s">
        <v>2902</v>
      </c>
      <c r="F208" s="11" t="s">
        <v>2906</v>
      </c>
      <c r="G208" s="10" t="s">
        <v>1957</v>
      </c>
      <c r="H208" s="13" t="s">
        <v>2907</v>
      </c>
      <c r="I208" s="14" t="s">
        <v>2908</v>
      </c>
      <c r="J208" s="15" t="s">
        <v>2909</v>
      </c>
      <c r="K208" s="16" t="s">
        <v>82</v>
      </c>
      <c r="L208" s="17"/>
      <c r="M208" s="17"/>
      <c r="N208" s="17"/>
      <c r="O208" s="17"/>
      <c r="P208" s="18"/>
      <c r="Q208" s="16" t="s">
        <v>83</v>
      </c>
      <c r="R208" s="18"/>
    </row>
    <row r="209" spans="1:18" ht="16.5" customHeight="1">
      <c r="A209" s="10">
        <v>208</v>
      </c>
      <c r="B209" s="10">
        <v>57</v>
      </c>
      <c r="C209" s="10">
        <v>21</v>
      </c>
      <c r="D209" s="11" t="s">
        <v>2902</v>
      </c>
      <c r="E209" s="12" t="s">
        <v>2906</v>
      </c>
      <c r="F209" s="11" t="s">
        <v>2910</v>
      </c>
      <c r="G209" s="10"/>
      <c r="H209" s="13" t="s">
        <v>2911</v>
      </c>
      <c r="I209" s="14" t="s">
        <v>2912</v>
      </c>
      <c r="J209" s="15" t="s">
        <v>2913</v>
      </c>
      <c r="K209" s="16" t="s">
        <v>82</v>
      </c>
      <c r="L209" s="17"/>
      <c r="M209" s="17"/>
      <c r="N209" s="17"/>
      <c r="O209" s="17"/>
      <c r="P209" s="18"/>
      <c r="Q209" s="16" t="s">
        <v>83</v>
      </c>
      <c r="R209" s="18"/>
    </row>
    <row r="210" spans="1:18" ht="16.5" customHeight="1">
      <c r="A210" s="10">
        <v>209</v>
      </c>
      <c r="B210" s="10">
        <v>63</v>
      </c>
      <c r="C210" s="10">
        <v>24</v>
      </c>
      <c r="D210" s="11" t="s">
        <v>2914</v>
      </c>
      <c r="E210" s="12" t="s">
        <v>2915</v>
      </c>
      <c r="F210" s="11" t="s">
        <v>2916</v>
      </c>
      <c r="G210" s="10"/>
      <c r="H210" s="13" t="s">
        <v>2917</v>
      </c>
      <c r="I210" s="14" t="s">
        <v>2918</v>
      </c>
      <c r="J210" s="15" t="s">
        <v>2919</v>
      </c>
      <c r="K210" s="16" t="s">
        <v>82</v>
      </c>
      <c r="L210" s="17"/>
      <c r="M210" s="17"/>
      <c r="N210" s="17"/>
      <c r="O210" s="17"/>
      <c r="P210" s="18"/>
      <c r="Q210" s="16" t="s">
        <v>83</v>
      </c>
      <c r="R210" s="18"/>
    </row>
    <row r="211" spans="1:18" ht="16.5" customHeight="1">
      <c r="A211" s="10">
        <v>210</v>
      </c>
      <c r="B211" s="10">
        <v>63</v>
      </c>
      <c r="C211" s="10">
        <v>25</v>
      </c>
      <c r="D211" s="11" t="s">
        <v>2915</v>
      </c>
      <c r="E211" s="19" t="s">
        <v>2916</v>
      </c>
      <c r="F211" s="11" t="s">
        <v>2535</v>
      </c>
      <c r="G211" s="10" t="s">
        <v>2920</v>
      </c>
      <c r="H211" s="13" t="s">
        <v>2921</v>
      </c>
      <c r="I211" s="14" t="s">
        <v>2922</v>
      </c>
      <c r="J211" s="15" t="s">
        <v>2923</v>
      </c>
      <c r="K211" s="16" t="s">
        <v>82</v>
      </c>
      <c r="L211" s="17"/>
      <c r="M211" s="17"/>
      <c r="N211" s="17"/>
      <c r="O211" s="17"/>
      <c r="P211" s="18"/>
      <c r="Q211" s="16" t="s">
        <v>83</v>
      </c>
      <c r="R211" s="18"/>
    </row>
    <row r="212" spans="1:18" ht="16.5" customHeight="1">
      <c r="A212" s="10">
        <v>211</v>
      </c>
      <c r="B212" s="10">
        <v>63</v>
      </c>
      <c r="C212" s="10">
        <v>26</v>
      </c>
      <c r="D212" s="11" t="s">
        <v>2916</v>
      </c>
      <c r="E212" s="12" t="s">
        <v>2535</v>
      </c>
      <c r="F212" s="11" t="s">
        <v>2924</v>
      </c>
      <c r="G212" s="10"/>
      <c r="H212" s="13" t="s">
        <v>2540</v>
      </c>
      <c r="I212" s="14" t="s">
        <v>2541</v>
      </c>
      <c r="J212" s="15" t="s">
        <v>2541</v>
      </c>
      <c r="K212" s="16" t="s">
        <v>82</v>
      </c>
      <c r="L212" s="17"/>
      <c r="M212" s="17"/>
      <c r="N212" s="17"/>
      <c r="O212" s="17"/>
      <c r="P212" s="18"/>
      <c r="Q212" s="16" t="s">
        <v>83</v>
      </c>
      <c r="R212" s="18"/>
    </row>
    <row r="213" spans="1:18" ht="16.5" customHeight="1">
      <c r="A213" s="10">
        <v>212</v>
      </c>
      <c r="B213" s="10">
        <v>63</v>
      </c>
      <c r="C213" s="10">
        <v>31</v>
      </c>
      <c r="D213" s="11" t="s">
        <v>2925</v>
      </c>
      <c r="E213" s="12" t="s">
        <v>2926</v>
      </c>
      <c r="F213" s="11" t="s">
        <v>2927</v>
      </c>
      <c r="G213" s="10"/>
      <c r="H213" s="13" t="s">
        <v>2928</v>
      </c>
      <c r="I213" s="14" t="s">
        <v>2929</v>
      </c>
      <c r="J213" s="15" t="s">
        <v>2930</v>
      </c>
      <c r="K213" s="16" t="s">
        <v>82</v>
      </c>
      <c r="L213" s="17"/>
      <c r="M213" s="17"/>
      <c r="N213" s="17"/>
      <c r="O213" s="17"/>
      <c r="P213" s="18"/>
      <c r="Q213" s="16" t="s">
        <v>83</v>
      </c>
      <c r="R213" s="18"/>
    </row>
    <row r="214" spans="1:18" ht="16.5" customHeight="1">
      <c r="A214" s="10">
        <v>213</v>
      </c>
      <c r="B214" s="10">
        <v>63</v>
      </c>
      <c r="C214" s="10">
        <v>32</v>
      </c>
      <c r="D214" s="11" t="s">
        <v>2926</v>
      </c>
      <c r="E214" s="19" t="s">
        <v>2927</v>
      </c>
      <c r="F214" s="11" t="s">
        <v>2931</v>
      </c>
      <c r="G214" s="10" t="s">
        <v>569</v>
      </c>
      <c r="H214" s="13" t="s">
        <v>2932</v>
      </c>
      <c r="I214" s="14" t="s">
        <v>2933</v>
      </c>
      <c r="J214" s="15" t="s">
        <v>2934</v>
      </c>
      <c r="K214" s="16" t="s">
        <v>82</v>
      </c>
      <c r="L214" s="17"/>
      <c r="M214" s="17"/>
      <c r="N214" s="17"/>
      <c r="O214" s="17"/>
      <c r="P214" s="18"/>
      <c r="Q214" s="16" t="s">
        <v>83</v>
      </c>
      <c r="R214" s="18"/>
    </row>
    <row r="215" spans="1:18" ht="16.5" customHeight="1">
      <c r="A215" s="10">
        <v>214</v>
      </c>
      <c r="B215" s="10">
        <v>63</v>
      </c>
      <c r="C215" s="10">
        <v>33</v>
      </c>
      <c r="D215" s="11" t="s">
        <v>2927</v>
      </c>
      <c r="E215" s="12" t="s">
        <v>2931</v>
      </c>
      <c r="F215" s="11" t="s">
        <v>2935</v>
      </c>
      <c r="G215" s="10"/>
      <c r="H215" s="13" t="s">
        <v>2936</v>
      </c>
      <c r="I215" s="14" t="s">
        <v>2937</v>
      </c>
      <c r="J215" s="15" t="s">
        <v>2938</v>
      </c>
      <c r="K215" s="16" t="s">
        <v>82</v>
      </c>
      <c r="L215" s="17"/>
      <c r="M215" s="17"/>
      <c r="N215" s="17"/>
      <c r="O215" s="17"/>
      <c r="P215" s="18"/>
      <c r="Q215" s="16" t="s">
        <v>83</v>
      </c>
      <c r="R215" s="18"/>
    </row>
    <row r="216" spans="1:18" ht="16.5" customHeight="1">
      <c r="A216" s="10">
        <v>215</v>
      </c>
      <c r="B216" s="10">
        <v>65</v>
      </c>
      <c r="C216" s="10">
        <v>47</v>
      </c>
      <c r="D216" s="11" t="s">
        <v>2939</v>
      </c>
      <c r="E216" s="12" t="s">
        <v>2940</v>
      </c>
      <c r="F216" s="11" t="s">
        <v>2941</v>
      </c>
      <c r="G216" s="10"/>
      <c r="H216" s="13" t="s">
        <v>2942</v>
      </c>
      <c r="I216" s="14" t="s">
        <v>2943</v>
      </c>
      <c r="J216" s="15" t="s">
        <v>2944</v>
      </c>
      <c r="K216" s="16" t="s">
        <v>82</v>
      </c>
      <c r="L216" s="17"/>
      <c r="M216" s="17"/>
      <c r="N216" s="17"/>
      <c r="O216" s="17"/>
      <c r="P216" s="18"/>
      <c r="Q216" s="16" t="s">
        <v>83</v>
      </c>
      <c r="R216" s="18"/>
    </row>
    <row r="217" spans="1:18" ht="16.5" customHeight="1">
      <c r="A217" s="10">
        <v>216</v>
      </c>
      <c r="B217" s="10">
        <v>65</v>
      </c>
      <c r="C217" s="10">
        <v>48</v>
      </c>
      <c r="D217" s="11" t="s">
        <v>2940</v>
      </c>
      <c r="E217" s="19" t="s">
        <v>2941</v>
      </c>
      <c r="F217" s="11" t="s">
        <v>2945</v>
      </c>
      <c r="G217" s="10" t="s">
        <v>85</v>
      </c>
      <c r="H217" s="13" t="s">
        <v>2946</v>
      </c>
      <c r="I217" s="14" t="s">
        <v>2947</v>
      </c>
      <c r="J217" s="15" t="s">
        <v>2947</v>
      </c>
      <c r="K217" s="16" t="s">
        <v>82</v>
      </c>
      <c r="L217" s="17"/>
      <c r="M217" s="17"/>
      <c r="N217" s="17"/>
      <c r="O217" s="17"/>
      <c r="P217" s="18"/>
      <c r="Q217" s="16" t="s">
        <v>83</v>
      </c>
      <c r="R217" s="18"/>
    </row>
    <row r="218" spans="1:18" ht="16.5" customHeight="1">
      <c r="A218" s="10">
        <v>217</v>
      </c>
      <c r="B218" s="10">
        <v>65</v>
      </c>
      <c r="C218" s="10">
        <v>49</v>
      </c>
      <c r="D218" s="11" t="s">
        <v>2941</v>
      </c>
      <c r="E218" s="12" t="s">
        <v>2945</v>
      </c>
      <c r="F218" s="11" t="s">
        <v>2948</v>
      </c>
      <c r="G218" s="10"/>
      <c r="H218" s="13" t="s">
        <v>2720</v>
      </c>
      <c r="I218" s="14" t="s">
        <v>2949</v>
      </c>
      <c r="J218" s="15" t="s">
        <v>2949</v>
      </c>
      <c r="K218" s="16" t="s">
        <v>82</v>
      </c>
      <c r="L218" s="17"/>
      <c r="M218" s="17"/>
      <c r="N218" s="17"/>
      <c r="O218" s="17"/>
      <c r="P218" s="18"/>
      <c r="Q218" s="16" t="s">
        <v>83</v>
      </c>
      <c r="R218" s="18"/>
    </row>
    <row r="219" spans="1:18" ht="16.5" customHeight="1">
      <c r="A219" s="10">
        <v>218</v>
      </c>
      <c r="B219" s="10">
        <v>65</v>
      </c>
      <c r="C219" s="10">
        <v>50</v>
      </c>
      <c r="D219" s="11" t="s">
        <v>2945</v>
      </c>
      <c r="E219" s="12" t="s">
        <v>2948</v>
      </c>
      <c r="F219" s="11" t="s">
        <v>2950</v>
      </c>
      <c r="G219" s="10"/>
      <c r="H219" s="13" t="s">
        <v>2951</v>
      </c>
      <c r="I219" s="14" t="s">
        <v>2952</v>
      </c>
      <c r="J219" s="15" t="s">
        <v>2952</v>
      </c>
      <c r="K219" s="16" t="s">
        <v>82</v>
      </c>
      <c r="L219" s="17"/>
      <c r="M219" s="17"/>
      <c r="N219" s="17"/>
      <c r="O219" s="17"/>
      <c r="P219" s="18"/>
      <c r="Q219" s="16" t="s">
        <v>83</v>
      </c>
      <c r="R219" s="18"/>
    </row>
    <row r="220" spans="1:18" ht="16.5" customHeight="1">
      <c r="A220" s="10">
        <v>219</v>
      </c>
      <c r="B220" s="10">
        <v>65</v>
      </c>
      <c r="C220" s="10">
        <v>51</v>
      </c>
      <c r="D220" s="11" t="s">
        <v>2948</v>
      </c>
      <c r="E220" s="19" t="s">
        <v>2950</v>
      </c>
      <c r="F220" s="11" t="s">
        <v>2953</v>
      </c>
      <c r="G220" s="10" t="s">
        <v>85</v>
      </c>
      <c r="H220" s="13" t="s">
        <v>2954</v>
      </c>
      <c r="I220" s="14" t="s">
        <v>2955</v>
      </c>
      <c r="J220" s="15" t="s">
        <v>2955</v>
      </c>
      <c r="K220" s="16" t="s">
        <v>82</v>
      </c>
      <c r="L220" s="17"/>
      <c r="M220" s="17"/>
      <c r="N220" s="17"/>
      <c r="O220" s="17"/>
      <c r="P220" s="18"/>
      <c r="Q220" s="16" t="s">
        <v>83</v>
      </c>
      <c r="R220" s="18"/>
    </row>
    <row r="221" spans="1:18" ht="16.5" customHeight="1">
      <c r="A221" s="10">
        <v>220</v>
      </c>
      <c r="B221" s="10">
        <v>65</v>
      </c>
      <c r="C221" s="10">
        <v>52</v>
      </c>
      <c r="D221" s="11" t="s">
        <v>2950</v>
      </c>
      <c r="E221" s="12" t="s">
        <v>2953</v>
      </c>
      <c r="F221" s="11" t="s">
        <v>2956</v>
      </c>
      <c r="G221" s="10"/>
      <c r="H221" s="13" t="s">
        <v>2957</v>
      </c>
      <c r="I221" s="14" t="s">
        <v>2958</v>
      </c>
      <c r="J221" s="15" t="s">
        <v>2959</v>
      </c>
      <c r="K221" s="16" t="s">
        <v>82</v>
      </c>
      <c r="L221" s="17"/>
      <c r="M221" s="17"/>
      <c r="N221" s="17"/>
      <c r="O221" s="17"/>
      <c r="P221" s="18"/>
      <c r="Q221" s="16" t="s">
        <v>83</v>
      </c>
      <c r="R221" s="18"/>
    </row>
    <row r="222" spans="1:18" ht="16.5" customHeight="1">
      <c r="A222" s="10">
        <v>221</v>
      </c>
      <c r="B222" s="10">
        <v>66</v>
      </c>
      <c r="C222" s="10">
        <v>7</v>
      </c>
      <c r="D222" s="11" t="s">
        <v>2960</v>
      </c>
      <c r="E222" s="12" t="s">
        <v>2961</v>
      </c>
      <c r="F222" s="11" t="s">
        <v>2962</v>
      </c>
      <c r="G222" s="10"/>
      <c r="H222" s="13" t="s">
        <v>2963</v>
      </c>
      <c r="I222" s="14" t="s">
        <v>2964</v>
      </c>
      <c r="J222" s="15" t="s">
        <v>2964</v>
      </c>
      <c r="K222" s="16" t="s">
        <v>82</v>
      </c>
      <c r="L222" s="17"/>
      <c r="M222" s="17"/>
      <c r="N222" s="17"/>
      <c r="O222" s="17"/>
      <c r="P222" s="18"/>
      <c r="Q222" s="16" t="s">
        <v>83</v>
      </c>
      <c r="R222" s="18"/>
    </row>
    <row r="223" spans="1:18" ht="16.5" customHeight="1">
      <c r="A223" s="10">
        <v>222</v>
      </c>
      <c r="B223" s="10">
        <v>66</v>
      </c>
      <c r="C223" s="10">
        <v>8</v>
      </c>
      <c r="D223" s="11" t="s">
        <v>2961</v>
      </c>
      <c r="E223" s="19" t="s">
        <v>2962</v>
      </c>
      <c r="F223" s="11" t="s">
        <v>2965</v>
      </c>
      <c r="G223" s="10" t="s">
        <v>575</v>
      </c>
      <c r="H223" s="13" t="s">
        <v>2966</v>
      </c>
      <c r="I223" s="14" t="s">
        <v>2967</v>
      </c>
      <c r="J223" s="15" t="s">
        <v>2968</v>
      </c>
      <c r="K223" s="16" t="s">
        <v>82</v>
      </c>
      <c r="L223" s="17"/>
      <c r="M223" s="17"/>
      <c r="N223" s="17"/>
      <c r="O223" s="17"/>
      <c r="P223" s="18"/>
      <c r="Q223" s="16" t="s">
        <v>83</v>
      </c>
      <c r="R223" s="18"/>
    </row>
    <row r="224" spans="1:18" ht="16.5" customHeight="1">
      <c r="A224" s="10">
        <v>223</v>
      </c>
      <c r="B224" s="10">
        <v>66</v>
      </c>
      <c r="C224" s="10">
        <v>9</v>
      </c>
      <c r="D224" s="11" t="s">
        <v>2962</v>
      </c>
      <c r="E224" s="12" t="s">
        <v>2965</v>
      </c>
      <c r="F224" s="11" t="s">
        <v>2969</v>
      </c>
      <c r="G224" s="10"/>
      <c r="H224" s="13"/>
      <c r="I224" s="14" t="s">
        <v>2970</v>
      </c>
      <c r="J224" s="15" t="s">
        <v>2971</v>
      </c>
      <c r="K224" s="16" t="s">
        <v>82</v>
      </c>
      <c r="L224" s="17"/>
      <c r="M224" s="17"/>
      <c r="N224" s="17"/>
      <c r="O224" s="17"/>
      <c r="P224" s="18"/>
      <c r="Q224" s="16" t="s">
        <v>83</v>
      </c>
      <c r="R224" s="18"/>
    </row>
    <row r="225" spans="1:18" ht="16.5" customHeight="1">
      <c r="A225" s="10">
        <v>224</v>
      </c>
      <c r="B225" s="10">
        <v>69</v>
      </c>
      <c r="C225" s="10">
        <v>6</v>
      </c>
      <c r="D225" s="11" t="s">
        <v>2972</v>
      </c>
      <c r="E225" s="12" t="s">
        <v>2973</v>
      </c>
      <c r="F225" s="11" t="s">
        <v>2974</v>
      </c>
      <c r="G225" s="10"/>
      <c r="H225" s="13" t="s">
        <v>2975</v>
      </c>
      <c r="I225" s="14" t="s">
        <v>2976</v>
      </c>
      <c r="J225" s="15" t="s">
        <v>2977</v>
      </c>
      <c r="K225" s="16" t="s">
        <v>82</v>
      </c>
      <c r="L225" s="17"/>
      <c r="M225" s="17"/>
      <c r="N225" s="17"/>
      <c r="O225" s="17"/>
      <c r="P225" s="18"/>
      <c r="Q225" s="16" t="s">
        <v>83</v>
      </c>
      <c r="R225" s="18"/>
    </row>
    <row r="226" spans="1:18" ht="16.5" customHeight="1">
      <c r="A226" s="10">
        <v>225</v>
      </c>
      <c r="B226" s="10">
        <v>69</v>
      </c>
      <c r="C226" s="10">
        <v>7</v>
      </c>
      <c r="D226" s="11" t="s">
        <v>2973</v>
      </c>
      <c r="E226" s="19" t="s">
        <v>2974</v>
      </c>
      <c r="F226" s="11" t="s">
        <v>2978</v>
      </c>
      <c r="G226" s="10" t="s">
        <v>1957</v>
      </c>
      <c r="H226" s="13" t="s">
        <v>2907</v>
      </c>
      <c r="I226" s="14" t="s">
        <v>2979</v>
      </c>
      <c r="J226" s="15" t="s">
        <v>2980</v>
      </c>
      <c r="K226" s="16" t="s">
        <v>82</v>
      </c>
      <c r="L226" s="17"/>
      <c r="M226" s="17"/>
      <c r="N226" s="17"/>
      <c r="O226" s="17"/>
      <c r="P226" s="18"/>
      <c r="Q226" s="16" t="s">
        <v>83</v>
      </c>
      <c r="R226" s="18"/>
    </row>
    <row r="227" spans="1:18" ht="16.5" customHeight="1">
      <c r="A227" s="10">
        <v>226</v>
      </c>
      <c r="B227" s="10">
        <v>69</v>
      </c>
      <c r="C227" s="10">
        <v>8</v>
      </c>
      <c r="D227" s="11" t="s">
        <v>2974</v>
      </c>
      <c r="E227" s="12" t="s">
        <v>2978</v>
      </c>
      <c r="F227" s="11" t="s">
        <v>2981</v>
      </c>
      <c r="G227" s="10"/>
      <c r="H227" s="13" t="s">
        <v>2982</v>
      </c>
      <c r="I227" s="14" t="s">
        <v>2983</v>
      </c>
      <c r="J227" s="15" t="s">
        <v>2984</v>
      </c>
      <c r="K227" s="16" t="s">
        <v>89</v>
      </c>
      <c r="L227" s="17" t="s">
        <v>90</v>
      </c>
      <c r="M227" s="17" t="s">
        <v>1961</v>
      </c>
      <c r="N227" s="17" t="s">
        <v>2978</v>
      </c>
      <c r="O227" s="17" t="s">
        <v>2985</v>
      </c>
      <c r="P227" s="18" t="s">
        <v>2986</v>
      </c>
      <c r="Q227" s="16" t="s">
        <v>83</v>
      </c>
      <c r="R227" s="18"/>
    </row>
    <row r="228" spans="1:18" ht="16.5" customHeight="1">
      <c r="A228" s="10">
        <v>227</v>
      </c>
      <c r="B228" s="10">
        <v>69</v>
      </c>
      <c r="C228" s="10">
        <v>18</v>
      </c>
      <c r="D228" s="11" t="s">
        <v>2987</v>
      </c>
      <c r="E228" s="12" t="s">
        <v>2988</v>
      </c>
      <c r="F228" s="11" t="s">
        <v>2989</v>
      </c>
      <c r="G228" s="10"/>
      <c r="H228" s="13" t="s">
        <v>2990</v>
      </c>
      <c r="I228" s="14" t="s">
        <v>2991</v>
      </c>
      <c r="J228" s="15" t="s">
        <v>2992</v>
      </c>
      <c r="K228" s="16" t="s">
        <v>82</v>
      </c>
      <c r="L228" s="17"/>
      <c r="M228" s="17"/>
      <c r="N228" s="17"/>
      <c r="O228" s="17"/>
      <c r="P228" s="18"/>
      <c r="Q228" s="16" t="s">
        <v>83</v>
      </c>
      <c r="R228" s="18"/>
    </row>
    <row r="229" spans="1:18" ht="16.5" customHeight="1">
      <c r="A229" s="10">
        <v>228</v>
      </c>
      <c r="B229" s="10">
        <v>69</v>
      </c>
      <c r="C229" s="10">
        <v>19</v>
      </c>
      <c r="D229" s="11" t="s">
        <v>2988</v>
      </c>
      <c r="E229" s="19" t="s">
        <v>2989</v>
      </c>
      <c r="F229" s="11" t="s">
        <v>2993</v>
      </c>
      <c r="G229" s="10" t="s">
        <v>1209</v>
      </c>
      <c r="H229" s="13" t="s">
        <v>2994</v>
      </c>
      <c r="I229" s="14" t="s">
        <v>2995</v>
      </c>
      <c r="J229" s="15" t="s">
        <v>2996</v>
      </c>
      <c r="K229" s="16" t="s">
        <v>82</v>
      </c>
      <c r="L229" s="17"/>
      <c r="M229" s="17"/>
      <c r="N229" s="17"/>
      <c r="O229" s="17"/>
      <c r="P229" s="18"/>
      <c r="Q229" s="16" t="s">
        <v>83</v>
      </c>
      <c r="R229" s="18"/>
    </row>
    <row r="230" spans="1:18" ht="16.5" customHeight="1">
      <c r="A230" s="10">
        <v>229</v>
      </c>
      <c r="B230" s="10">
        <v>69</v>
      </c>
      <c r="C230" s="10">
        <v>20</v>
      </c>
      <c r="D230" s="11" t="s">
        <v>2989</v>
      </c>
      <c r="E230" s="12" t="s">
        <v>2993</v>
      </c>
      <c r="F230" s="11" t="s">
        <v>2997</v>
      </c>
      <c r="G230" s="10"/>
      <c r="H230" s="13" t="s">
        <v>2998</v>
      </c>
      <c r="I230" s="14" t="s">
        <v>2999</v>
      </c>
      <c r="J230" s="15" t="s">
        <v>3000</v>
      </c>
      <c r="K230" s="16" t="s">
        <v>89</v>
      </c>
      <c r="L230" s="17" t="s">
        <v>128</v>
      </c>
      <c r="M230" s="17" t="s">
        <v>1961</v>
      </c>
      <c r="N230" s="17" t="s">
        <v>3001</v>
      </c>
      <c r="O230" s="17" t="s">
        <v>3002</v>
      </c>
      <c r="P230" s="18" t="s">
        <v>3003</v>
      </c>
      <c r="Q230" s="16" t="s">
        <v>83</v>
      </c>
      <c r="R230" s="18"/>
    </row>
    <row r="231" spans="1:18" ht="16.5" customHeight="1">
      <c r="A231" s="10">
        <v>230</v>
      </c>
      <c r="B231" s="10">
        <v>69</v>
      </c>
      <c r="C231" s="10">
        <v>42</v>
      </c>
      <c r="D231" s="11" t="s">
        <v>3004</v>
      </c>
      <c r="E231" s="12" t="s">
        <v>2535</v>
      </c>
      <c r="F231" s="11" t="s">
        <v>3005</v>
      </c>
      <c r="G231" s="10"/>
      <c r="H231" s="13" t="s">
        <v>2540</v>
      </c>
      <c r="I231" s="14" t="s">
        <v>2541</v>
      </c>
      <c r="J231" s="15" t="s">
        <v>2541</v>
      </c>
      <c r="K231" s="16" t="s">
        <v>82</v>
      </c>
      <c r="L231" s="17"/>
      <c r="M231" s="17"/>
      <c r="N231" s="17"/>
      <c r="O231" s="17"/>
      <c r="P231" s="18"/>
      <c r="Q231" s="16" t="s">
        <v>83</v>
      </c>
      <c r="R231" s="18"/>
    </row>
    <row r="232" spans="1:18" ht="16.5" customHeight="1">
      <c r="A232" s="10">
        <v>231</v>
      </c>
      <c r="B232" s="10">
        <v>69</v>
      </c>
      <c r="C232" s="10">
        <v>43</v>
      </c>
      <c r="D232" s="11" t="s">
        <v>2535</v>
      </c>
      <c r="E232" s="19" t="s">
        <v>3005</v>
      </c>
      <c r="F232" s="11" t="s">
        <v>3006</v>
      </c>
      <c r="G232" s="10" t="s">
        <v>160</v>
      </c>
      <c r="H232" s="13" t="s">
        <v>3007</v>
      </c>
      <c r="I232" s="14" t="s">
        <v>3008</v>
      </c>
      <c r="J232" s="15" t="s">
        <v>3009</v>
      </c>
      <c r="K232" s="16" t="s">
        <v>82</v>
      </c>
      <c r="L232" s="17"/>
      <c r="M232" s="17"/>
      <c r="N232" s="17"/>
      <c r="O232" s="17"/>
      <c r="P232" s="18"/>
      <c r="Q232" s="16" t="s">
        <v>83</v>
      </c>
      <c r="R232" s="18"/>
    </row>
    <row r="233" spans="1:18" ht="16.5" customHeight="1">
      <c r="A233" s="10">
        <v>232</v>
      </c>
      <c r="B233" s="10">
        <v>69</v>
      </c>
      <c r="C233" s="10">
        <v>44</v>
      </c>
      <c r="D233" s="11" t="s">
        <v>3005</v>
      </c>
      <c r="E233" s="12" t="s">
        <v>3006</v>
      </c>
      <c r="F233" s="11" t="s">
        <v>3010</v>
      </c>
      <c r="G233" s="10"/>
      <c r="H233" s="13" t="s">
        <v>3011</v>
      </c>
      <c r="I233" s="14" t="s">
        <v>3012</v>
      </c>
      <c r="J233" s="15" t="s">
        <v>3013</v>
      </c>
      <c r="K233" s="16" t="s">
        <v>82</v>
      </c>
      <c r="L233" s="17"/>
      <c r="M233" s="17"/>
      <c r="N233" s="17"/>
      <c r="O233" s="17"/>
      <c r="P233" s="18"/>
      <c r="Q233" s="16" t="s">
        <v>83</v>
      </c>
      <c r="R233" s="18"/>
    </row>
    <row r="234" spans="1:18" ht="26.25" customHeight="1">
      <c r="A234" s="10">
        <v>233</v>
      </c>
      <c r="B234" s="10">
        <v>69</v>
      </c>
      <c r="C234" s="10">
        <v>45</v>
      </c>
      <c r="D234" s="11" t="s">
        <v>3006</v>
      </c>
      <c r="E234" s="19" t="s">
        <v>3010</v>
      </c>
      <c r="F234" s="11" t="s">
        <v>2535</v>
      </c>
      <c r="G234" s="10" t="s">
        <v>160</v>
      </c>
      <c r="H234" s="13" t="s">
        <v>3014</v>
      </c>
      <c r="I234" s="14" t="s">
        <v>3015</v>
      </c>
      <c r="J234" s="15" t="s">
        <v>3016</v>
      </c>
      <c r="K234" s="16" t="s">
        <v>82</v>
      </c>
      <c r="L234" s="17"/>
      <c r="M234" s="17"/>
      <c r="N234" s="17"/>
      <c r="O234" s="17"/>
      <c r="P234" s="18"/>
      <c r="Q234" s="16" t="s">
        <v>83</v>
      </c>
      <c r="R234" s="18"/>
    </row>
    <row r="235" spans="1:18" ht="16.5" customHeight="1">
      <c r="A235" s="10">
        <v>234</v>
      </c>
      <c r="B235" s="10">
        <v>69</v>
      </c>
      <c r="C235" s="10">
        <v>46</v>
      </c>
      <c r="D235" s="11" t="s">
        <v>3010</v>
      </c>
      <c r="E235" s="12" t="s">
        <v>2535</v>
      </c>
      <c r="F235" s="11" t="s">
        <v>3017</v>
      </c>
      <c r="G235" s="10"/>
      <c r="H235" s="13" t="s">
        <v>2540</v>
      </c>
      <c r="I235" s="14" t="s">
        <v>2541</v>
      </c>
      <c r="J235" s="15" t="s">
        <v>2541</v>
      </c>
      <c r="K235" s="16" t="s">
        <v>82</v>
      </c>
      <c r="L235" s="17"/>
      <c r="M235" s="17"/>
      <c r="N235" s="17"/>
      <c r="O235" s="17"/>
      <c r="P235" s="18"/>
      <c r="Q235" s="16" t="s">
        <v>83</v>
      </c>
      <c r="R235" s="18"/>
    </row>
    <row r="236" spans="1:18" ht="16.5" customHeight="1">
      <c r="A236" s="10">
        <v>235</v>
      </c>
      <c r="B236" s="10">
        <v>69</v>
      </c>
      <c r="C236" s="10">
        <v>49</v>
      </c>
      <c r="D236" s="11" t="s">
        <v>3018</v>
      </c>
      <c r="E236" s="12" t="s">
        <v>3019</v>
      </c>
      <c r="F236" s="11" t="s">
        <v>3020</v>
      </c>
      <c r="G236" s="10"/>
      <c r="H236" s="13" t="s">
        <v>3021</v>
      </c>
      <c r="I236" s="14" t="s">
        <v>3022</v>
      </c>
      <c r="J236" s="15" t="s">
        <v>3023</v>
      </c>
      <c r="K236" s="16" t="s">
        <v>82</v>
      </c>
      <c r="L236" s="17"/>
      <c r="M236" s="17"/>
      <c r="N236" s="17"/>
      <c r="O236" s="17"/>
      <c r="P236" s="18"/>
      <c r="Q236" s="16" t="s">
        <v>83</v>
      </c>
      <c r="R236" s="18"/>
    </row>
    <row r="237" spans="1:18" ht="16.5" customHeight="1">
      <c r="A237" s="10">
        <v>236</v>
      </c>
      <c r="B237" s="10">
        <v>69</v>
      </c>
      <c r="C237" s="10">
        <v>50</v>
      </c>
      <c r="D237" s="11" t="s">
        <v>3019</v>
      </c>
      <c r="E237" s="19" t="s">
        <v>3020</v>
      </c>
      <c r="F237" s="11" t="s">
        <v>3024</v>
      </c>
      <c r="G237" s="10" t="s">
        <v>160</v>
      </c>
      <c r="H237" s="13" t="s">
        <v>3025</v>
      </c>
      <c r="I237" s="14" t="s">
        <v>3026</v>
      </c>
      <c r="J237" s="15" t="s">
        <v>3027</v>
      </c>
      <c r="K237" s="16" t="s">
        <v>82</v>
      </c>
      <c r="L237" s="17"/>
      <c r="M237" s="17"/>
      <c r="N237" s="17"/>
      <c r="O237" s="17"/>
      <c r="P237" s="18"/>
      <c r="Q237" s="16" t="s">
        <v>83</v>
      </c>
      <c r="R237" s="18"/>
    </row>
    <row r="238" spans="1:18" ht="16.5" customHeight="1">
      <c r="A238" s="10">
        <v>237</v>
      </c>
      <c r="B238" s="10">
        <v>69</v>
      </c>
      <c r="C238" s="10">
        <v>51</v>
      </c>
      <c r="D238" s="11" t="s">
        <v>3020</v>
      </c>
      <c r="E238" s="12" t="s">
        <v>3024</v>
      </c>
      <c r="F238" s="11" t="s">
        <v>3028</v>
      </c>
      <c r="G238" s="10"/>
      <c r="H238" s="13"/>
      <c r="I238" s="14" t="s">
        <v>3029</v>
      </c>
      <c r="J238" s="15" t="s">
        <v>3030</v>
      </c>
      <c r="K238" s="16" t="s">
        <v>82</v>
      </c>
      <c r="L238" s="17"/>
      <c r="M238" s="17"/>
      <c r="N238" s="17"/>
      <c r="O238" s="17"/>
      <c r="P238" s="18"/>
      <c r="Q238" s="16" t="s">
        <v>83</v>
      </c>
      <c r="R238" s="18"/>
    </row>
    <row r="239" spans="1:18" ht="16.5" customHeight="1">
      <c r="A239" s="10">
        <v>238</v>
      </c>
      <c r="B239" s="10">
        <v>69</v>
      </c>
      <c r="C239" s="10">
        <v>66</v>
      </c>
      <c r="D239" s="11" t="s">
        <v>3031</v>
      </c>
      <c r="E239" s="12" t="s">
        <v>3032</v>
      </c>
      <c r="F239" s="11" t="s">
        <v>3033</v>
      </c>
      <c r="G239" s="10"/>
      <c r="H239" s="13" t="s">
        <v>3034</v>
      </c>
      <c r="I239" s="14" t="s">
        <v>3035</v>
      </c>
      <c r="J239" s="15" t="s">
        <v>3036</v>
      </c>
      <c r="K239" s="16" t="s">
        <v>82</v>
      </c>
      <c r="L239" s="17"/>
      <c r="M239" s="17"/>
      <c r="N239" s="17"/>
      <c r="O239" s="17"/>
      <c r="P239" s="18"/>
      <c r="Q239" s="16" t="s">
        <v>83</v>
      </c>
      <c r="R239" s="18"/>
    </row>
    <row r="240" spans="1:18" ht="16.5" customHeight="1">
      <c r="A240" s="10">
        <v>239</v>
      </c>
      <c r="B240" s="10">
        <v>69</v>
      </c>
      <c r="C240" s="10">
        <v>67</v>
      </c>
      <c r="D240" s="11" t="s">
        <v>3032</v>
      </c>
      <c r="E240" s="19" t="s">
        <v>3033</v>
      </c>
      <c r="F240" s="11"/>
      <c r="G240" s="10" t="s">
        <v>160</v>
      </c>
      <c r="H240" s="13" t="s">
        <v>3037</v>
      </c>
      <c r="I240" s="14" t="s">
        <v>3038</v>
      </c>
      <c r="J240" s="15" t="s">
        <v>3039</v>
      </c>
      <c r="K240" s="16" t="s">
        <v>89</v>
      </c>
      <c r="L240" s="17" t="s">
        <v>155</v>
      </c>
      <c r="M240" s="17" t="s">
        <v>164</v>
      </c>
      <c r="N240" s="17" t="s">
        <v>3040</v>
      </c>
      <c r="O240" s="17" t="s">
        <v>3041</v>
      </c>
      <c r="P240" s="18" t="s">
        <v>3042</v>
      </c>
      <c r="Q240" s="16" t="s">
        <v>113</v>
      </c>
      <c r="R240" s="18"/>
    </row>
    <row r="241" spans="1:18" ht="16.5" customHeight="1">
      <c r="A241" s="10">
        <v>240</v>
      </c>
      <c r="B241" s="10">
        <v>70</v>
      </c>
      <c r="C241" s="10">
        <v>1</v>
      </c>
      <c r="D241" s="11"/>
      <c r="E241" s="12" t="s">
        <v>3043</v>
      </c>
      <c r="F241" s="11" t="s">
        <v>3044</v>
      </c>
      <c r="G241" s="10"/>
      <c r="H241" s="13" t="s">
        <v>3045</v>
      </c>
      <c r="I241" s="14" t="s">
        <v>3046</v>
      </c>
      <c r="J241" s="15" t="s">
        <v>3046</v>
      </c>
      <c r="K241" s="16" t="s">
        <v>82</v>
      </c>
      <c r="L241" s="17"/>
      <c r="M241" s="17"/>
      <c r="N241" s="17"/>
      <c r="O241" s="17"/>
      <c r="P241" s="18"/>
      <c r="Q241" s="16" t="s">
        <v>83</v>
      </c>
      <c r="R241" s="18"/>
    </row>
    <row r="242" spans="1:18" ht="16.5" customHeight="1">
      <c r="A242" s="10">
        <v>241</v>
      </c>
      <c r="B242" s="10">
        <v>70</v>
      </c>
      <c r="C242" s="10">
        <v>13</v>
      </c>
      <c r="D242" s="11" t="s">
        <v>3047</v>
      </c>
      <c r="E242" s="12" t="s">
        <v>3048</v>
      </c>
      <c r="F242" s="11" t="s">
        <v>3049</v>
      </c>
      <c r="G242" s="10"/>
      <c r="H242" s="13" t="s">
        <v>3050</v>
      </c>
      <c r="I242" s="14" t="s">
        <v>3051</v>
      </c>
      <c r="J242" s="15" t="s">
        <v>3051</v>
      </c>
      <c r="K242" s="16" t="s">
        <v>82</v>
      </c>
      <c r="L242" s="17"/>
      <c r="M242" s="17"/>
      <c r="N242" s="17"/>
      <c r="O242" s="17"/>
      <c r="P242" s="18"/>
      <c r="Q242" s="16" t="s">
        <v>83</v>
      </c>
      <c r="R242" s="18"/>
    </row>
    <row r="243" spans="1:18" ht="16.5" customHeight="1">
      <c r="A243" s="10">
        <v>242</v>
      </c>
      <c r="B243" s="10">
        <v>70</v>
      </c>
      <c r="C243" s="10">
        <v>14</v>
      </c>
      <c r="D243" s="11" t="s">
        <v>3048</v>
      </c>
      <c r="E243" s="19" t="s">
        <v>3049</v>
      </c>
      <c r="F243" s="11" t="s">
        <v>3052</v>
      </c>
      <c r="G243" s="10" t="s">
        <v>160</v>
      </c>
      <c r="H243" s="13" t="s">
        <v>3053</v>
      </c>
      <c r="I243" s="14" t="s">
        <v>3054</v>
      </c>
      <c r="J243" s="15" t="s">
        <v>3055</v>
      </c>
      <c r="K243" s="16" t="s">
        <v>82</v>
      </c>
      <c r="L243" s="17"/>
      <c r="M243" s="17"/>
      <c r="N243" s="17"/>
      <c r="O243" s="17"/>
      <c r="P243" s="18"/>
      <c r="Q243" s="16" t="s">
        <v>83</v>
      </c>
      <c r="R243" s="18"/>
    </row>
    <row r="244" spans="1:18" ht="16.5" customHeight="1">
      <c r="A244" s="10">
        <v>243</v>
      </c>
      <c r="B244" s="10">
        <v>70</v>
      </c>
      <c r="C244" s="10">
        <v>15</v>
      </c>
      <c r="D244" s="11" t="s">
        <v>3049</v>
      </c>
      <c r="E244" s="12" t="s">
        <v>3052</v>
      </c>
      <c r="F244" s="11" t="s">
        <v>3056</v>
      </c>
      <c r="G244" s="10"/>
      <c r="H244" s="13" t="s">
        <v>3057</v>
      </c>
      <c r="I244" s="14" t="s">
        <v>3058</v>
      </c>
      <c r="J244" s="15" t="s">
        <v>3059</v>
      </c>
      <c r="K244" s="16" t="s">
        <v>82</v>
      </c>
      <c r="L244" s="17"/>
      <c r="M244" s="17"/>
      <c r="N244" s="17"/>
      <c r="O244" s="17"/>
      <c r="P244" s="18"/>
      <c r="Q244" s="16" t="s">
        <v>83</v>
      </c>
      <c r="R244" s="18"/>
    </row>
    <row r="245" spans="1:18" ht="26.25" customHeight="1">
      <c r="A245" s="10">
        <v>244</v>
      </c>
      <c r="B245" s="10">
        <v>70</v>
      </c>
      <c r="C245" s="10">
        <v>26</v>
      </c>
      <c r="D245" s="11" t="s">
        <v>3060</v>
      </c>
      <c r="E245" s="12" t="s">
        <v>3061</v>
      </c>
      <c r="F245" s="11" t="s">
        <v>3062</v>
      </c>
      <c r="G245" s="10"/>
      <c r="H245" s="13" t="s">
        <v>3063</v>
      </c>
      <c r="I245" s="14" t="s">
        <v>3064</v>
      </c>
      <c r="J245" s="15" t="s">
        <v>3065</v>
      </c>
      <c r="K245" s="16" t="s">
        <v>82</v>
      </c>
      <c r="L245" s="17"/>
      <c r="M245" s="17"/>
      <c r="N245" s="17"/>
      <c r="O245" s="17"/>
      <c r="P245" s="18"/>
      <c r="Q245" s="16" t="s">
        <v>83</v>
      </c>
      <c r="R245" s="18"/>
    </row>
    <row r="246" spans="1:18" ht="16.5" customHeight="1">
      <c r="A246" s="10">
        <v>245</v>
      </c>
      <c r="B246" s="10">
        <v>70</v>
      </c>
      <c r="C246" s="10">
        <v>27</v>
      </c>
      <c r="D246" s="11" t="s">
        <v>3061</v>
      </c>
      <c r="E246" s="19" t="s">
        <v>3062</v>
      </c>
      <c r="F246" s="11" t="s">
        <v>3066</v>
      </c>
      <c r="G246" s="10" t="s">
        <v>160</v>
      </c>
      <c r="H246" s="13" t="s">
        <v>3067</v>
      </c>
      <c r="I246" s="14" t="s">
        <v>3068</v>
      </c>
      <c r="J246" s="15" t="s">
        <v>3069</v>
      </c>
      <c r="K246" s="16" t="s">
        <v>82</v>
      </c>
      <c r="L246" s="17"/>
      <c r="M246" s="17"/>
      <c r="N246" s="17"/>
      <c r="O246" s="17"/>
      <c r="P246" s="18"/>
      <c r="Q246" s="16" t="s">
        <v>83</v>
      </c>
      <c r="R246" s="18"/>
    </row>
    <row r="247" spans="1:18" ht="16.5" customHeight="1">
      <c r="A247" s="10">
        <v>246</v>
      </c>
      <c r="B247" s="10">
        <v>70</v>
      </c>
      <c r="C247" s="10">
        <v>28</v>
      </c>
      <c r="D247" s="11" t="s">
        <v>3062</v>
      </c>
      <c r="E247" s="12" t="s">
        <v>3066</v>
      </c>
      <c r="F247" s="11" t="s">
        <v>3070</v>
      </c>
      <c r="G247" s="10"/>
      <c r="H247" s="13" t="s">
        <v>3071</v>
      </c>
      <c r="I247" s="14" t="s">
        <v>3072</v>
      </c>
      <c r="J247" s="15" t="s">
        <v>3073</v>
      </c>
      <c r="K247" s="16" t="s">
        <v>82</v>
      </c>
      <c r="L247" s="17"/>
      <c r="M247" s="17"/>
      <c r="N247" s="17"/>
      <c r="O247" s="17"/>
      <c r="P247" s="18"/>
      <c r="Q247" s="16" t="s">
        <v>83</v>
      </c>
      <c r="R247" s="18"/>
    </row>
    <row r="248" spans="1:18" ht="16.5" customHeight="1">
      <c r="A248" s="10">
        <v>247</v>
      </c>
      <c r="B248" s="10">
        <v>70</v>
      </c>
      <c r="C248" s="10">
        <v>39</v>
      </c>
      <c r="D248" s="11" t="s">
        <v>3074</v>
      </c>
      <c r="E248" s="12" t="s">
        <v>3075</v>
      </c>
      <c r="F248" s="11" t="s">
        <v>3076</v>
      </c>
      <c r="G248" s="10"/>
      <c r="H248" s="13" t="s">
        <v>2655</v>
      </c>
      <c r="I248" s="14" t="s">
        <v>3077</v>
      </c>
      <c r="J248" s="15" t="s">
        <v>3078</v>
      </c>
      <c r="K248" s="16" t="s">
        <v>82</v>
      </c>
      <c r="L248" s="17"/>
      <c r="M248" s="17"/>
      <c r="N248" s="17"/>
      <c r="O248" s="17"/>
      <c r="P248" s="18"/>
      <c r="Q248" s="16" t="s">
        <v>83</v>
      </c>
      <c r="R248" s="18"/>
    </row>
    <row r="249" spans="1:18" ht="16.5" customHeight="1">
      <c r="A249" s="10">
        <v>248</v>
      </c>
      <c r="B249" s="10">
        <v>70</v>
      </c>
      <c r="C249" s="10">
        <v>40</v>
      </c>
      <c r="D249" s="11" t="s">
        <v>3075</v>
      </c>
      <c r="E249" s="19" t="s">
        <v>3076</v>
      </c>
      <c r="F249" s="11" t="s">
        <v>3079</v>
      </c>
      <c r="G249" s="10" t="s">
        <v>160</v>
      </c>
      <c r="H249" s="13" t="s">
        <v>3080</v>
      </c>
      <c r="I249" s="14" t="s">
        <v>3081</v>
      </c>
      <c r="J249" s="15" t="s">
        <v>3082</v>
      </c>
      <c r="K249" s="16" t="s">
        <v>82</v>
      </c>
      <c r="L249" s="17"/>
      <c r="M249" s="17"/>
      <c r="N249" s="17"/>
      <c r="O249" s="17"/>
      <c r="P249" s="18"/>
      <c r="Q249" s="16" t="s">
        <v>83</v>
      </c>
      <c r="R249" s="18"/>
    </row>
    <row r="250" spans="1:18" ht="16.5" customHeight="1">
      <c r="A250" s="10">
        <v>249</v>
      </c>
      <c r="B250" s="10">
        <v>70</v>
      </c>
      <c r="C250" s="10">
        <v>41</v>
      </c>
      <c r="D250" s="11" t="s">
        <v>3076</v>
      </c>
      <c r="E250" s="12" t="s">
        <v>3079</v>
      </c>
      <c r="F250" s="11" t="s">
        <v>3083</v>
      </c>
      <c r="G250" s="10"/>
      <c r="H250" s="13" t="s">
        <v>3084</v>
      </c>
      <c r="I250" s="14" t="s">
        <v>3085</v>
      </c>
      <c r="J250" s="15" t="s">
        <v>3085</v>
      </c>
      <c r="K250" s="16" t="s">
        <v>82</v>
      </c>
      <c r="L250" s="17"/>
      <c r="M250" s="17"/>
      <c r="N250" s="17"/>
      <c r="O250" s="17"/>
      <c r="P250" s="18"/>
      <c r="Q250" s="16" t="s">
        <v>83</v>
      </c>
      <c r="R250" s="18"/>
    </row>
    <row r="251" spans="1:18" ht="16.5" customHeight="1">
      <c r="A251" s="10">
        <v>250</v>
      </c>
      <c r="B251" s="10">
        <v>70</v>
      </c>
      <c r="C251" s="10">
        <v>45</v>
      </c>
      <c r="D251" s="11" t="s">
        <v>3086</v>
      </c>
      <c r="E251" s="12" t="s">
        <v>3087</v>
      </c>
      <c r="F251" s="11" t="s">
        <v>3088</v>
      </c>
      <c r="G251" s="10"/>
      <c r="H251" s="13" t="s">
        <v>3089</v>
      </c>
      <c r="I251" s="14" t="s">
        <v>3090</v>
      </c>
      <c r="J251" s="15" t="s">
        <v>3091</v>
      </c>
      <c r="K251" s="16" t="s">
        <v>89</v>
      </c>
      <c r="L251" s="17" t="s">
        <v>155</v>
      </c>
      <c r="M251" s="17" t="s">
        <v>1145</v>
      </c>
      <c r="N251" s="17" t="s">
        <v>3092</v>
      </c>
      <c r="O251" s="17" t="s">
        <v>3093</v>
      </c>
      <c r="P251" s="18" t="s">
        <v>3094</v>
      </c>
      <c r="Q251" s="16" t="s">
        <v>113</v>
      </c>
      <c r="R251" s="18"/>
    </row>
    <row r="252" spans="1:18" ht="16.5" customHeight="1">
      <c r="A252" s="10">
        <v>251</v>
      </c>
      <c r="B252" s="10">
        <v>70</v>
      </c>
      <c r="C252" s="10">
        <v>46</v>
      </c>
      <c r="D252" s="11" t="s">
        <v>3087</v>
      </c>
      <c r="E252" s="19" t="s">
        <v>3088</v>
      </c>
      <c r="F252" s="11" t="s">
        <v>3095</v>
      </c>
      <c r="G252" s="10" t="s">
        <v>160</v>
      </c>
      <c r="H252" s="13" t="s">
        <v>3096</v>
      </c>
      <c r="I252" s="14" t="s">
        <v>3097</v>
      </c>
      <c r="J252" s="15" t="s">
        <v>3098</v>
      </c>
      <c r="K252" s="16" t="s">
        <v>82</v>
      </c>
      <c r="L252" s="17"/>
      <c r="M252" s="17"/>
      <c r="N252" s="17"/>
      <c r="O252" s="17"/>
      <c r="P252" s="18"/>
      <c r="Q252" s="16" t="s">
        <v>83</v>
      </c>
      <c r="R252" s="18"/>
    </row>
    <row r="253" spans="1:18" ht="16.5" customHeight="1">
      <c r="A253" s="10">
        <v>252</v>
      </c>
      <c r="B253" s="10">
        <v>70</v>
      </c>
      <c r="C253" s="10">
        <v>47</v>
      </c>
      <c r="D253" s="11" t="s">
        <v>3088</v>
      </c>
      <c r="E253" s="12" t="s">
        <v>3095</v>
      </c>
      <c r="F253" s="11" t="s">
        <v>3099</v>
      </c>
      <c r="G253" s="10"/>
      <c r="H253" s="13" t="s">
        <v>3100</v>
      </c>
      <c r="I253" s="14" t="s">
        <v>3101</v>
      </c>
      <c r="J253" s="15" t="s">
        <v>3102</v>
      </c>
      <c r="K253" s="16" t="s">
        <v>82</v>
      </c>
      <c r="L253" s="17"/>
      <c r="M253" s="17"/>
      <c r="N253" s="17"/>
      <c r="O253" s="17"/>
      <c r="P253" s="18"/>
      <c r="Q253" s="16" t="s">
        <v>83</v>
      </c>
      <c r="R253" s="18"/>
    </row>
    <row r="254" spans="1:18" ht="16.5" customHeight="1">
      <c r="A254" s="10">
        <v>253</v>
      </c>
      <c r="B254" s="10">
        <v>70</v>
      </c>
      <c r="C254" s="10">
        <v>48</v>
      </c>
      <c r="D254" s="11" t="s">
        <v>3095</v>
      </c>
      <c r="E254" s="12" t="s">
        <v>3099</v>
      </c>
      <c r="F254" s="11" t="s">
        <v>3103</v>
      </c>
      <c r="G254" s="10"/>
      <c r="H254" s="13" t="s">
        <v>3104</v>
      </c>
      <c r="I254" s="14" t="s">
        <v>3105</v>
      </c>
      <c r="J254" s="15" t="s">
        <v>3105</v>
      </c>
      <c r="K254" s="16" t="s">
        <v>82</v>
      </c>
      <c r="L254" s="17"/>
      <c r="M254" s="17"/>
      <c r="N254" s="17"/>
      <c r="O254" s="17"/>
      <c r="P254" s="18"/>
      <c r="Q254" s="16" t="s">
        <v>83</v>
      </c>
      <c r="R254" s="18"/>
    </row>
    <row r="255" spans="1:18" ht="16.5" customHeight="1">
      <c r="A255" s="10">
        <v>254</v>
      </c>
      <c r="B255" s="10">
        <v>70</v>
      </c>
      <c r="C255" s="10">
        <v>49</v>
      </c>
      <c r="D255" s="11" t="s">
        <v>3099</v>
      </c>
      <c r="E255" s="19" t="s">
        <v>3103</v>
      </c>
      <c r="F255" s="11" t="s">
        <v>3106</v>
      </c>
      <c r="G255" s="10" t="s">
        <v>160</v>
      </c>
      <c r="H255" s="13" t="s">
        <v>3107</v>
      </c>
      <c r="I255" s="14" t="s">
        <v>3108</v>
      </c>
      <c r="J255" s="15" t="s">
        <v>3109</v>
      </c>
      <c r="K255" s="16" t="s">
        <v>82</v>
      </c>
      <c r="L255" s="17"/>
      <c r="M255" s="17"/>
      <c r="N255" s="17"/>
      <c r="O255" s="17"/>
      <c r="P255" s="18"/>
      <c r="Q255" s="16" t="s">
        <v>83</v>
      </c>
      <c r="R255" s="18"/>
    </row>
    <row r="256" spans="1:18" ht="16.5" customHeight="1">
      <c r="A256" s="10">
        <v>255</v>
      </c>
      <c r="B256" s="10">
        <v>70</v>
      </c>
      <c r="C256" s="10">
        <v>50</v>
      </c>
      <c r="D256" s="11" t="s">
        <v>3103</v>
      </c>
      <c r="E256" s="12" t="s">
        <v>3106</v>
      </c>
      <c r="F256" s="11" t="s">
        <v>3110</v>
      </c>
      <c r="G256" s="10"/>
      <c r="H256" s="13" t="s">
        <v>262</v>
      </c>
      <c r="I256" s="14" t="s">
        <v>3111</v>
      </c>
      <c r="J256" s="15" t="s">
        <v>3112</v>
      </c>
      <c r="K256" s="16" t="s">
        <v>82</v>
      </c>
      <c r="L256" s="17"/>
      <c r="M256" s="17"/>
      <c r="N256" s="17"/>
      <c r="O256" s="17"/>
      <c r="P256" s="18"/>
      <c r="Q256" s="16" t="s">
        <v>83</v>
      </c>
      <c r="R256" s="18"/>
    </row>
    <row r="257" spans="1:18" ht="16.5" customHeight="1">
      <c r="A257" s="10">
        <v>256</v>
      </c>
      <c r="B257" s="10">
        <v>70</v>
      </c>
      <c r="C257" s="10">
        <v>53</v>
      </c>
      <c r="D257" s="11" t="s">
        <v>3113</v>
      </c>
      <c r="E257" s="12" t="s">
        <v>3114</v>
      </c>
      <c r="F257" s="11" t="s">
        <v>3088</v>
      </c>
      <c r="G257" s="10"/>
      <c r="H257" s="13" t="s">
        <v>3115</v>
      </c>
      <c r="I257" s="14" t="s">
        <v>3116</v>
      </c>
      <c r="J257" s="15" t="s">
        <v>3117</v>
      </c>
      <c r="K257" s="16" t="s">
        <v>82</v>
      </c>
      <c r="L257" s="17"/>
      <c r="M257" s="17"/>
      <c r="N257" s="17"/>
      <c r="O257" s="17"/>
      <c r="P257" s="18"/>
      <c r="Q257" s="16" t="s">
        <v>83</v>
      </c>
      <c r="R257" s="18"/>
    </row>
    <row r="258" spans="1:18" ht="16.5" customHeight="1">
      <c r="A258" s="10">
        <v>257</v>
      </c>
      <c r="B258" s="10">
        <v>70</v>
      </c>
      <c r="C258" s="10">
        <v>54</v>
      </c>
      <c r="D258" s="11" t="s">
        <v>3114</v>
      </c>
      <c r="E258" s="19" t="s">
        <v>3088</v>
      </c>
      <c r="F258" s="11" t="s">
        <v>3118</v>
      </c>
      <c r="G258" s="10" t="s">
        <v>160</v>
      </c>
      <c r="H258" s="13" t="s">
        <v>3096</v>
      </c>
      <c r="I258" s="14" t="s">
        <v>3097</v>
      </c>
      <c r="J258" s="15" t="s">
        <v>3098</v>
      </c>
      <c r="K258" s="16" t="s">
        <v>82</v>
      </c>
      <c r="L258" s="17"/>
      <c r="M258" s="17"/>
      <c r="N258" s="17"/>
      <c r="O258" s="17"/>
      <c r="P258" s="18"/>
      <c r="Q258" s="16" t="s">
        <v>83</v>
      </c>
      <c r="R258" s="18"/>
    </row>
    <row r="259" spans="1:18" ht="16.5" customHeight="1">
      <c r="A259" s="10">
        <v>258</v>
      </c>
      <c r="B259" s="10">
        <v>70</v>
      </c>
      <c r="C259" s="10">
        <v>55</v>
      </c>
      <c r="D259" s="11" t="s">
        <v>3088</v>
      </c>
      <c r="E259" s="12" t="s">
        <v>3118</v>
      </c>
      <c r="F259" s="11" t="s">
        <v>3119</v>
      </c>
      <c r="G259" s="10"/>
      <c r="H259" s="13" t="s">
        <v>3120</v>
      </c>
      <c r="I259" s="14" t="s">
        <v>3121</v>
      </c>
      <c r="J259" s="15" t="s">
        <v>3122</v>
      </c>
      <c r="K259" s="16" t="s">
        <v>82</v>
      </c>
      <c r="L259" s="17"/>
      <c r="M259" s="17"/>
      <c r="N259" s="17"/>
      <c r="O259" s="17"/>
      <c r="P259" s="18"/>
      <c r="Q259" s="16" t="s">
        <v>83</v>
      </c>
      <c r="R259" s="18"/>
    </row>
    <row r="260" spans="1:18" ht="16.5" customHeight="1">
      <c r="A260" s="10">
        <v>259</v>
      </c>
      <c r="B260" s="10">
        <v>70</v>
      </c>
      <c r="C260" s="10">
        <v>56</v>
      </c>
      <c r="D260" s="11" t="s">
        <v>3118</v>
      </c>
      <c r="E260" s="12" t="s">
        <v>3119</v>
      </c>
      <c r="F260" s="11" t="s">
        <v>3088</v>
      </c>
      <c r="G260" s="10"/>
      <c r="H260" s="13" t="s">
        <v>3123</v>
      </c>
      <c r="I260" s="14" t="s">
        <v>3124</v>
      </c>
      <c r="J260" s="15" t="s">
        <v>3125</v>
      </c>
      <c r="K260" s="16" t="s">
        <v>82</v>
      </c>
      <c r="L260" s="17"/>
      <c r="M260" s="17"/>
      <c r="N260" s="17"/>
      <c r="O260" s="17"/>
      <c r="P260" s="18"/>
      <c r="Q260" s="16" t="s">
        <v>83</v>
      </c>
      <c r="R260" s="18"/>
    </row>
    <row r="261" spans="1:18" ht="16.5" customHeight="1">
      <c r="A261" s="10">
        <v>260</v>
      </c>
      <c r="B261" s="10">
        <v>70</v>
      </c>
      <c r="C261" s="10">
        <v>57</v>
      </c>
      <c r="D261" s="11" t="s">
        <v>3119</v>
      </c>
      <c r="E261" s="19" t="s">
        <v>3088</v>
      </c>
      <c r="F261" s="11" t="s">
        <v>3126</v>
      </c>
      <c r="G261" s="10" t="s">
        <v>160</v>
      </c>
      <c r="H261" s="13" t="s">
        <v>3096</v>
      </c>
      <c r="I261" s="14" t="s">
        <v>3097</v>
      </c>
      <c r="J261" s="15" t="s">
        <v>3098</v>
      </c>
      <c r="K261" s="16" t="s">
        <v>82</v>
      </c>
      <c r="L261" s="17"/>
      <c r="M261" s="17"/>
      <c r="N261" s="17"/>
      <c r="O261" s="17"/>
      <c r="P261" s="18"/>
      <c r="Q261" s="16" t="s">
        <v>83</v>
      </c>
      <c r="R261" s="18"/>
    </row>
    <row r="262" spans="1:18" ht="16.5" customHeight="1">
      <c r="A262" s="10">
        <v>261</v>
      </c>
      <c r="B262" s="10">
        <v>70</v>
      </c>
      <c r="C262" s="10">
        <v>58</v>
      </c>
      <c r="D262" s="11" t="s">
        <v>3088</v>
      </c>
      <c r="E262" s="12" t="s">
        <v>3126</v>
      </c>
      <c r="F262" s="11" t="s">
        <v>3127</v>
      </c>
      <c r="G262" s="10"/>
      <c r="H262" s="13" t="s">
        <v>2277</v>
      </c>
      <c r="I262" s="14" t="s">
        <v>3128</v>
      </c>
      <c r="J262" s="15" t="s">
        <v>3128</v>
      </c>
      <c r="K262" s="16" t="s">
        <v>82</v>
      </c>
      <c r="L262" s="17"/>
      <c r="M262" s="17"/>
      <c r="N262" s="17"/>
      <c r="O262" s="17"/>
      <c r="P262" s="18"/>
      <c r="Q262" s="16" t="s">
        <v>83</v>
      </c>
      <c r="R262" s="18"/>
    </row>
    <row r="263" spans="1:18" ht="16.5" customHeight="1">
      <c r="A263" s="10">
        <v>262</v>
      </c>
      <c r="B263" s="10">
        <v>70</v>
      </c>
      <c r="C263" s="10">
        <v>59</v>
      </c>
      <c r="D263" s="11" t="s">
        <v>3126</v>
      </c>
      <c r="E263" s="19" t="s">
        <v>3127</v>
      </c>
      <c r="F263" s="11" t="s">
        <v>3129</v>
      </c>
      <c r="G263" s="10" t="s">
        <v>160</v>
      </c>
      <c r="H263" s="13" t="s">
        <v>3130</v>
      </c>
      <c r="I263" s="14" t="s">
        <v>3131</v>
      </c>
      <c r="J263" s="15" t="s">
        <v>3132</v>
      </c>
      <c r="K263" s="16" t="s">
        <v>82</v>
      </c>
      <c r="L263" s="17"/>
      <c r="M263" s="17"/>
      <c r="N263" s="17"/>
      <c r="O263" s="17"/>
      <c r="P263" s="18"/>
      <c r="Q263" s="16" t="s">
        <v>83</v>
      </c>
      <c r="R263" s="18"/>
    </row>
    <row r="264" spans="1:18" ht="16.5" customHeight="1">
      <c r="A264" s="10">
        <v>263</v>
      </c>
      <c r="B264" s="10">
        <v>70</v>
      </c>
      <c r="C264" s="10">
        <v>60</v>
      </c>
      <c r="D264" s="11" t="s">
        <v>3127</v>
      </c>
      <c r="E264" s="12" t="s">
        <v>3129</v>
      </c>
      <c r="F264" s="11" t="s">
        <v>3048</v>
      </c>
      <c r="G264" s="10"/>
      <c r="H264" s="13" t="s">
        <v>3133</v>
      </c>
      <c r="I264" s="14" t="s">
        <v>3134</v>
      </c>
      <c r="J264" s="15" t="s">
        <v>3135</v>
      </c>
      <c r="K264" s="16" t="s">
        <v>82</v>
      </c>
      <c r="L264" s="17"/>
      <c r="M264" s="17"/>
      <c r="N264" s="17"/>
      <c r="O264" s="17"/>
      <c r="P264" s="18"/>
      <c r="Q264" s="16" t="s">
        <v>83</v>
      </c>
      <c r="R264" s="18"/>
    </row>
    <row r="265" spans="1:18" ht="16.5" customHeight="1">
      <c r="A265" s="10">
        <v>264</v>
      </c>
      <c r="B265" s="10">
        <v>70</v>
      </c>
      <c r="C265" s="10">
        <v>62</v>
      </c>
      <c r="D265" s="11" t="s">
        <v>3048</v>
      </c>
      <c r="E265" s="12" t="s">
        <v>3136</v>
      </c>
      <c r="F265" s="11" t="s">
        <v>3088</v>
      </c>
      <c r="G265" s="10"/>
      <c r="H265" s="13"/>
      <c r="I265" s="14" t="s">
        <v>3137</v>
      </c>
      <c r="J265" s="15" t="s">
        <v>3138</v>
      </c>
      <c r="K265" s="16" t="s">
        <v>82</v>
      </c>
      <c r="L265" s="17"/>
      <c r="M265" s="17"/>
      <c r="N265" s="17"/>
      <c r="O265" s="17"/>
      <c r="P265" s="18"/>
      <c r="Q265" s="16" t="s">
        <v>83</v>
      </c>
      <c r="R265" s="18"/>
    </row>
    <row r="266" spans="1:18" ht="16.5" customHeight="1">
      <c r="A266" s="10">
        <v>265</v>
      </c>
      <c r="B266" s="10">
        <v>70</v>
      </c>
      <c r="C266" s="10">
        <v>63</v>
      </c>
      <c r="D266" s="11" t="s">
        <v>3136</v>
      </c>
      <c r="E266" s="19" t="s">
        <v>3088</v>
      </c>
      <c r="F266" s="11" t="s">
        <v>3139</v>
      </c>
      <c r="G266" s="10" t="s">
        <v>160</v>
      </c>
      <c r="H266" s="13" t="s">
        <v>3096</v>
      </c>
      <c r="I266" s="14" t="s">
        <v>3097</v>
      </c>
      <c r="J266" s="15" t="s">
        <v>3098</v>
      </c>
      <c r="K266" s="16" t="s">
        <v>82</v>
      </c>
      <c r="L266" s="17"/>
      <c r="M266" s="17"/>
      <c r="N266" s="17"/>
      <c r="O266" s="17"/>
      <c r="P266" s="18"/>
      <c r="Q266" s="16" t="s">
        <v>83</v>
      </c>
      <c r="R266" s="18"/>
    </row>
    <row r="267" spans="1:18" ht="16.5" customHeight="1">
      <c r="A267" s="10">
        <v>266</v>
      </c>
      <c r="B267" s="10">
        <v>70</v>
      </c>
      <c r="C267" s="10">
        <v>64</v>
      </c>
      <c r="D267" s="11" t="s">
        <v>3088</v>
      </c>
      <c r="E267" s="12" t="s">
        <v>3139</v>
      </c>
      <c r="F267" s="11" t="s">
        <v>3048</v>
      </c>
      <c r="G267" s="10"/>
      <c r="H267" s="13" t="s">
        <v>3140</v>
      </c>
      <c r="I267" s="14" t="s">
        <v>3141</v>
      </c>
      <c r="J267" s="15" t="s">
        <v>3142</v>
      </c>
      <c r="K267" s="16" t="s">
        <v>82</v>
      </c>
      <c r="L267" s="17"/>
      <c r="M267" s="17"/>
      <c r="N267" s="17"/>
      <c r="O267" s="17"/>
      <c r="P267" s="18"/>
      <c r="Q267" s="16" t="s">
        <v>83</v>
      </c>
      <c r="R267" s="18"/>
    </row>
    <row r="268" spans="1:18" ht="16.5" customHeight="1">
      <c r="A268" s="10">
        <v>267</v>
      </c>
      <c r="B268" s="10">
        <v>70</v>
      </c>
      <c r="C268" s="10">
        <v>68</v>
      </c>
      <c r="D268" s="11" t="s">
        <v>3143</v>
      </c>
      <c r="E268" s="12" t="s">
        <v>3144</v>
      </c>
      <c r="F268" s="11" t="s">
        <v>3088</v>
      </c>
      <c r="G268" s="10"/>
      <c r="H268" s="13"/>
      <c r="I268" s="14" t="s">
        <v>3145</v>
      </c>
      <c r="J268" s="15" t="s">
        <v>3146</v>
      </c>
      <c r="K268" s="16" t="s">
        <v>82</v>
      </c>
      <c r="L268" s="17"/>
      <c r="M268" s="17"/>
      <c r="N268" s="17"/>
      <c r="O268" s="17"/>
      <c r="P268" s="18"/>
      <c r="Q268" s="16" t="s">
        <v>83</v>
      </c>
      <c r="R268" s="18"/>
    </row>
    <row r="269" spans="1:18" ht="16.5" customHeight="1">
      <c r="A269" s="10">
        <v>268</v>
      </c>
      <c r="B269" s="10">
        <v>70</v>
      </c>
      <c r="C269" s="10">
        <v>69</v>
      </c>
      <c r="D269" s="11" t="s">
        <v>3144</v>
      </c>
      <c r="E269" s="19" t="s">
        <v>3088</v>
      </c>
      <c r="F269" s="11" t="s">
        <v>3147</v>
      </c>
      <c r="G269" s="10" t="s">
        <v>160</v>
      </c>
      <c r="H269" s="13" t="s">
        <v>3096</v>
      </c>
      <c r="I269" s="14" t="s">
        <v>3097</v>
      </c>
      <c r="J269" s="15" t="s">
        <v>3098</v>
      </c>
      <c r="K269" s="16" t="s">
        <v>82</v>
      </c>
      <c r="L269" s="17"/>
      <c r="M269" s="17"/>
      <c r="N269" s="17"/>
      <c r="O269" s="17"/>
      <c r="P269" s="18"/>
      <c r="Q269" s="16" t="s">
        <v>83</v>
      </c>
      <c r="R269" s="18"/>
    </row>
    <row r="270" spans="1:18" ht="16.5" customHeight="1">
      <c r="A270" s="10">
        <v>269</v>
      </c>
      <c r="B270" s="10">
        <v>70</v>
      </c>
      <c r="C270" s="10">
        <v>70</v>
      </c>
      <c r="D270" s="11" t="s">
        <v>3088</v>
      </c>
      <c r="E270" s="12" t="s">
        <v>3147</v>
      </c>
      <c r="F270" s="11" t="s">
        <v>3148</v>
      </c>
      <c r="G270" s="10"/>
      <c r="H270" s="13" t="s">
        <v>3149</v>
      </c>
      <c r="I270" s="14" t="s">
        <v>3150</v>
      </c>
      <c r="J270" s="15" t="s">
        <v>3151</v>
      </c>
      <c r="K270" s="16" t="s">
        <v>82</v>
      </c>
      <c r="L270" s="17"/>
      <c r="M270" s="17"/>
      <c r="N270" s="17"/>
      <c r="O270" s="17"/>
      <c r="P270" s="18"/>
      <c r="Q270" s="16" t="s">
        <v>83</v>
      </c>
      <c r="R270" s="18"/>
    </row>
    <row r="271" spans="1:18" ht="16.5" customHeight="1">
      <c r="A271" s="10">
        <v>270</v>
      </c>
      <c r="B271" s="10">
        <v>70</v>
      </c>
      <c r="C271" s="10">
        <v>78</v>
      </c>
      <c r="D271" s="11" t="s">
        <v>3152</v>
      </c>
      <c r="E271" s="12" t="s">
        <v>3153</v>
      </c>
      <c r="F271" s="11" t="s">
        <v>3088</v>
      </c>
      <c r="G271" s="10"/>
      <c r="H271" s="13" t="s">
        <v>3154</v>
      </c>
      <c r="I271" s="14" t="s">
        <v>3155</v>
      </c>
      <c r="J271" s="15" t="s">
        <v>3155</v>
      </c>
      <c r="K271" s="16" t="s">
        <v>82</v>
      </c>
      <c r="L271" s="17"/>
      <c r="M271" s="17"/>
      <c r="N271" s="17"/>
      <c r="O271" s="17"/>
      <c r="P271" s="18"/>
      <c r="Q271" s="16" t="s">
        <v>83</v>
      </c>
      <c r="R271" s="18"/>
    </row>
    <row r="272" spans="1:18" ht="16.5" customHeight="1">
      <c r="A272" s="10">
        <v>271</v>
      </c>
      <c r="B272" s="10">
        <v>70</v>
      </c>
      <c r="C272" s="10">
        <v>79</v>
      </c>
      <c r="D272" s="11" t="s">
        <v>3153</v>
      </c>
      <c r="E272" s="19" t="s">
        <v>3088</v>
      </c>
      <c r="F272" s="11" t="s">
        <v>3156</v>
      </c>
      <c r="G272" s="10" t="s">
        <v>160</v>
      </c>
      <c r="H272" s="13" t="s">
        <v>3096</v>
      </c>
      <c r="I272" s="14" t="s">
        <v>3097</v>
      </c>
      <c r="J272" s="15" t="s">
        <v>3098</v>
      </c>
      <c r="K272" s="16" t="s">
        <v>82</v>
      </c>
      <c r="L272" s="17"/>
      <c r="M272" s="17"/>
      <c r="N272" s="17"/>
      <c r="O272" s="17"/>
      <c r="P272" s="18"/>
      <c r="Q272" s="16" t="s">
        <v>83</v>
      </c>
      <c r="R272" s="18"/>
    </row>
    <row r="273" spans="1:18" ht="16.5" customHeight="1">
      <c r="A273" s="10">
        <v>272</v>
      </c>
      <c r="B273" s="10">
        <v>70</v>
      </c>
      <c r="C273" s="10">
        <v>80</v>
      </c>
      <c r="D273" s="11" t="s">
        <v>3088</v>
      </c>
      <c r="E273" s="12" t="s">
        <v>3156</v>
      </c>
      <c r="F273" s="11" t="s">
        <v>3157</v>
      </c>
      <c r="G273" s="10"/>
      <c r="H273" s="13" t="s">
        <v>3158</v>
      </c>
      <c r="I273" s="14" t="s">
        <v>3159</v>
      </c>
      <c r="J273" s="15" t="s">
        <v>3159</v>
      </c>
      <c r="K273" s="16" t="s">
        <v>82</v>
      </c>
      <c r="L273" s="17"/>
      <c r="M273" s="17"/>
      <c r="N273" s="17"/>
      <c r="O273" s="17"/>
      <c r="P273" s="18"/>
      <c r="Q273" s="16" t="s">
        <v>83</v>
      </c>
      <c r="R273" s="18"/>
    </row>
    <row r="274" spans="1:18" ht="16.5" customHeight="1">
      <c r="A274" s="10">
        <v>273</v>
      </c>
      <c r="B274" s="10">
        <v>70</v>
      </c>
      <c r="C274" s="10">
        <v>103</v>
      </c>
      <c r="D274" s="11" t="s">
        <v>3160</v>
      </c>
      <c r="E274" s="12" t="s">
        <v>3161</v>
      </c>
      <c r="F274" s="11" t="s">
        <v>3162</v>
      </c>
      <c r="G274" s="10"/>
      <c r="H274" s="13" t="s">
        <v>3163</v>
      </c>
      <c r="I274" s="14" t="s">
        <v>3164</v>
      </c>
      <c r="J274" s="15" t="s">
        <v>3165</v>
      </c>
      <c r="K274" s="16" t="s">
        <v>82</v>
      </c>
      <c r="L274" s="17"/>
      <c r="M274" s="17"/>
      <c r="N274" s="17"/>
      <c r="O274" s="17"/>
      <c r="P274" s="18"/>
      <c r="Q274" s="16" t="s">
        <v>83</v>
      </c>
      <c r="R274" s="18"/>
    </row>
    <row r="275" spans="1:18" ht="16.5" customHeight="1">
      <c r="A275" s="10">
        <v>274</v>
      </c>
      <c r="B275" s="10">
        <v>70</v>
      </c>
      <c r="C275" s="10">
        <v>104</v>
      </c>
      <c r="D275" s="11" t="s">
        <v>3161</v>
      </c>
      <c r="E275" s="19" t="s">
        <v>3162</v>
      </c>
      <c r="F275" s="11" t="s">
        <v>3166</v>
      </c>
      <c r="G275" s="10" t="s">
        <v>160</v>
      </c>
      <c r="H275" s="13" t="s">
        <v>3167</v>
      </c>
      <c r="I275" s="14" t="s">
        <v>3168</v>
      </c>
      <c r="J275" s="15" t="s">
        <v>3169</v>
      </c>
      <c r="K275" s="16" t="s">
        <v>82</v>
      </c>
      <c r="L275" s="17"/>
      <c r="M275" s="17"/>
      <c r="N275" s="17"/>
      <c r="O275" s="17"/>
      <c r="P275" s="18"/>
      <c r="Q275" s="16" t="s">
        <v>83</v>
      </c>
      <c r="R275" s="18"/>
    </row>
    <row r="276" spans="1:18" ht="16.5" customHeight="1">
      <c r="A276" s="10">
        <v>275</v>
      </c>
      <c r="B276" s="10">
        <v>70</v>
      </c>
      <c r="C276" s="10">
        <v>105</v>
      </c>
      <c r="D276" s="11" t="s">
        <v>3162</v>
      </c>
      <c r="E276" s="19" t="s">
        <v>3166</v>
      </c>
      <c r="F276" s="11" t="s">
        <v>3170</v>
      </c>
      <c r="G276" s="10" t="s">
        <v>2496</v>
      </c>
      <c r="H276" s="13" t="s">
        <v>3171</v>
      </c>
      <c r="I276" s="14" t="s">
        <v>3172</v>
      </c>
      <c r="J276" s="15" t="s">
        <v>3173</v>
      </c>
      <c r="K276" s="16" t="s">
        <v>82</v>
      </c>
      <c r="L276" s="17"/>
      <c r="M276" s="17"/>
      <c r="N276" s="17"/>
      <c r="O276" s="17"/>
      <c r="P276" s="18"/>
      <c r="Q276" s="16" t="s">
        <v>83</v>
      </c>
      <c r="R276" s="18"/>
    </row>
    <row r="277" spans="1:18" ht="16.5" customHeight="1">
      <c r="A277" s="10">
        <v>276</v>
      </c>
      <c r="B277" s="10">
        <v>70</v>
      </c>
      <c r="C277" s="10">
        <v>106</v>
      </c>
      <c r="D277" s="11" t="s">
        <v>3166</v>
      </c>
      <c r="E277" s="12" t="s">
        <v>3170</v>
      </c>
      <c r="F277" s="11" t="s">
        <v>3174</v>
      </c>
      <c r="G277" s="10"/>
      <c r="H277" s="13" t="s">
        <v>3175</v>
      </c>
      <c r="I277" s="14" t="s">
        <v>3176</v>
      </c>
      <c r="J277" s="15" t="s">
        <v>3177</v>
      </c>
      <c r="K277" s="16" t="s">
        <v>82</v>
      </c>
      <c r="L277" s="17"/>
      <c r="M277" s="17"/>
      <c r="N277" s="17"/>
      <c r="O277" s="17"/>
      <c r="P277" s="18"/>
      <c r="Q277" s="16" t="s">
        <v>83</v>
      </c>
      <c r="R277" s="18"/>
    </row>
    <row r="278" spans="1:18" ht="16.5" customHeight="1">
      <c r="A278" s="10">
        <v>277</v>
      </c>
      <c r="B278" s="10">
        <v>70</v>
      </c>
      <c r="C278" s="10">
        <v>126</v>
      </c>
      <c r="D278" s="11" t="s">
        <v>3178</v>
      </c>
      <c r="E278" s="12" t="s">
        <v>3179</v>
      </c>
      <c r="F278" s="11" t="s">
        <v>3180</v>
      </c>
      <c r="G278" s="10"/>
      <c r="H278" s="13" t="s">
        <v>3181</v>
      </c>
      <c r="I278" s="14" t="s">
        <v>3182</v>
      </c>
      <c r="J278" s="15" t="s">
        <v>3183</v>
      </c>
      <c r="K278" s="16" t="s">
        <v>82</v>
      </c>
      <c r="L278" s="17"/>
      <c r="M278" s="17"/>
      <c r="N278" s="17"/>
      <c r="O278" s="17"/>
      <c r="P278" s="18"/>
      <c r="Q278" s="16" t="s">
        <v>83</v>
      </c>
      <c r="R278" s="18"/>
    </row>
    <row r="279" spans="1:18" ht="16.5" customHeight="1">
      <c r="A279" s="10">
        <v>278</v>
      </c>
      <c r="B279" s="10">
        <v>70</v>
      </c>
      <c r="C279" s="10">
        <v>127</v>
      </c>
      <c r="D279" s="11" t="s">
        <v>3179</v>
      </c>
      <c r="E279" s="19" t="s">
        <v>3180</v>
      </c>
      <c r="F279" s="11" t="s">
        <v>3184</v>
      </c>
      <c r="G279" s="10" t="s">
        <v>2920</v>
      </c>
      <c r="H279" s="13" t="s">
        <v>3185</v>
      </c>
      <c r="I279" s="14" t="s">
        <v>3186</v>
      </c>
      <c r="J279" s="15" t="s">
        <v>3187</v>
      </c>
      <c r="K279" s="16" t="s">
        <v>89</v>
      </c>
      <c r="L279" s="17" t="s">
        <v>90</v>
      </c>
      <c r="M279" s="17" t="s">
        <v>91</v>
      </c>
      <c r="N279" s="17" t="s">
        <v>3188</v>
      </c>
      <c r="O279" s="17" t="s">
        <v>3189</v>
      </c>
      <c r="P279" s="18" t="s">
        <v>3190</v>
      </c>
      <c r="Q279" s="16" t="s">
        <v>83</v>
      </c>
      <c r="R279" s="18"/>
    </row>
    <row r="280" spans="1:18" ht="16.5" customHeight="1">
      <c r="A280" s="10">
        <v>279</v>
      </c>
      <c r="B280" s="10">
        <v>70</v>
      </c>
      <c r="C280" s="10">
        <v>128</v>
      </c>
      <c r="D280" s="11" t="s">
        <v>3180</v>
      </c>
      <c r="E280" s="12" t="s">
        <v>3184</v>
      </c>
      <c r="F280" s="11" t="s">
        <v>3191</v>
      </c>
      <c r="G280" s="10"/>
      <c r="H280" s="13" t="s">
        <v>3192</v>
      </c>
      <c r="I280" s="14" t="s">
        <v>3193</v>
      </c>
      <c r="J280" s="15" t="s">
        <v>3194</v>
      </c>
      <c r="K280" s="16" t="s">
        <v>82</v>
      </c>
      <c r="L280" s="17"/>
      <c r="M280" s="17"/>
      <c r="N280" s="17"/>
      <c r="O280" s="17"/>
      <c r="P280" s="18"/>
      <c r="Q280" s="16" t="s">
        <v>83</v>
      </c>
      <c r="R280" s="18"/>
    </row>
    <row r="281" spans="1:18" ht="16.5" customHeight="1">
      <c r="A281" s="10">
        <v>280</v>
      </c>
      <c r="B281" s="10">
        <v>70</v>
      </c>
      <c r="C281" s="10">
        <v>186</v>
      </c>
      <c r="D281" s="11" t="s">
        <v>3195</v>
      </c>
      <c r="E281" s="12" t="s">
        <v>3196</v>
      </c>
      <c r="F281" s="11" t="s">
        <v>3197</v>
      </c>
      <c r="G281" s="10"/>
      <c r="H281" s="13"/>
      <c r="I281" s="14" t="s">
        <v>3198</v>
      </c>
      <c r="J281" s="15" t="s">
        <v>3199</v>
      </c>
      <c r="K281" s="16" t="s">
        <v>82</v>
      </c>
      <c r="L281" s="17"/>
      <c r="M281" s="17"/>
      <c r="N281" s="17"/>
      <c r="O281" s="17"/>
      <c r="P281" s="18"/>
      <c r="Q281" s="16" t="s">
        <v>83</v>
      </c>
      <c r="R281" s="18"/>
    </row>
    <row r="282" spans="1:18" ht="16.5" customHeight="1">
      <c r="A282" s="10">
        <v>281</v>
      </c>
      <c r="B282" s="10">
        <v>70</v>
      </c>
      <c r="C282" s="10">
        <v>187</v>
      </c>
      <c r="D282" s="11" t="s">
        <v>3196</v>
      </c>
      <c r="E282" s="19" t="s">
        <v>3197</v>
      </c>
      <c r="F282" s="11" t="s">
        <v>3200</v>
      </c>
      <c r="G282" s="10" t="s">
        <v>575</v>
      </c>
      <c r="H282" s="13" t="s">
        <v>3201</v>
      </c>
      <c r="I282" s="14" t="s">
        <v>3202</v>
      </c>
      <c r="J282" s="15" t="s">
        <v>3203</v>
      </c>
      <c r="K282" s="16" t="s">
        <v>82</v>
      </c>
      <c r="L282" s="17"/>
      <c r="M282" s="17"/>
      <c r="N282" s="17"/>
      <c r="O282" s="17"/>
      <c r="P282" s="18"/>
      <c r="Q282" s="16" t="s">
        <v>83</v>
      </c>
      <c r="R282" s="18"/>
    </row>
    <row r="283" spans="1:18" ht="16.5" customHeight="1">
      <c r="A283" s="10">
        <v>282</v>
      </c>
      <c r="B283" s="10">
        <v>70</v>
      </c>
      <c r="C283" s="10">
        <v>188</v>
      </c>
      <c r="D283" s="11" t="s">
        <v>3197</v>
      </c>
      <c r="E283" s="12" t="s">
        <v>3200</v>
      </c>
      <c r="F283" s="11" t="s">
        <v>3204</v>
      </c>
      <c r="G283" s="10"/>
      <c r="H283" s="13"/>
      <c r="I283" s="14" t="s">
        <v>3205</v>
      </c>
      <c r="J283" s="15" t="s">
        <v>3206</v>
      </c>
      <c r="K283" s="16" t="s">
        <v>82</v>
      </c>
      <c r="L283" s="17"/>
      <c r="M283" s="17"/>
      <c r="N283" s="17"/>
      <c r="O283" s="17"/>
      <c r="P283" s="18"/>
      <c r="Q283" s="16" t="s">
        <v>83</v>
      </c>
      <c r="R283" s="18"/>
    </row>
    <row r="284" spans="1:18" ht="16.5" customHeight="1">
      <c r="A284" s="10">
        <v>283</v>
      </c>
      <c r="B284" s="10">
        <v>70</v>
      </c>
      <c r="C284" s="10">
        <v>235</v>
      </c>
      <c r="D284" s="11" t="s">
        <v>3207</v>
      </c>
      <c r="E284" s="12" t="s">
        <v>3208</v>
      </c>
      <c r="F284" s="11" t="s">
        <v>3209</v>
      </c>
      <c r="G284" s="10"/>
      <c r="H284" s="13" t="s">
        <v>3210</v>
      </c>
      <c r="I284" s="14" t="s">
        <v>3211</v>
      </c>
      <c r="J284" s="15" t="s">
        <v>3212</v>
      </c>
      <c r="K284" s="16" t="s">
        <v>82</v>
      </c>
      <c r="L284" s="17"/>
      <c r="M284" s="17"/>
      <c r="N284" s="17"/>
      <c r="O284" s="17"/>
      <c r="P284" s="18"/>
      <c r="Q284" s="16" t="s">
        <v>83</v>
      </c>
      <c r="R284" s="18"/>
    </row>
    <row r="285" spans="1:18" ht="16.5" customHeight="1">
      <c r="A285" s="10">
        <v>284</v>
      </c>
      <c r="B285" s="10">
        <v>70</v>
      </c>
      <c r="C285" s="10">
        <v>236</v>
      </c>
      <c r="D285" s="11" t="s">
        <v>3208</v>
      </c>
      <c r="E285" s="19" t="s">
        <v>3209</v>
      </c>
      <c r="F285" s="11" t="s">
        <v>3213</v>
      </c>
      <c r="G285" s="10" t="s">
        <v>338</v>
      </c>
      <c r="H285" s="13" t="s">
        <v>3214</v>
      </c>
      <c r="I285" s="14" t="s">
        <v>3215</v>
      </c>
      <c r="J285" s="15" t="s">
        <v>3216</v>
      </c>
      <c r="K285" s="16" t="s">
        <v>82</v>
      </c>
      <c r="L285" s="17"/>
      <c r="M285" s="17"/>
      <c r="N285" s="17"/>
      <c r="O285" s="17"/>
      <c r="P285" s="18"/>
      <c r="Q285" s="16" t="s">
        <v>83</v>
      </c>
      <c r="R285" s="18"/>
    </row>
    <row r="286" spans="1:18" ht="16.5" customHeight="1">
      <c r="A286" s="10">
        <v>285</v>
      </c>
      <c r="B286" s="10">
        <v>70</v>
      </c>
      <c r="C286" s="10">
        <v>237</v>
      </c>
      <c r="D286" s="11" t="s">
        <v>3209</v>
      </c>
      <c r="E286" s="12" t="s">
        <v>3213</v>
      </c>
      <c r="F286" s="11" t="s">
        <v>3217</v>
      </c>
      <c r="G286" s="10"/>
      <c r="H286" s="13" t="s">
        <v>3218</v>
      </c>
      <c r="I286" s="14" t="s">
        <v>3219</v>
      </c>
      <c r="J286" s="15" t="s">
        <v>3220</v>
      </c>
      <c r="K286" s="16" t="s">
        <v>82</v>
      </c>
      <c r="L286" s="17"/>
      <c r="M286" s="17"/>
      <c r="N286" s="17"/>
      <c r="O286" s="17"/>
      <c r="P286" s="18"/>
      <c r="Q286" s="16" t="s">
        <v>83</v>
      </c>
      <c r="R286" s="18"/>
    </row>
    <row r="287" spans="1:18" ht="16.5" customHeight="1">
      <c r="A287" s="10">
        <v>286</v>
      </c>
      <c r="B287" s="10">
        <v>70</v>
      </c>
      <c r="C287" s="10">
        <v>241</v>
      </c>
      <c r="D287" s="11" t="s">
        <v>3221</v>
      </c>
      <c r="E287" s="12" t="s">
        <v>3222</v>
      </c>
      <c r="F287" s="11" t="s">
        <v>3223</v>
      </c>
      <c r="G287" s="10"/>
      <c r="H287" s="13" t="s">
        <v>3224</v>
      </c>
      <c r="I287" s="14" t="s">
        <v>3225</v>
      </c>
      <c r="J287" s="15" t="s">
        <v>3225</v>
      </c>
      <c r="K287" s="16" t="s">
        <v>82</v>
      </c>
      <c r="L287" s="17"/>
      <c r="M287" s="17"/>
      <c r="N287" s="17"/>
      <c r="O287" s="17"/>
      <c r="P287" s="18"/>
      <c r="Q287" s="16" t="s">
        <v>83</v>
      </c>
      <c r="R287" s="18"/>
    </row>
    <row r="288" spans="1:18" ht="16.5" customHeight="1">
      <c r="A288" s="10">
        <v>287</v>
      </c>
      <c r="B288" s="10">
        <v>70</v>
      </c>
      <c r="C288" s="10">
        <v>242</v>
      </c>
      <c r="D288" s="11" t="s">
        <v>3222</v>
      </c>
      <c r="E288" s="19" t="s">
        <v>3223</v>
      </c>
      <c r="F288" s="11" t="s">
        <v>3226</v>
      </c>
      <c r="G288" s="10" t="s">
        <v>160</v>
      </c>
      <c r="H288" s="13" t="s">
        <v>3227</v>
      </c>
      <c r="I288" s="14" t="s">
        <v>3228</v>
      </c>
      <c r="J288" s="15" t="s">
        <v>3229</v>
      </c>
      <c r="K288" s="16" t="s">
        <v>82</v>
      </c>
      <c r="L288" s="17"/>
      <c r="M288" s="17"/>
      <c r="N288" s="17"/>
      <c r="O288" s="17"/>
      <c r="P288" s="18"/>
      <c r="Q288" s="16" t="s">
        <v>83</v>
      </c>
      <c r="R288" s="18"/>
    </row>
    <row r="289" spans="1:18" ht="16.5" customHeight="1">
      <c r="A289" s="10">
        <v>288</v>
      </c>
      <c r="B289" s="10">
        <v>70</v>
      </c>
      <c r="C289" s="10">
        <v>243</v>
      </c>
      <c r="D289" s="11" t="s">
        <v>3223</v>
      </c>
      <c r="E289" s="12" t="s">
        <v>3226</v>
      </c>
      <c r="F289" s="11" t="s">
        <v>3230</v>
      </c>
      <c r="G289" s="10"/>
      <c r="H289" s="13" t="s">
        <v>3231</v>
      </c>
      <c r="I289" s="14" t="s">
        <v>3232</v>
      </c>
      <c r="J289" s="15" t="s">
        <v>3233</v>
      </c>
      <c r="K289" s="16" t="s">
        <v>82</v>
      </c>
      <c r="L289" s="17"/>
      <c r="M289" s="17"/>
      <c r="N289" s="17"/>
      <c r="O289" s="17"/>
      <c r="P289" s="18"/>
      <c r="Q289" s="16" t="s">
        <v>83</v>
      </c>
      <c r="R289" s="18"/>
    </row>
    <row r="290" spans="1:18" ht="16.5" customHeight="1">
      <c r="A290" s="10">
        <v>289</v>
      </c>
      <c r="B290" s="10">
        <v>75</v>
      </c>
      <c r="C290" s="10">
        <v>32</v>
      </c>
      <c r="D290" s="11" t="s">
        <v>3234</v>
      </c>
      <c r="E290" s="12" t="s">
        <v>3235</v>
      </c>
      <c r="F290" s="11"/>
      <c r="G290" s="10"/>
      <c r="H290" s="13" t="s">
        <v>3236</v>
      </c>
      <c r="I290" s="14" t="s">
        <v>3237</v>
      </c>
      <c r="J290" s="15" t="s">
        <v>3238</v>
      </c>
      <c r="K290" s="16" t="s">
        <v>82</v>
      </c>
      <c r="L290" s="17"/>
      <c r="M290" s="17"/>
      <c r="N290" s="17"/>
      <c r="O290" s="17"/>
      <c r="P290" s="18"/>
      <c r="Q290" s="16" t="s">
        <v>83</v>
      </c>
      <c r="R290" s="18"/>
    </row>
    <row r="291" spans="1:18" ht="16.5" customHeight="1">
      <c r="A291" s="10">
        <v>290</v>
      </c>
      <c r="B291" s="10">
        <v>76</v>
      </c>
      <c r="C291" s="10">
        <v>1</v>
      </c>
      <c r="D291" s="11"/>
      <c r="E291" s="19" t="s">
        <v>3239</v>
      </c>
      <c r="F291" s="11" t="s">
        <v>3240</v>
      </c>
      <c r="G291" s="10" t="s">
        <v>305</v>
      </c>
      <c r="H291" s="13" t="s">
        <v>3241</v>
      </c>
      <c r="I291" s="14" t="s">
        <v>3242</v>
      </c>
      <c r="J291" s="15" t="s">
        <v>3243</v>
      </c>
      <c r="K291" s="16" t="s">
        <v>82</v>
      </c>
      <c r="L291" s="17"/>
      <c r="M291" s="17"/>
      <c r="N291" s="17"/>
      <c r="O291" s="17"/>
      <c r="P291" s="18"/>
      <c r="Q291" s="16" t="s">
        <v>83</v>
      </c>
      <c r="R291" s="18"/>
    </row>
    <row r="292" spans="1:18" ht="16.5" customHeight="1">
      <c r="A292" s="10">
        <v>291</v>
      </c>
      <c r="B292" s="10">
        <v>76</v>
      </c>
      <c r="C292" s="10">
        <v>2</v>
      </c>
      <c r="D292" s="11" t="s">
        <v>3239</v>
      </c>
      <c r="E292" s="12" t="s">
        <v>3240</v>
      </c>
      <c r="F292" s="11" t="s">
        <v>3244</v>
      </c>
      <c r="G292" s="10"/>
      <c r="H292" s="13" t="s">
        <v>3245</v>
      </c>
      <c r="I292" s="14" t="s">
        <v>3246</v>
      </c>
      <c r="J292" s="15" t="s">
        <v>3246</v>
      </c>
      <c r="K292" s="16" t="s">
        <v>82</v>
      </c>
      <c r="L292" s="17"/>
      <c r="M292" s="17"/>
      <c r="N292" s="17"/>
      <c r="O292" s="17"/>
      <c r="P292" s="18"/>
      <c r="Q292" s="16" t="s">
        <v>83</v>
      </c>
      <c r="R292" s="18"/>
    </row>
    <row r="293" spans="1:18" ht="16.5" customHeight="1">
      <c r="A293" s="10">
        <v>292</v>
      </c>
      <c r="B293" s="10">
        <v>84</v>
      </c>
      <c r="C293" s="10">
        <v>8</v>
      </c>
      <c r="D293" s="11" t="s">
        <v>3247</v>
      </c>
      <c r="E293" s="12" t="s">
        <v>3248</v>
      </c>
      <c r="F293" s="11" t="s">
        <v>3249</v>
      </c>
      <c r="G293" s="10"/>
      <c r="H293" s="13" t="s">
        <v>3250</v>
      </c>
      <c r="I293" s="14" t="s">
        <v>3251</v>
      </c>
      <c r="J293" s="15" t="s">
        <v>3251</v>
      </c>
      <c r="K293" s="16" t="s">
        <v>82</v>
      </c>
      <c r="L293" s="17"/>
      <c r="M293" s="17"/>
      <c r="N293" s="17"/>
      <c r="O293" s="17"/>
      <c r="P293" s="18"/>
      <c r="Q293" s="16" t="s">
        <v>83</v>
      </c>
      <c r="R293" s="18"/>
    </row>
    <row r="294" spans="1:18" ht="16.5" customHeight="1">
      <c r="A294" s="10">
        <v>293</v>
      </c>
      <c r="B294" s="10">
        <v>84</v>
      </c>
      <c r="C294" s="10">
        <v>9</v>
      </c>
      <c r="D294" s="11" t="s">
        <v>3248</v>
      </c>
      <c r="E294" s="19" t="s">
        <v>3249</v>
      </c>
      <c r="F294" s="11" t="s">
        <v>3252</v>
      </c>
      <c r="G294" s="10" t="s">
        <v>3253</v>
      </c>
      <c r="H294" s="13" t="s">
        <v>3254</v>
      </c>
      <c r="I294" s="14" t="s">
        <v>3255</v>
      </c>
      <c r="J294" s="15" t="s">
        <v>3256</v>
      </c>
      <c r="K294" s="16" t="s">
        <v>82</v>
      </c>
      <c r="L294" s="17"/>
      <c r="M294" s="17"/>
      <c r="N294" s="17"/>
      <c r="O294" s="17"/>
      <c r="P294" s="18"/>
      <c r="Q294" s="16" t="s">
        <v>83</v>
      </c>
      <c r="R294" s="18"/>
    </row>
    <row r="295" spans="1:18" ht="16.5" customHeight="1">
      <c r="A295" s="10">
        <v>294</v>
      </c>
      <c r="B295" s="10">
        <v>84</v>
      </c>
      <c r="C295" s="10">
        <v>10</v>
      </c>
      <c r="D295" s="11" t="s">
        <v>3249</v>
      </c>
      <c r="E295" s="12" t="s">
        <v>3252</v>
      </c>
      <c r="F295" s="11" t="s">
        <v>3257</v>
      </c>
      <c r="G295" s="10"/>
      <c r="H295" s="13" t="s">
        <v>3258</v>
      </c>
      <c r="I295" s="14" t="s">
        <v>3259</v>
      </c>
      <c r="J295" s="15" t="s">
        <v>3259</v>
      </c>
      <c r="K295" s="16" t="s">
        <v>82</v>
      </c>
      <c r="L295" s="17"/>
      <c r="M295" s="17"/>
      <c r="N295" s="17"/>
      <c r="O295" s="17"/>
      <c r="P295" s="18"/>
      <c r="Q295" s="16" t="s">
        <v>83</v>
      </c>
      <c r="R295" s="18"/>
    </row>
    <row r="296" spans="1:18" ht="16.5" customHeight="1">
      <c r="A296" s="10">
        <v>295</v>
      </c>
      <c r="B296" s="10">
        <v>84</v>
      </c>
      <c r="C296" s="10">
        <v>11</v>
      </c>
      <c r="D296" s="11" t="s">
        <v>3252</v>
      </c>
      <c r="E296" s="12" t="s">
        <v>3257</v>
      </c>
      <c r="F296" s="11" t="s">
        <v>3260</v>
      </c>
      <c r="G296" s="10"/>
      <c r="H296" s="13" t="s">
        <v>3261</v>
      </c>
      <c r="I296" s="14" t="s">
        <v>3262</v>
      </c>
      <c r="J296" s="15" t="s">
        <v>3263</v>
      </c>
      <c r="K296" s="16" t="s">
        <v>82</v>
      </c>
      <c r="L296" s="17"/>
      <c r="M296" s="17"/>
      <c r="N296" s="17"/>
      <c r="O296" s="17"/>
      <c r="P296" s="18"/>
      <c r="Q296" s="16" t="s">
        <v>83</v>
      </c>
      <c r="R296" s="18"/>
    </row>
    <row r="297" spans="1:18" ht="16.5" customHeight="1">
      <c r="A297" s="10">
        <v>296</v>
      </c>
      <c r="B297" s="10">
        <v>84</v>
      </c>
      <c r="C297" s="10">
        <v>12</v>
      </c>
      <c r="D297" s="11" t="s">
        <v>3257</v>
      </c>
      <c r="E297" s="19" t="s">
        <v>3260</v>
      </c>
      <c r="F297" s="11" t="s">
        <v>3264</v>
      </c>
      <c r="G297" s="10" t="s">
        <v>575</v>
      </c>
      <c r="H297" s="13" t="s">
        <v>3265</v>
      </c>
      <c r="I297" s="14" t="s">
        <v>3266</v>
      </c>
      <c r="J297" s="15" t="s">
        <v>3267</v>
      </c>
      <c r="K297" s="16" t="s">
        <v>82</v>
      </c>
      <c r="L297" s="17"/>
      <c r="M297" s="17"/>
      <c r="N297" s="17"/>
      <c r="O297" s="17"/>
      <c r="P297" s="18"/>
      <c r="Q297" s="16" t="s">
        <v>83</v>
      </c>
      <c r="R297" s="18"/>
    </row>
    <row r="298" spans="1:18" ht="16.5" customHeight="1">
      <c r="A298" s="10">
        <v>297</v>
      </c>
      <c r="B298" s="10">
        <v>84</v>
      </c>
      <c r="C298" s="10">
        <v>13</v>
      </c>
      <c r="D298" s="11" t="s">
        <v>3260</v>
      </c>
      <c r="E298" s="12" t="s">
        <v>3264</v>
      </c>
      <c r="F298" s="11" t="s">
        <v>3268</v>
      </c>
      <c r="G298" s="10"/>
      <c r="H298" s="13" t="s">
        <v>3269</v>
      </c>
      <c r="I298" s="14" t="s">
        <v>3270</v>
      </c>
      <c r="J298" s="15" t="s">
        <v>3270</v>
      </c>
      <c r="K298" s="16" t="s">
        <v>82</v>
      </c>
      <c r="L298" s="17"/>
      <c r="M298" s="17"/>
      <c r="N298" s="17"/>
      <c r="O298" s="17"/>
      <c r="P298" s="18"/>
      <c r="Q298" s="16" t="s">
        <v>83</v>
      </c>
      <c r="R298" s="18"/>
    </row>
    <row r="299" spans="1:18" ht="16.5" customHeight="1">
      <c r="A299" s="10">
        <v>298</v>
      </c>
      <c r="B299" s="10">
        <v>84</v>
      </c>
      <c r="C299" s="10">
        <v>19</v>
      </c>
      <c r="D299" s="11" t="s">
        <v>3271</v>
      </c>
      <c r="E299" s="12" t="s">
        <v>3272</v>
      </c>
      <c r="F299" s="11" t="s">
        <v>3273</v>
      </c>
      <c r="G299" s="10"/>
      <c r="H299" s="13" t="s">
        <v>3274</v>
      </c>
      <c r="I299" s="14" t="s">
        <v>3275</v>
      </c>
      <c r="J299" s="15" t="s">
        <v>3275</v>
      </c>
      <c r="K299" s="16" t="s">
        <v>82</v>
      </c>
      <c r="L299" s="17"/>
      <c r="M299" s="17"/>
      <c r="N299" s="17"/>
      <c r="O299" s="17"/>
      <c r="P299" s="18"/>
      <c r="Q299" s="16" t="s">
        <v>83</v>
      </c>
      <c r="R299" s="18"/>
    </row>
    <row r="300" spans="1:18" ht="16.5" customHeight="1">
      <c r="A300" s="10">
        <v>299</v>
      </c>
      <c r="B300" s="10">
        <v>84</v>
      </c>
      <c r="C300" s="10">
        <v>20</v>
      </c>
      <c r="D300" s="11" t="s">
        <v>3272</v>
      </c>
      <c r="E300" s="19" t="s">
        <v>3273</v>
      </c>
      <c r="F300" s="11" t="s">
        <v>3276</v>
      </c>
      <c r="G300" s="10" t="s">
        <v>633</v>
      </c>
      <c r="H300" s="13" t="s">
        <v>3277</v>
      </c>
      <c r="I300" s="14" t="s">
        <v>3278</v>
      </c>
      <c r="J300" s="15" t="s">
        <v>3278</v>
      </c>
      <c r="K300" s="16" t="s">
        <v>82</v>
      </c>
      <c r="L300" s="17"/>
      <c r="M300" s="17"/>
      <c r="N300" s="17"/>
      <c r="O300" s="17"/>
      <c r="P300" s="18"/>
      <c r="Q300" s="16" t="s">
        <v>83</v>
      </c>
      <c r="R300" s="18"/>
    </row>
    <row r="301" spans="1:18" ht="16.5" customHeight="1">
      <c r="A301" s="10">
        <v>300</v>
      </c>
      <c r="B301" s="10">
        <v>84</v>
      </c>
      <c r="C301" s="10">
        <v>21</v>
      </c>
      <c r="D301" s="11" t="s">
        <v>3273</v>
      </c>
      <c r="E301" s="12" t="s">
        <v>3276</v>
      </c>
      <c r="F301" s="11" t="s">
        <v>3279</v>
      </c>
      <c r="G301" s="10"/>
      <c r="H301" s="13"/>
      <c r="I301" s="14" t="s">
        <v>3280</v>
      </c>
      <c r="J301" s="15" t="s">
        <v>3280</v>
      </c>
      <c r="K301" s="16" t="s">
        <v>82</v>
      </c>
      <c r="L301" s="17"/>
      <c r="M301" s="17"/>
      <c r="N301" s="17"/>
      <c r="O301" s="17"/>
      <c r="P301" s="18"/>
      <c r="Q301" s="16" t="s">
        <v>83</v>
      </c>
      <c r="R301" s="18"/>
    </row>
    <row r="302" spans="1:18" ht="16.5" customHeight="1">
      <c r="A302" s="10">
        <v>301</v>
      </c>
      <c r="B302" s="10">
        <v>88</v>
      </c>
      <c r="C302" s="10">
        <v>13</v>
      </c>
      <c r="D302" s="11" t="s">
        <v>3281</v>
      </c>
      <c r="E302" s="12" t="s">
        <v>3282</v>
      </c>
      <c r="F302" s="11" t="s">
        <v>3283</v>
      </c>
      <c r="G302" s="10"/>
      <c r="H302" s="13" t="s">
        <v>3284</v>
      </c>
      <c r="I302" s="14" t="s">
        <v>3285</v>
      </c>
      <c r="J302" s="15" t="s">
        <v>3286</v>
      </c>
      <c r="K302" s="16" t="s">
        <v>82</v>
      </c>
      <c r="L302" s="17"/>
      <c r="M302" s="17"/>
      <c r="N302" s="17"/>
      <c r="O302" s="17"/>
      <c r="P302" s="18"/>
      <c r="Q302" s="16" t="s">
        <v>83</v>
      </c>
      <c r="R302" s="18"/>
    </row>
    <row r="303" spans="1:18" ht="16.5" customHeight="1">
      <c r="A303" s="10">
        <v>302</v>
      </c>
      <c r="B303" s="10">
        <v>88</v>
      </c>
      <c r="C303" s="10">
        <v>14</v>
      </c>
      <c r="D303" s="11" t="s">
        <v>3282</v>
      </c>
      <c r="E303" s="19" t="s">
        <v>3283</v>
      </c>
      <c r="F303" s="11" t="s">
        <v>3287</v>
      </c>
      <c r="G303" s="10" t="s">
        <v>774</v>
      </c>
      <c r="H303" s="13" t="s">
        <v>3288</v>
      </c>
      <c r="I303" s="14" t="s">
        <v>3289</v>
      </c>
      <c r="J303" s="15" t="s">
        <v>3289</v>
      </c>
      <c r="K303" s="16" t="s">
        <v>82</v>
      </c>
      <c r="L303" s="17"/>
      <c r="M303" s="17"/>
      <c r="N303" s="17"/>
      <c r="O303" s="17"/>
      <c r="P303" s="18"/>
      <c r="Q303" s="16" t="s">
        <v>83</v>
      </c>
      <c r="R303" s="18"/>
    </row>
    <row r="304" spans="1:18" ht="16.5" customHeight="1">
      <c r="A304" s="10">
        <v>303</v>
      </c>
      <c r="B304" s="10">
        <v>88</v>
      </c>
      <c r="C304" s="10">
        <v>15</v>
      </c>
      <c r="D304" s="11" t="s">
        <v>3283</v>
      </c>
      <c r="E304" s="12" t="s">
        <v>3287</v>
      </c>
      <c r="F304" s="11" t="s">
        <v>3290</v>
      </c>
      <c r="G304" s="10"/>
      <c r="H304" s="13" t="s">
        <v>3291</v>
      </c>
      <c r="I304" s="14" t="s">
        <v>3292</v>
      </c>
      <c r="J304" s="15" t="s">
        <v>3292</v>
      </c>
      <c r="K304" s="16" t="s">
        <v>82</v>
      </c>
      <c r="L304" s="17"/>
      <c r="M304" s="17"/>
      <c r="N304" s="17"/>
      <c r="O304" s="17"/>
      <c r="P304" s="18"/>
      <c r="Q304" s="16" t="s">
        <v>83</v>
      </c>
      <c r="R304" s="18"/>
    </row>
    <row r="305" spans="1:18" ht="16.5" customHeight="1">
      <c r="A305" s="10">
        <v>304</v>
      </c>
      <c r="B305" s="10">
        <v>89</v>
      </c>
      <c r="C305" s="10">
        <v>5</v>
      </c>
      <c r="D305" s="11" t="s">
        <v>3293</v>
      </c>
      <c r="E305" s="12" t="s">
        <v>3294</v>
      </c>
      <c r="F305" s="11" t="s">
        <v>3295</v>
      </c>
      <c r="G305" s="10"/>
      <c r="H305" s="13" t="s">
        <v>3296</v>
      </c>
      <c r="I305" s="14" t="s">
        <v>3297</v>
      </c>
      <c r="J305" s="15" t="s">
        <v>3298</v>
      </c>
      <c r="K305" s="16" t="s">
        <v>82</v>
      </c>
      <c r="L305" s="17"/>
      <c r="M305" s="17"/>
      <c r="N305" s="17"/>
      <c r="O305" s="17"/>
      <c r="P305" s="18"/>
      <c r="Q305" s="16" t="s">
        <v>83</v>
      </c>
      <c r="R305" s="18"/>
    </row>
    <row r="306" spans="1:18" ht="16.5" customHeight="1">
      <c r="A306" s="10">
        <v>305</v>
      </c>
      <c r="B306" s="10">
        <v>89</v>
      </c>
      <c r="C306" s="10">
        <v>6</v>
      </c>
      <c r="D306" s="11" t="s">
        <v>3294</v>
      </c>
      <c r="E306" s="19" t="s">
        <v>3295</v>
      </c>
      <c r="F306" s="11" t="s">
        <v>3299</v>
      </c>
      <c r="G306" s="10" t="s">
        <v>3300</v>
      </c>
      <c r="H306" s="13" t="s">
        <v>3301</v>
      </c>
      <c r="I306" s="14" t="s">
        <v>3302</v>
      </c>
      <c r="J306" s="15" t="s">
        <v>3303</v>
      </c>
      <c r="K306" s="16" t="s">
        <v>82</v>
      </c>
      <c r="L306" s="17"/>
      <c r="M306" s="17"/>
      <c r="N306" s="17"/>
      <c r="O306" s="17"/>
      <c r="P306" s="18"/>
      <c r="Q306" s="16" t="s">
        <v>83</v>
      </c>
      <c r="R306" s="18"/>
    </row>
    <row r="307" spans="1:18" ht="16.5" customHeight="1">
      <c r="A307" s="10">
        <v>306</v>
      </c>
      <c r="B307" s="10">
        <v>89</v>
      </c>
      <c r="C307" s="10">
        <v>7</v>
      </c>
      <c r="D307" s="11" t="s">
        <v>3295</v>
      </c>
      <c r="E307" s="12" t="s">
        <v>3299</v>
      </c>
      <c r="F307" s="11" t="s">
        <v>3304</v>
      </c>
      <c r="G307" s="10"/>
      <c r="H307" s="13" t="s">
        <v>3305</v>
      </c>
      <c r="I307" s="14" t="s">
        <v>3306</v>
      </c>
      <c r="J307" s="15" t="s">
        <v>3306</v>
      </c>
      <c r="K307" s="16" t="s">
        <v>82</v>
      </c>
      <c r="L307" s="17"/>
      <c r="M307" s="17"/>
      <c r="N307" s="17"/>
      <c r="O307" s="17"/>
      <c r="P307" s="18"/>
      <c r="Q307" s="16" t="s">
        <v>83</v>
      </c>
      <c r="R307" s="18"/>
    </row>
    <row r="308" spans="1:18" ht="16.5" customHeight="1">
      <c r="A308" s="10">
        <v>307</v>
      </c>
      <c r="B308" s="10">
        <v>91</v>
      </c>
      <c r="C308" s="10">
        <v>21</v>
      </c>
      <c r="D308" s="11" t="s">
        <v>3307</v>
      </c>
      <c r="E308" s="12" t="s">
        <v>3308</v>
      </c>
      <c r="F308" s="11" t="s">
        <v>3309</v>
      </c>
      <c r="G308" s="10"/>
      <c r="H308" s="13" t="s">
        <v>3310</v>
      </c>
      <c r="I308" s="14" t="s">
        <v>3311</v>
      </c>
      <c r="J308" s="15" t="s">
        <v>3312</v>
      </c>
      <c r="K308" s="16" t="s">
        <v>82</v>
      </c>
      <c r="L308" s="17"/>
      <c r="M308" s="17"/>
      <c r="N308" s="17"/>
      <c r="O308" s="17"/>
      <c r="P308" s="18"/>
      <c r="Q308" s="16" t="s">
        <v>83</v>
      </c>
      <c r="R308" s="18"/>
    </row>
    <row r="309" spans="1:18" ht="16.5" customHeight="1">
      <c r="A309" s="10">
        <v>308</v>
      </c>
      <c r="B309" s="10">
        <v>91</v>
      </c>
      <c r="C309" s="10">
        <v>22</v>
      </c>
      <c r="D309" s="11" t="s">
        <v>3308</v>
      </c>
      <c r="E309" s="19" t="s">
        <v>3309</v>
      </c>
      <c r="F309" s="11"/>
      <c r="G309" s="10" t="s">
        <v>3313</v>
      </c>
      <c r="H309" s="13" t="s">
        <v>3314</v>
      </c>
      <c r="I309" s="14" t="s">
        <v>3315</v>
      </c>
      <c r="J309" s="15" t="s">
        <v>3316</v>
      </c>
      <c r="K309" s="16" t="s">
        <v>89</v>
      </c>
      <c r="L309" s="17" t="s">
        <v>128</v>
      </c>
      <c r="M309" s="17" t="s">
        <v>1145</v>
      </c>
      <c r="N309" s="17" t="s">
        <v>3317</v>
      </c>
      <c r="O309" s="17" t="s">
        <v>3318</v>
      </c>
      <c r="P309" s="18" t="s">
        <v>3319</v>
      </c>
      <c r="Q309" s="16" t="s">
        <v>113</v>
      </c>
      <c r="R309" s="18"/>
    </row>
    <row r="310" spans="1:18" ht="16.5" customHeight="1">
      <c r="A310" s="10">
        <v>309</v>
      </c>
      <c r="B310" s="10">
        <v>92</v>
      </c>
      <c r="C310" s="10">
        <v>1</v>
      </c>
      <c r="D310" s="11"/>
      <c r="E310" s="12" t="s">
        <v>3320</v>
      </c>
      <c r="F310" s="11" t="s">
        <v>3321</v>
      </c>
      <c r="G310" s="10"/>
      <c r="H310" s="13" t="s">
        <v>3322</v>
      </c>
      <c r="I310" s="14" t="s">
        <v>3323</v>
      </c>
      <c r="J310" s="15" t="s">
        <v>3324</v>
      </c>
      <c r="K310" s="16" t="s">
        <v>82</v>
      </c>
      <c r="L310" s="17"/>
      <c r="M310" s="17"/>
      <c r="N310" s="17"/>
      <c r="O310" s="17"/>
      <c r="P310" s="18"/>
      <c r="Q310" s="16" t="s">
        <v>83</v>
      </c>
      <c r="R310" s="18"/>
    </row>
    <row r="311" spans="1:18" ht="16.5" customHeight="1">
      <c r="A311" s="10">
        <v>310</v>
      </c>
      <c r="B311" s="10">
        <v>92</v>
      </c>
      <c r="C311" s="10">
        <v>25</v>
      </c>
      <c r="D311" s="11" t="s">
        <v>3325</v>
      </c>
      <c r="E311" s="12" t="s">
        <v>3326</v>
      </c>
      <c r="F311" s="11" t="s">
        <v>3327</v>
      </c>
      <c r="G311" s="10"/>
      <c r="H311" s="13" t="s">
        <v>3328</v>
      </c>
      <c r="I311" s="14" t="s">
        <v>3329</v>
      </c>
      <c r="J311" s="15" t="s">
        <v>3330</v>
      </c>
      <c r="K311" s="16" t="s">
        <v>82</v>
      </c>
      <c r="L311" s="17"/>
      <c r="M311" s="17"/>
      <c r="N311" s="17"/>
      <c r="O311" s="17"/>
      <c r="P311" s="18"/>
      <c r="Q311" s="16" t="s">
        <v>83</v>
      </c>
      <c r="R311" s="18"/>
    </row>
    <row r="312" spans="1:18" ht="16.5" customHeight="1">
      <c r="A312" s="10">
        <v>311</v>
      </c>
      <c r="B312" s="10">
        <v>92</v>
      </c>
      <c r="C312" s="10">
        <v>26</v>
      </c>
      <c r="D312" s="11" t="s">
        <v>3326</v>
      </c>
      <c r="E312" s="19" t="s">
        <v>3327</v>
      </c>
      <c r="F312" s="11" t="s">
        <v>3331</v>
      </c>
      <c r="G312" s="10" t="s">
        <v>2920</v>
      </c>
      <c r="H312" s="13" t="s">
        <v>3332</v>
      </c>
      <c r="I312" s="14" t="s">
        <v>3333</v>
      </c>
      <c r="J312" s="15" t="s">
        <v>3334</v>
      </c>
      <c r="K312" s="16" t="s">
        <v>89</v>
      </c>
      <c r="L312" s="17" t="s">
        <v>90</v>
      </c>
      <c r="M312" s="17" t="s">
        <v>91</v>
      </c>
      <c r="N312" s="17" t="s">
        <v>3335</v>
      </c>
      <c r="O312" s="17" t="s">
        <v>3189</v>
      </c>
      <c r="P312" s="18" t="s">
        <v>3336</v>
      </c>
      <c r="Q312" s="16" t="s">
        <v>83</v>
      </c>
      <c r="R312" s="18"/>
    </row>
    <row r="313" spans="1:18" ht="16.5" customHeight="1">
      <c r="A313" s="10">
        <v>312</v>
      </c>
      <c r="B313" s="10">
        <v>92</v>
      </c>
      <c r="C313" s="10">
        <v>27</v>
      </c>
      <c r="D313" s="11" t="s">
        <v>3327</v>
      </c>
      <c r="E313" s="12" t="s">
        <v>3331</v>
      </c>
      <c r="F313" s="11" t="s">
        <v>3337</v>
      </c>
      <c r="G313" s="10"/>
      <c r="H313" s="13" t="s">
        <v>3338</v>
      </c>
      <c r="I313" s="14" t="s">
        <v>3339</v>
      </c>
      <c r="J313" s="15" t="s">
        <v>3340</v>
      </c>
      <c r="K313" s="16" t="s">
        <v>82</v>
      </c>
      <c r="L313" s="17"/>
      <c r="M313" s="17"/>
      <c r="N313" s="17"/>
      <c r="O313" s="17"/>
      <c r="P313" s="18"/>
      <c r="Q313" s="16" t="s">
        <v>83</v>
      </c>
      <c r="R313" s="18"/>
    </row>
    <row r="314" spans="1:18" ht="16.5" customHeight="1">
      <c r="A314" s="10">
        <v>313</v>
      </c>
      <c r="B314" s="10">
        <v>97</v>
      </c>
      <c r="C314" s="10">
        <v>7</v>
      </c>
      <c r="D314" s="11" t="s">
        <v>3341</v>
      </c>
      <c r="E314" s="12" t="s">
        <v>3342</v>
      </c>
      <c r="F314" s="11" t="s">
        <v>2753</v>
      </c>
      <c r="G314" s="10"/>
      <c r="H314" s="13" t="s">
        <v>3343</v>
      </c>
      <c r="I314" s="14" t="s">
        <v>3344</v>
      </c>
      <c r="J314" s="15" t="s">
        <v>3345</v>
      </c>
      <c r="K314" s="16" t="s">
        <v>82</v>
      </c>
      <c r="L314" s="17"/>
      <c r="M314" s="17"/>
      <c r="N314" s="17"/>
      <c r="O314" s="17"/>
      <c r="P314" s="18"/>
      <c r="Q314" s="16" t="s">
        <v>83</v>
      </c>
      <c r="R314" s="18"/>
    </row>
    <row r="315" spans="1:18" ht="16.5" customHeight="1">
      <c r="A315" s="10">
        <v>314</v>
      </c>
      <c r="B315" s="10">
        <v>97</v>
      </c>
      <c r="C315" s="10">
        <v>8</v>
      </c>
      <c r="D315" s="11" t="s">
        <v>3342</v>
      </c>
      <c r="E315" s="19" t="s">
        <v>2753</v>
      </c>
      <c r="F315" s="11" t="s">
        <v>3346</v>
      </c>
      <c r="G315" s="10" t="s">
        <v>2753</v>
      </c>
      <c r="H315" s="13" t="s">
        <v>3347</v>
      </c>
      <c r="I315" s="14" t="s">
        <v>3348</v>
      </c>
      <c r="J315" s="15" t="s">
        <v>3348</v>
      </c>
      <c r="K315" s="16" t="s">
        <v>82</v>
      </c>
      <c r="L315" s="17"/>
      <c r="M315" s="17"/>
      <c r="N315" s="17"/>
      <c r="O315" s="17"/>
      <c r="P315" s="18"/>
      <c r="Q315" s="16" t="s">
        <v>83</v>
      </c>
      <c r="R315" s="18"/>
    </row>
    <row r="316" spans="1:18" ht="16.5" customHeight="1">
      <c r="A316" s="10">
        <v>315</v>
      </c>
      <c r="B316" s="10">
        <v>97</v>
      </c>
      <c r="C316" s="10">
        <v>9</v>
      </c>
      <c r="D316" s="11" t="s">
        <v>2753</v>
      </c>
      <c r="E316" s="12" t="s">
        <v>3346</v>
      </c>
      <c r="F316" s="11" t="s">
        <v>3349</v>
      </c>
      <c r="G316" s="10"/>
      <c r="H316" s="13" t="s">
        <v>3350</v>
      </c>
      <c r="I316" s="14" t="s">
        <v>3351</v>
      </c>
      <c r="J316" s="15" t="s">
        <v>3352</v>
      </c>
      <c r="K316" s="16" t="s">
        <v>82</v>
      </c>
      <c r="L316" s="17"/>
      <c r="M316" s="17"/>
      <c r="N316" s="17"/>
      <c r="O316" s="17"/>
      <c r="P316" s="18"/>
      <c r="Q316" s="16" t="s">
        <v>83</v>
      </c>
      <c r="R316" s="18"/>
    </row>
    <row r="317" spans="1:18" ht="16.5" customHeight="1">
      <c r="A317" s="10">
        <v>316</v>
      </c>
      <c r="B317" s="10">
        <v>109</v>
      </c>
      <c r="C317" s="10">
        <v>2</v>
      </c>
      <c r="D317" s="11" t="s">
        <v>3353</v>
      </c>
      <c r="E317" s="12" t="s">
        <v>3354</v>
      </c>
      <c r="F317" s="11" t="s">
        <v>3355</v>
      </c>
      <c r="G317" s="10"/>
      <c r="H317" s="13" t="s">
        <v>3356</v>
      </c>
      <c r="I317" s="14" t="s">
        <v>3357</v>
      </c>
      <c r="J317" s="15" t="s">
        <v>3357</v>
      </c>
      <c r="K317" s="16" t="s">
        <v>82</v>
      </c>
      <c r="L317" s="17"/>
      <c r="M317" s="17"/>
      <c r="N317" s="17"/>
      <c r="O317" s="17"/>
      <c r="P317" s="18"/>
      <c r="Q317" s="16" t="s">
        <v>83</v>
      </c>
      <c r="R317" s="18"/>
    </row>
    <row r="318" spans="1:18" ht="16.5" customHeight="1">
      <c r="A318" s="10">
        <v>317</v>
      </c>
      <c r="B318" s="10">
        <v>109</v>
      </c>
      <c r="C318" s="10">
        <v>3</v>
      </c>
      <c r="D318" s="11" t="s">
        <v>3354</v>
      </c>
      <c r="E318" s="19" t="s">
        <v>3355</v>
      </c>
      <c r="F318" s="11" t="s">
        <v>3358</v>
      </c>
      <c r="G318" s="10" t="s">
        <v>3253</v>
      </c>
      <c r="H318" s="13" t="s">
        <v>3359</v>
      </c>
      <c r="I318" s="14" t="s">
        <v>3360</v>
      </c>
      <c r="J318" s="15" t="s">
        <v>3361</v>
      </c>
      <c r="K318" s="16" t="s">
        <v>82</v>
      </c>
      <c r="L318" s="17"/>
      <c r="M318" s="17"/>
      <c r="N318" s="17"/>
      <c r="O318" s="17"/>
      <c r="P318" s="18"/>
      <c r="Q318" s="16" t="s">
        <v>83</v>
      </c>
      <c r="R318" s="18"/>
    </row>
    <row r="319" spans="1:18" ht="16.5" customHeight="1">
      <c r="A319" s="10">
        <v>318</v>
      </c>
      <c r="B319" s="10">
        <v>109</v>
      </c>
      <c r="C319" s="10">
        <v>4</v>
      </c>
      <c r="D319" s="11" t="s">
        <v>3355</v>
      </c>
      <c r="E319" s="12" t="s">
        <v>3358</v>
      </c>
      <c r="F319" s="11" t="s">
        <v>3362</v>
      </c>
      <c r="G319" s="10"/>
      <c r="H319" s="13" t="s">
        <v>3363</v>
      </c>
      <c r="I319" s="14" t="s">
        <v>3364</v>
      </c>
      <c r="J319" s="15" t="s">
        <v>3365</v>
      </c>
      <c r="K319" s="16" t="s">
        <v>82</v>
      </c>
      <c r="L319" s="17"/>
      <c r="M319" s="17"/>
      <c r="N319" s="17"/>
      <c r="O319" s="17"/>
      <c r="P319" s="18"/>
      <c r="Q319" s="16" t="s">
        <v>83</v>
      </c>
      <c r="R319" s="18"/>
    </row>
    <row r="320" spans="1:18" ht="16.5" customHeight="1">
      <c r="A320" s="10">
        <v>319</v>
      </c>
      <c r="B320" s="10">
        <v>112</v>
      </c>
      <c r="C320" s="10">
        <v>12</v>
      </c>
      <c r="D320" s="11" t="s">
        <v>3366</v>
      </c>
      <c r="E320" s="12" t="s">
        <v>3367</v>
      </c>
      <c r="F320" s="11" t="s">
        <v>3368</v>
      </c>
      <c r="G320" s="10"/>
      <c r="H320" s="13" t="s">
        <v>3369</v>
      </c>
      <c r="I320" s="14" t="s">
        <v>3370</v>
      </c>
      <c r="J320" s="15" t="s">
        <v>3370</v>
      </c>
      <c r="K320" s="16" t="s">
        <v>82</v>
      </c>
      <c r="L320" s="17"/>
      <c r="M320" s="17"/>
      <c r="N320" s="17"/>
      <c r="O320" s="17"/>
      <c r="P320" s="18"/>
      <c r="Q320" s="16" t="s">
        <v>83</v>
      </c>
      <c r="R320" s="18"/>
    </row>
    <row r="321" spans="1:18" ht="26.25" customHeight="1">
      <c r="A321" s="10">
        <v>320</v>
      </c>
      <c r="B321" s="10">
        <v>112</v>
      </c>
      <c r="C321" s="10">
        <v>13</v>
      </c>
      <c r="D321" s="11" t="s">
        <v>3367</v>
      </c>
      <c r="E321" s="19" t="s">
        <v>3368</v>
      </c>
      <c r="F321" s="11"/>
      <c r="G321" s="10" t="s">
        <v>106</v>
      </c>
      <c r="H321" s="13" t="s">
        <v>3371</v>
      </c>
      <c r="I321" s="14" t="s">
        <v>3372</v>
      </c>
      <c r="J321" s="15" t="s">
        <v>3373</v>
      </c>
      <c r="K321" s="16" t="s">
        <v>82</v>
      </c>
      <c r="L321" s="17"/>
      <c r="M321" s="17"/>
      <c r="N321" s="17"/>
      <c r="O321" s="17"/>
      <c r="P321" s="18"/>
      <c r="Q321" s="16" t="s">
        <v>83</v>
      </c>
      <c r="R321" s="18"/>
    </row>
    <row r="322" spans="1:18" ht="16.5" customHeight="1">
      <c r="A322" s="10">
        <v>321</v>
      </c>
      <c r="B322" s="10">
        <v>113</v>
      </c>
      <c r="C322" s="10">
        <v>1</v>
      </c>
      <c r="D322" s="11"/>
      <c r="E322" s="12" t="s">
        <v>3374</v>
      </c>
      <c r="F322" s="11" t="s">
        <v>3375</v>
      </c>
      <c r="G322" s="10"/>
      <c r="H322" s="13" t="s">
        <v>3376</v>
      </c>
      <c r="I322" s="14" t="s">
        <v>3377</v>
      </c>
      <c r="J322" s="15" t="s">
        <v>3378</v>
      </c>
      <c r="K322" s="16" t="s">
        <v>82</v>
      </c>
      <c r="L322" s="17"/>
      <c r="M322" s="17"/>
      <c r="N322" s="17"/>
      <c r="O322" s="17"/>
      <c r="P322" s="18"/>
      <c r="Q322" s="16" t="s">
        <v>83</v>
      </c>
      <c r="R322" s="18" t="s">
        <v>3379</v>
      </c>
    </row>
    <row r="323" spans="1:18" ht="16.5" customHeight="1">
      <c r="A323" s="10">
        <v>322</v>
      </c>
      <c r="B323" s="10">
        <v>116</v>
      </c>
      <c r="C323" s="10">
        <v>13</v>
      </c>
      <c r="D323" s="11" t="s">
        <v>3380</v>
      </c>
      <c r="E323" s="12" t="s">
        <v>3381</v>
      </c>
      <c r="F323" s="11" t="s">
        <v>3382</v>
      </c>
      <c r="G323" s="10"/>
      <c r="H323" s="13" t="s">
        <v>3383</v>
      </c>
      <c r="I323" s="14" t="s">
        <v>3384</v>
      </c>
      <c r="J323" s="15" t="s">
        <v>3384</v>
      </c>
      <c r="K323" s="16" t="s">
        <v>82</v>
      </c>
      <c r="L323" s="17"/>
      <c r="M323" s="17"/>
      <c r="N323" s="17"/>
      <c r="O323" s="17"/>
      <c r="P323" s="18"/>
      <c r="Q323" s="16" t="s">
        <v>83</v>
      </c>
      <c r="R323" s="18"/>
    </row>
    <row r="324" spans="1:18" ht="16.5" customHeight="1">
      <c r="A324" s="10">
        <v>323</v>
      </c>
      <c r="B324" s="10">
        <v>116</v>
      </c>
      <c r="C324" s="10">
        <v>14</v>
      </c>
      <c r="D324" s="11" t="s">
        <v>3381</v>
      </c>
      <c r="E324" s="19" t="s">
        <v>3382</v>
      </c>
      <c r="F324" s="11" t="s">
        <v>3385</v>
      </c>
      <c r="G324" s="10" t="s">
        <v>3386</v>
      </c>
      <c r="H324" s="13" t="s">
        <v>3387</v>
      </c>
      <c r="I324" s="14" t="s">
        <v>3388</v>
      </c>
      <c r="J324" s="15" t="s">
        <v>3388</v>
      </c>
      <c r="K324" s="16" t="s">
        <v>82</v>
      </c>
      <c r="L324" s="17"/>
      <c r="M324" s="17"/>
      <c r="N324" s="17"/>
      <c r="O324" s="17"/>
      <c r="P324" s="18"/>
      <c r="Q324" s="16" t="s">
        <v>83</v>
      </c>
      <c r="R324" s="18"/>
    </row>
    <row r="325" spans="1:18" ht="16.5" customHeight="1">
      <c r="A325" s="10">
        <v>324</v>
      </c>
      <c r="B325" s="10">
        <v>116</v>
      </c>
      <c r="C325" s="10">
        <v>15</v>
      </c>
      <c r="D325" s="11" t="s">
        <v>3382</v>
      </c>
      <c r="E325" s="12" t="s">
        <v>3385</v>
      </c>
      <c r="F325" s="11" t="s">
        <v>3389</v>
      </c>
      <c r="G325" s="10"/>
      <c r="H325" s="13" t="s">
        <v>3390</v>
      </c>
      <c r="I325" s="14" t="s">
        <v>3391</v>
      </c>
      <c r="J325" s="15" t="s">
        <v>3391</v>
      </c>
      <c r="K325" s="16" t="s">
        <v>82</v>
      </c>
      <c r="L325" s="17"/>
      <c r="M325" s="17"/>
      <c r="N325" s="17"/>
      <c r="O325" s="17"/>
      <c r="P325" s="18"/>
      <c r="Q325" s="16" t="s">
        <v>83</v>
      </c>
      <c r="R325" s="18"/>
    </row>
  </sheetData>
  <phoneticPr fontId="9" type="noConversion"/>
  <dataValidations count="4">
    <dataValidation type="list" allowBlank="1" sqref="K2:K325" xr:uid="{00000000-0002-0000-0300-000000000000}">
      <formula1>"Y,N"</formula1>
      <formula2>0</formula2>
    </dataValidation>
    <dataValidation type="list" allowBlank="1" sqref="L2:L325" xr:uid="{00000000-0002-0000-0300-000001000000}">
      <formula1>"SD-1 자연·물질,SD-2 신체·감각,SD-3 공간·방위,SD-4 사냥·전쟁,SD-5 운동·시간,SD-6 문화·제도,(수사 기제)"</formula1>
      <formula2>0</formula2>
    </dataValidation>
    <dataValidation type="list" allowBlank="1" sqref="M2:M325" xr:uid="{00000000-0002-0000-0300-000002000000}">
      <formula1>"TD-1 축적·유통,TD-2 권력·지배,TD-3 인식·진위,TD-4 도덕·책무,TD-5 문명·제도,TD-7 경물·감각,TD-6 기타"</formula1>
      <formula2>0</formula2>
    </dataValidation>
    <dataValidation type="list" allowBlank="1" sqref="Q2:Q325" xr:uid="{00000000-0002-0000-0300-000003000000}">
      <formula1>"높음,보통,낮음"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96"/>
  <sheetViews>
    <sheetView zoomScaleNormal="100" workbookViewId="0">
      <pane xSplit="8" ySplit="1" topLeftCell="I2" activePane="bottomRight" state="frozen"/>
      <selection pane="topRight" activeCell="I1" sqref="I1"/>
      <selection pane="bottomLeft" activeCell="A2" sqref="A2"/>
      <selection pane="bottomRight"/>
    </sheetView>
  </sheetViews>
  <sheetFormatPr defaultColWidth="8.7109375" defaultRowHeight="15"/>
  <cols>
    <col min="1" max="1" width="5" style="4" customWidth="1"/>
    <col min="2" max="3" width="6" style="4" customWidth="1"/>
    <col min="4" max="4" width="20" style="4" customWidth="1"/>
    <col min="5" max="5" width="30" style="4" customWidth="1"/>
    <col min="6" max="6" width="20" style="4" customWidth="1"/>
    <col min="7" max="7" width="13" style="4" customWidth="1"/>
    <col min="8" max="8" width="58" style="4" customWidth="1"/>
    <col min="9" max="10" width="18" style="4" customWidth="1"/>
    <col min="11" max="11" width="12" style="4" customWidth="1"/>
    <col min="12" max="12" width="14" style="4" customWidth="1"/>
    <col min="13" max="13" width="26" style="4" customWidth="1"/>
    <col min="14" max="14" width="8" style="4" customWidth="1"/>
    <col min="15" max="15" width="16" style="4" customWidth="1"/>
  </cols>
  <sheetData>
    <row r="1" spans="1:16" ht="31.5" customHeight="1">
      <c r="A1" s="9" t="s">
        <v>58</v>
      </c>
      <c r="B1" s="9" t="s">
        <v>59</v>
      </c>
      <c r="C1" s="9" t="s">
        <v>60</v>
      </c>
      <c r="D1" s="9" t="s">
        <v>61</v>
      </c>
      <c r="E1" s="9" t="s">
        <v>62</v>
      </c>
      <c r="F1" s="9" t="s">
        <v>63</v>
      </c>
      <c r="G1" s="9" t="s">
        <v>64</v>
      </c>
      <c r="H1" s="9" t="s">
        <v>65</v>
      </c>
      <c r="I1" s="9" t="s">
        <v>68</v>
      </c>
      <c r="J1" s="9" t="s">
        <v>69</v>
      </c>
      <c r="K1" s="9" t="s">
        <v>70</v>
      </c>
      <c r="L1" s="9" t="s">
        <v>71</v>
      </c>
      <c r="M1" s="9" t="s">
        <v>72</v>
      </c>
      <c r="N1" s="9" t="s">
        <v>73</v>
      </c>
      <c r="O1" s="9" t="s">
        <v>74</v>
      </c>
      <c r="P1" s="9" t="s">
        <v>75</v>
      </c>
    </row>
    <row r="2" spans="1:16" ht="16.5" customHeight="1">
      <c r="A2" s="10">
        <v>1</v>
      </c>
      <c r="B2" s="10">
        <v>8</v>
      </c>
      <c r="C2" s="10">
        <v>59</v>
      </c>
      <c r="D2" s="11" t="s">
        <v>3392</v>
      </c>
      <c r="E2" s="12" t="s">
        <v>3393</v>
      </c>
      <c r="F2" s="11" t="s">
        <v>3394</v>
      </c>
      <c r="G2" s="10"/>
      <c r="H2" s="13" t="s">
        <v>3395</v>
      </c>
      <c r="I2" s="16" t="s">
        <v>82</v>
      </c>
      <c r="J2" s="17"/>
      <c r="K2" s="17"/>
      <c r="L2" s="17"/>
      <c r="M2" s="17"/>
      <c r="N2" s="18"/>
      <c r="O2" s="16" t="s">
        <v>83</v>
      </c>
      <c r="P2" s="18"/>
    </row>
    <row r="3" spans="1:16" ht="16.5" customHeight="1">
      <c r="A3" s="10">
        <v>2</v>
      </c>
      <c r="B3" s="10">
        <v>8</v>
      </c>
      <c r="C3" s="10">
        <v>60</v>
      </c>
      <c r="D3" s="11" t="s">
        <v>3393</v>
      </c>
      <c r="E3" s="19" t="s">
        <v>3394</v>
      </c>
      <c r="F3" s="11" t="s">
        <v>3396</v>
      </c>
      <c r="G3" s="10" t="s">
        <v>397</v>
      </c>
      <c r="H3" s="13" t="s">
        <v>3397</v>
      </c>
      <c r="I3" s="16" t="s">
        <v>82</v>
      </c>
      <c r="J3" s="17"/>
      <c r="K3" s="17"/>
      <c r="L3" s="17"/>
      <c r="M3" s="17"/>
      <c r="N3" s="18"/>
      <c r="O3" s="16" t="s">
        <v>83</v>
      </c>
      <c r="P3" s="18"/>
    </row>
    <row r="4" spans="1:16" ht="16.5" customHeight="1">
      <c r="A4" s="10">
        <v>3</v>
      </c>
      <c r="B4" s="10">
        <v>8</v>
      </c>
      <c r="C4" s="10">
        <v>61</v>
      </c>
      <c r="D4" s="11" t="s">
        <v>3394</v>
      </c>
      <c r="E4" s="12" t="s">
        <v>3396</v>
      </c>
      <c r="F4" s="11" t="s">
        <v>3398</v>
      </c>
      <c r="G4" s="10"/>
      <c r="H4" s="13" t="s">
        <v>3399</v>
      </c>
      <c r="I4" s="16" t="s">
        <v>82</v>
      </c>
      <c r="J4" s="17"/>
      <c r="K4" s="17"/>
      <c r="L4" s="17"/>
      <c r="M4" s="17"/>
      <c r="N4" s="18"/>
      <c r="O4" s="16" t="s">
        <v>83</v>
      </c>
      <c r="P4" s="18"/>
    </row>
    <row r="5" spans="1:16" ht="16.5" customHeight="1">
      <c r="A5" s="10">
        <v>4</v>
      </c>
      <c r="B5" s="10">
        <v>8</v>
      </c>
      <c r="C5" s="10">
        <v>62</v>
      </c>
      <c r="D5" s="11" t="s">
        <v>3396</v>
      </c>
      <c r="E5" s="12" t="s">
        <v>3398</v>
      </c>
      <c r="F5" s="11" t="s">
        <v>3400</v>
      </c>
      <c r="G5" s="10"/>
      <c r="H5" s="13" t="s">
        <v>3401</v>
      </c>
      <c r="I5" s="16" t="s">
        <v>82</v>
      </c>
      <c r="J5" s="17"/>
      <c r="K5" s="17"/>
      <c r="L5" s="17"/>
      <c r="M5" s="17"/>
      <c r="N5" s="18"/>
      <c r="O5" s="16" t="s">
        <v>83</v>
      </c>
      <c r="P5" s="18"/>
    </row>
    <row r="6" spans="1:16" ht="16.5" customHeight="1">
      <c r="A6" s="10">
        <v>5</v>
      </c>
      <c r="B6" s="10">
        <v>8</v>
      </c>
      <c r="C6" s="10">
        <v>63</v>
      </c>
      <c r="D6" s="11" t="s">
        <v>3398</v>
      </c>
      <c r="E6" s="19" t="s">
        <v>3400</v>
      </c>
      <c r="F6" s="11" t="s">
        <v>3402</v>
      </c>
      <c r="G6" s="10" t="s">
        <v>3253</v>
      </c>
      <c r="H6" s="13" t="s">
        <v>3403</v>
      </c>
      <c r="I6" s="16" t="s">
        <v>82</v>
      </c>
      <c r="J6" s="17"/>
      <c r="K6" s="17"/>
      <c r="L6" s="17"/>
      <c r="M6" s="17"/>
      <c r="N6" s="18"/>
      <c r="O6" s="16" t="s">
        <v>83</v>
      </c>
      <c r="P6" s="18"/>
    </row>
    <row r="7" spans="1:16" ht="16.5" customHeight="1">
      <c r="A7" s="10">
        <v>6</v>
      </c>
      <c r="B7" s="10">
        <v>8</v>
      </c>
      <c r="C7" s="10">
        <v>64</v>
      </c>
      <c r="D7" s="11" t="s">
        <v>3400</v>
      </c>
      <c r="E7" s="12" t="s">
        <v>3402</v>
      </c>
      <c r="F7" s="11" t="s">
        <v>3404</v>
      </c>
      <c r="G7" s="10"/>
      <c r="H7" s="13" t="s">
        <v>3405</v>
      </c>
      <c r="I7" s="16" t="s">
        <v>82</v>
      </c>
      <c r="J7" s="17"/>
      <c r="K7" s="17"/>
      <c r="L7" s="17"/>
      <c r="M7" s="17"/>
      <c r="N7" s="18"/>
      <c r="O7" s="16" t="s">
        <v>83</v>
      </c>
      <c r="P7" s="18"/>
    </row>
    <row r="8" spans="1:16" ht="16.5" customHeight="1">
      <c r="A8" s="10">
        <v>7</v>
      </c>
      <c r="B8" s="10">
        <v>8</v>
      </c>
      <c r="C8" s="10">
        <v>82</v>
      </c>
      <c r="D8" s="11" t="s">
        <v>3406</v>
      </c>
      <c r="E8" s="12" t="s">
        <v>3407</v>
      </c>
      <c r="F8" s="11" t="s">
        <v>3408</v>
      </c>
      <c r="G8" s="10"/>
      <c r="H8" s="13" t="s">
        <v>3409</v>
      </c>
      <c r="I8" s="16" t="s">
        <v>82</v>
      </c>
      <c r="J8" s="17"/>
      <c r="K8" s="17"/>
      <c r="L8" s="17"/>
      <c r="M8" s="17"/>
      <c r="N8" s="18"/>
      <c r="O8" s="16" t="s">
        <v>83</v>
      </c>
      <c r="P8" s="18"/>
    </row>
    <row r="9" spans="1:16" ht="16.5" customHeight="1">
      <c r="A9" s="10">
        <v>8</v>
      </c>
      <c r="B9" s="10">
        <v>8</v>
      </c>
      <c r="C9" s="10">
        <v>83</v>
      </c>
      <c r="D9" s="11" t="s">
        <v>3407</v>
      </c>
      <c r="E9" s="19" t="s">
        <v>3408</v>
      </c>
      <c r="F9" s="11" t="s">
        <v>3410</v>
      </c>
      <c r="G9" s="10" t="s">
        <v>462</v>
      </c>
      <c r="H9" s="13" t="s">
        <v>3411</v>
      </c>
      <c r="I9" s="16" t="s">
        <v>82</v>
      </c>
      <c r="J9" s="17"/>
      <c r="K9" s="17"/>
      <c r="L9" s="17"/>
      <c r="M9" s="17"/>
      <c r="N9" s="18"/>
      <c r="O9" s="16" t="s">
        <v>83</v>
      </c>
      <c r="P9" s="18"/>
    </row>
    <row r="10" spans="1:16" ht="16.5" customHeight="1">
      <c r="A10" s="10">
        <v>9</v>
      </c>
      <c r="B10" s="10">
        <v>8</v>
      </c>
      <c r="C10" s="10">
        <v>84</v>
      </c>
      <c r="D10" s="11" t="s">
        <v>3408</v>
      </c>
      <c r="E10" s="12" t="s">
        <v>3410</v>
      </c>
      <c r="F10" s="11" t="s">
        <v>3412</v>
      </c>
      <c r="G10" s="10"/>
      <c r="H10" s="13" t="s">
        <v>3413</v>
      </c>
      <c r="I10" s="16" t="s">
        <v>82</v>
      </c>
      <c r="J10" s="17"/>
      <c r="K10" s="17"/>
      <c r="L10" s="17"/>
      <c r="M10" s="17"/>
      <c r="N10" s="18"/>
      <c r="O10" s="16" t="s">
        <v>83</v>
      </c>
      <c r="P10" s="18"/>
    </row>
    <row r="11" spans="1:16" ht="16.5" customHeight="1">
      <c r="A11" s="10">
        <v>10</v>
      </c>
      <c r="B11" s="10">
        <v>8</v>
      </c>
      <c r="C11" s="10">
        <v>85</v>
      </c>
      <c r="D11" s="11" t="s">
        <v>3410</v>
      </c>
      <c r="E11" s="12" t="s">
        <v>3412</v>
      </c>
      <c r="F11" s="11" t="s">
        <v>3414</v>
      </c>
      <c r="G11" s="10"/>
      <c r="H11" s="13" t="s">
        <v>3415</v>
      </c>
      <c r="I11" s="16" t="s">
        <v>82</v>
      </c>
      <c r="J11" s="17"/>
      <c r="K11" s="17"/>
      <c r="L11" s="17"/>
      <c r="M11" s="17"/>
      <c r="N11" s="18"/>
      <c r="O11" s="16" t="s">
        <v>83</v>
      </c>
      <c r="P11" s="18"/>
    </row>
    <row r="12" spans="1:16" ht="16.5" customHeight="1">
      <c r="A12" s="10">
        <v>11</v>
      </c>
      <c r="B12" s="10">
        <v>8</v>
      </c>
      <c r="C12" s="10">
        <v>86</v>
      </c>
      <c r="D12" s="11" t="s">
        <v>3412</v>
      </c>
      <c r="E12" s="19" t="s">
        <v>3414</v>
      </c>
      <c r="F12" s="11" t="s">
        <v>3416</v>
      </c>
      <c r="G12" s="10" t="s">
        <v>462</v>
      </c>
      <c r="H12" s="13" t="s">
        <v>3417</v>
      </c>
      <c r="I12" s="16" t="s">
        <v>82</v>
      </c>
      <c r="J12" s="17"/>
      <c r="K12" s="17"/>
      <c r="L12" s="17"/>
      <c r="M12" s="17"/>
      <c r="N12" s="18"/>
      <c r="O12" s="16" t="s">
        <v>83</v>
      </c>
      <c r="P12" s="18"/>
    </row>
    <row r="13" spans="1:16" ht="16.5" customHeight="1">
      <c r="A13" s="10">
        <v>12</v>
      </c>
      <c r="B13" s="10">
        <v>8</v>
      </c>
      <c r="C13" s="10">
        <v>87</v>
      </c>
      <c r="D13" s="11" t="s">
        <v>3414</v>
      </c>
      <c r="E13" s="12" t="s">
        <v>3416</v>
      </c>
      <c r="F13" s="11" t="s">
        <v>3418</v>
      </c>
      <c r="G13" s="10"/>
      <c r="H13" s="13" t="s">
        <v>3419</v>
      </c>
      <c r="I13" s="16" t="s">
        <v>82</v>
      </c>
      <c r="J13" s="17"/>
      <c r="K13" s="17"/>
      <c r="L13" s="17"/>
      <c r="M13" s="17"/>
      <c r="N13" s="18"/>
      <c r="O13" s="16" t="s">
        <v>83</v>
      </c>
      <c r="P13" s="18"/>
    </row>
    <row r="14" spans="1:16" ht="16.5" customHeight="1">
      <c r="A14" s="10">
        <v>13</v>
      </c>
      <c r="B14" s="10">
        <v>8</v>
      </c>
      <c r="C14" s="10">
        <v>89</v>
      </c>
      <c r="D14" s="11" t="s">
        <v>3418</v>
      </c>
      <c r="E14" s="12" t="s">
        <v>3420</v>
      </c>
      <c r="F14" s="11" t="s">
        <v>3421</v>
      </c>
      <c r="G14" s="10"/>
      <c r="H14" s="13" t="s">
        <v>3422</v>
      </c>
      <c r="I14" s="16" t="s">
        <v>82</v>
      </c>
      <c r="J14" s="17"/>
      <c r="K14" s="17"/>
      <c r="L14" s="17"/>
      <c r="M14" s="17"/>
      <c r="N14" s="18"/>
      <c r="O14" s="16" t="s">
        <v>83</v>
      </c>
      <c r="P14" s="18"/>
    </row>
    <row r="15" spans="1:16" ht="16.5" customHeight="1">
      <c r="A15" s="10">
        <v>14</v>
      </c>
      <c r="B15" s="10">
        <v>8</v>
      </c>
      <c r="C15" s="10">
        <v>90</v>
      </c>
      <c r="D15" s="11" t="s">
        <v>3420</v>
      </c>
      <c r="E15" s="19" t="s">
        <v>3421</v>
      </c>
      <c r="F15" s="11" t="s">
        <v>3423</v>
      </c>
      <c r="G15" s="10" t="s">
        <v>462</v>
      </c>
      <c r="H15" s="13" t="s">
        <v>3424</v>
      </c>
      <c r="I15" s="16" t="s">
        <v>82</v>
      </c>
      <c r="J15" s="17"/>
      <c r="K15" s="17"/>
      <c r="L15" s="17"/>
      <c r="M15" s="17"/>
      <c r="N15" s="18"/>
      <c r="O15" s="16" t="s">
        <v>83</v>
      </c>
      <c r="P15" s="18"/>
    </row>
    <row r="16" spans="1:16" ht="16.5" customHeight="1">
      <c r="A16" s="10">
        <v>15</v>
      </c>
      <c r="B16" s="10">
        <v>8</v>
      </c>
      <c r="C16" s="10">
        <v>91</v>
      </c>
      <c r="D16" s="11" t="s">
        <v>3421</v>
      </c>
      <c r="E16" s="12" t="s">
        <v>3423</v>
      </c>
      <c r="F16" s="11" t="s">
        <v>3248</v>
      </c>
      <c r="G16" s="10"/>
      <c r="H16" s="13" t="s">
        <v>3425</v>
      </c>
      <c r="I16" s="16" t="s">
        <v>82</v>
      </c>
      <c r="J16" s="17"/>
      <c r="K16" s="17"/>
      <c r="L16" s="17"/>
      <c r="M16" s="17"/>
      <c r="N16" s="18"/>
      <c r="O16" s="16" t="s">
        <v>83</v>
      </c>
      <c r="P16" s="18"/>
    </row>
    <row r="17" spans="1:16" ht="16.5" customHeight="1">
      <c r="A17" s="10">
        <v>16</v>
      </c>
      <c r="B17" s="10">
        <v>8</v>
      </c>
      <c r="C17" s="10">
        <v>100</v>
      </c>
      <c r="D17" s="11" t="s">
        <v>3426</v>
      </c>
      <c r="E17" s="12" t="s">
        <v>3427</v>
      </c>
      <c r="F17" s="11" t="s">
        <v>3428</v>
      </c>
      <c r="G17" s="10"/>
      <c r="H17" s="13" t="s">
        <v>3429</v>
      </c>
      <c r="I17" s="16" t="s">
        <v>82</v>
      </c>
      <c r="J17" s="17"/>
      <c r="K17" s="17"/>
      <c r="L17" s="17"/>
      <c r="M17" s="17"/>
      <c r="N17" s="18"/>
      <c r="O17" s="16" t="s">
        <v>83</v>
      </c>
      <c r="P17" s="18"/>
    </row>
    <row r="18" spans="1:16" ht="16.5" customHeight="1">
      <c r="A18" s="10">
        <v>17</v>
      </c>
      <c r="B18" s="10">
        <v>8</v>
      </c>
      <c r="C18" s="10">
        <v>101</v>
      </c>
      <c r="D18" s="11" t="s">
        <v>3427</v>
      </c>
      <c r="E18" s="19" t="s">
        <v>3428</v>
      </c>
      <c r="F18" s="11" t="s">
        <v>3430</v>
      </c>
      <c r="G18" s="10" t="s">
        <v>540</v>
      </c>
      <c r="H18" s="13" t="s">
        <v>3431</v>
      </c>
      <c r="I18" s="16" t="s">
        <v>82</v>
      </c>
      <c r="J18" s="17"/>
      <c r="K18" s="17"/>
      <c r="L18" s="17"/>
      <c r="M18" s="17"/>
      <c r="N18" s="18"/>
      <c r="O18" s="16" t="s">
        <v>83</v>
      </c>
      <c r="P18" s="18"/>
    </row>
    <row r="19" spans="1:16" ht="16.5" customHeight="1">
      <c r="A19" s="10">
        <v>18</v>
      </c>
      <c r="B19" s="10">
        <v>8</v>
      </c>
      <c r="C19" s="10">
        <v>102</v>
      </c>
      <c r="D19" s="11" t="s">
        <v>3428</v>
      </c>
      <c r="E19" s="12" t="s">
        <v>3430</v>
      </c>
      <c r="F19" s="11" t="s">
        <v>3432</v>
      </c>
      <c r="G19" s="10"/>
      <c r="H19" s="13" t="s">
        <v>3433</v>
      </c>
      <c r="I19" s="16" t="s">
        <v>82</v>
      </c>
      <c r="J19" s="17"/>
      <c r="K19" s="17"/>
      <c r="L19" s="17"/>
      <c r="M19" s="17"/>
      <c r="N19" s="18"/>
      <c r="O19" s="16" t="s">
        <v>83</v>
      </c>
      <c r="P19" s="18"/>
    </row>
    <row r="20" spans="1:16" ht="16.5" customHeight="1">
      <c r="A20" s="10">
        <v>19</v>
      </c>
      <c r="B20" s="10">
        <v>8</v>
      </c>
      <c r="C20" s="10">
        <v>113</v>
      </c>
      <c r="D20" s="11" t="s">
        <v>3434</v>
      </c>
      <c r="E20" s="12" t="s">
        <v>3435</v>
      </c>
      <c r="F20" s="11" t="s">
        <v>3436</v>
      </c>
      <c r="G20" s="10"/>
      <c r="H20" s="13" t="s">
        <v>3437</v>
      </c>
      <c r="I20" s="16" t="s">
        <v>82</v>
      </c>
      <c r="J20" s="17"/>
      <c r="K20" s="17"/>
      <c r="L20" s="17"/>
      <c r="M20" s="17"/>
      <c r="N20" s="18"/>
      <c r="O20" s="16" t="s">
        <v>83</v>
      </c>
      <c r="P20" s="18"/>
    </row>
    <row r="21" spans="1:16" ht="16.5" customHeight="1">
      <c r="A21" s="10">
        <v>20</v>
      </c>
      <c r="B21" s="10">
        <v>8</v>
      </c>
      <c r="C21" s="10">
        <v>114</v>
      </c>
      <c r="D21" s="11" t="s">
        <v>3435</v>
      </c>
      <c r="E21" s="19" t="s">
        <v>3436</v>
      </c>
      <c r="F21" s="11" t="s">
        <v>3438</v>
      </c>
      <c r="G21" s="10" t="s">
        <v>3253</v>
      </c>
      <c r="H21" s="13" t="s">
        <v>3439</v>
      </c>
      <c r="I21" s="16" t="s">
        <v>82</v>
      </c>
      <c r="J21" s="17"/>
      <c r="K21" s="17"/>
      <c r="L21" s="17"/>
      <c r="M21" s="17"/>
      <c r="N21" s="18"/>
      <c r="O21" s="16" t="s">
        <v>83</v>
      </c>
      <c r="P21" s="18"/>
    </row>
    <row r="22" spans="1:16" ht="16.5" customHeight="1">
      <c r="A22" s="10">
        <v>21</v>
      </c>
      <c r="B22" s="10">
        <v>8</v>
      </c>
      <c r="C22" s="10">
        <v>115</v>
      </c>
      <c r="D22" s="11" t="s">
        <v>3436</v>
      </c>
      <c r="E22" s="12" t="s">
        <v>3438</v>
      </c>
      <c r="F22" s="11" t="s">
        <v>3440</v>
      </c>
      <c r="G22" s="10"/>
      <c r="H22" s="13" t="s">
        <v>1985</v>
      </c>
      <c r="I22" s="16" t="s">
        <v>82</v>
      </c>
      <c r="J22" s="17"/>
      <c r="K22" s="17"/>
      <c r="L22" s="17"/>
      <c r="M22" s="17"/>
      <c r="N22" s="18"/>
      <c r="O22" s="16" t="s">
        <v>83</v>
      </c>
      <c r="P22" s="18"/>
    </row>
    <row r="23" spans="1:16" ht="16.5" customHeight="1">
      <c r="A23" s="10">
        <v>22</v>
      </c>
      <c r="B23" s="10">
        <v>9</v>
      </c>
      <c r="C23" s="10">
        <v>15</v>
      </c>
      <c r="D23" s="11" t="s">
        <v>3441</v>
      </c>
      <c r="E23" s="12" t="s">
        <v>3442</v>
      </c>
      <c r="F23" s="11" t="s">
        <v>3443</v>
      </c>
      <c r="G23" s="10"/>
      <c r="H23" s="13" t="s">
        <v>3444</v>
      </c>
      <c r="I23" s="16" t="s">
        <v>82</v>
      </c>
      <c r="J23" s="17"/>
      <c r="K23" s="17"/>
      <c r="L23" s="17"/>
      <c r="M23" s="17"/>
      <c r="N23" s="18"/>
      <c r="O23" s="16" t="s">
        <v>83</v>
      </c>
      <c r="P23" s="18"/>
    </row>
    <row r="24" spans="1:16" ht="16.5" customHeight="1">
      <c r="A24" s="10">
        <v>23</v>
      </c>
      <c r="B24" s="10">
        <v>9</v>
      </c>
      <c r="C24" s="10">
        <v>16</v>
      </c>
      <c r="D24" s="11" t="s">
        <v>3442</v>
      </c>
      <c r="E24" s="19" t="s">
        <v>3443</v>
      </c>
      <c r="F24" s="11" t="s">
        <v>3445</v>
      </c>
      <c r="G24" s="10" t="s">
        <v>106</v>
      </c>
      <c r="H24" s="13" t="s">
        <v>3446</v>
      </c>
      <c r="I24" s="16" t="s">
        <v>82</v>
      </c>
      <c r="J24" s="17"/>
      <c r="K24" s="17"/>
      <c r="L24" s="17"/>
      <c r="M24" s="17"/>
      <c r="N24" s="18"/>
      <c r="O24" s="16" t="s">
        <v>83</v>
      </c>
      <c r="P24" s="18"/>
    </row>
    <row r="25" spans="1:16" ht="16.5" customHeight="1">
      <c r="A25" s="10">
        <v>24</v>
      </c>
      <c r="B25" s="10">
        <v>9</v>
      </c>
      <c r="C25" s="10">
        <v>17</v>
      </c>
      <c r="D25" s="11" t="s">
        <v>3443</v>
      </c>
      <c r="E25" s="12" t="s">
        <v>3445</v>
      </c>
      <c r="F25" s="11" t="s">
        <v>3447</v>
      </c>
      <c r="G25" s="10"/>
      <c r="H25" s="13"/>
      <c r="I25" s="16" t="s">
        <v>82</v>
      </c>
      <c r="J25" s="17"/>
      <c r="K25" s="17"/>
      <c r="L25" s="17"/>
      <c r="M25" s="17"/>
      <c r="N25" s="18"/>
      <c r="O25" s="16" t="s">
        <v>83</v>
      </c>
      <c r="P25" s="18"/>
    </row>
    <row r="26" spans="1:16" ht="16.5" customHeight="1">
      <c r="A26" s="10">
        <v>25</v>
      </c>
      <c r="B26" s="10">
        <v>9</v>
      </c>
      <c r="C26" s="10">
        <v>36</v>
      </c>
      <c r="D26" s="11" t="s">
        <v>3448</v>
      </c>
      <c r="E26" s="12" t="s">
        <v>3449</v>
      </c>
      <c r="F26" s="11" t="s">
        <v>3450</v>
      </c>
      <c r="G26" s="10"/>
      <c r="H26" s="13" t="s">
        <v>3451</v>
      </c>
      <c r="I26" s="16" t="s">
        <v>82</v>
      </c>
      <c r="J26" s="17"/>
      <c r="K26" s="17"/>
      <c r="L26" s="17"/>
      <c r="M26" s="17"/>
      <c r="N26" s="18"/>
      <c r="O26" s="16" t="s">
        <v>83</v>
      </c>
      <c r="P26" s="18"/>
    </row>
    <row r="27" spans="1:16" ht="16.5" customHeight="1">
      <c r="A27" s="10">
        <v>26</v>
      </c>
      <c r="B27" s="10">
        <v>9</v>
      </c>
      <c r="C27" s="10">
        <v>37</v>
      </c>
      <c r="D27" s="11" t="s">
        <v>3449</v>
      </c>
      <c r="E27" s="19" t="s">
        <v>3450</v>
      </c>
      <c r="F27" s="11" t="s">
        <v>3452</v>
      </c>
      <c r="G27" s="10" t="s">
        <v>633</v>
      </c>
      <c r="H27" s="13" t="s">
        <v>3453</v>
      </c>
      <c r="I27" s="16" t="s">
        <v>82</v>
      </c>
      <c r="J27" s="17"/>
      <c r="K27" s="17"/>
      <c r="L27" s="17"/>
      <c r="M27" s="17"/>
      <c r="N27" s="18"/>
      <c r="O27" s="16" t="s">
        <v>83</v>
      </c>
      <c r="P27" s="18"/>
    </row>
    <row r="28" spans="1:16" ht="16.5" customHeight="1">
      <c r="A28" s="10">
        <v>27</v>
      </c>
      <c r="B28" s="10">
        <v>9</v>
      </c>
      <c r="C28" s="10">
        <v>38</v>
      </c>
      <c r="D28" s="11" t="s">
        <v>3450</v>
      </c>
      <c r="E28" s="19" t="s">
        <v>3452</v>
      </c>
      <c r="F28" s="11" t="s">
        <v>3454</v>
      </c>
      <c r="G28" s="10" t="s">
        <v>633</v>
      </c>
      <c r="H28" s="13" t="s">
        <v>634</v>
      </c>
      <c r="I28" s="16" t="s">
        <v>82</v>
      </c>
      <c r="J28" s="17"/>
      <c r="K28" s="17"/>
      <c r="L28" s="17"/>
      <c r="M28" s="17"/>
      <c r="N28" s="18"/>
      <c r="O28" s="16" t="s">
        <v>83</v>
      </c>
      <c r="P28" s="18"/>
    </row>
    <row r="29" spans="1:16" ht="16.5" customHeight="1">
      <c r="A29" s="10">
        <v>28</v>
      </c>
      <c r="B29" s="10">
        <v>9</v>
      </c>
      <c r="C29" s="10">
        <v>39</v>
      </c>
      <c r="D29" s="11" t="s">
        <v>3452</v>
      </c>
      <c r="E29" s="12" t="s">
        <v>3454</v>
      </c>
      <c r="F29" s="11" t="s">
        <v>3455</v>
      </c>
      <c r="G29" s="10"/>
      <c r="H29" s="13" t="s">
        <v>3456</v>
      </c>
      <c r="I29" s="16" t="s">
        <v>82</v>
      </c>
      <c r="J29" s="17"/>
      <c r="K29" s="17"/>
      <c r="L29" s="17"/>
      <c r="M29" s="17"/>
      <c r="N29" s="18"/>
      <c r="O29" s="16" t="s">
        <v>83</v>
      </c>
      <c r="P29" s="18"/>
    </row>
    <row r="30" spans="1:16" ht="16.5" customHeight="1">
      <c r="A30" s="10">
        <v>29</v>
      </c>
      <c r="B30" s="10">
        <v>10</v>
      </c>
      <c r="C30" s="10">
        <v>1</v>
      </c>
      <c r="D30" s="11"/>
      <c r="E30" s="12" t="s">
        <v>3457</v>
      </c>
      <c r="F30" s="11" t="s">
        <v>3458</v>
      </c>
      <c r="G30" s="10"/>
      <c r="H30" s="13"/>
      <c r="I30" s="16" t="s">
        <v>82</v>
      </c>
      <c r="J30" s="17"/>
      <c r="K30" s="17"/>
      <c r="L30" s="17"/>
      <c r="M30" s="17"/>
      <c r="N30" s="18"/>
      <c r="O30" s="16" t="s">
        <v>83</v>
      </c>
      <c r="P30" s="18"/>
    </row>
    <row r="31" spans="1:16" ht="16.5" customHeight="1">
      <c r="A31" s="10">
        <v>30</v>
      </c>
      <c r="B31" s="10">
        <v>10</v>
      </c>
      <c r="C31" s="10">
        <v>2</v>
      </c>
      <c r="D31" s="11" t="s">
        <v>3457</v>
      </c>
      <c r="E31" s="19" t="s">
        <v>3458</v>
      </c>
      <c r="F31" s="11" t="s">
        <v>3459</v>
      </c>
      <c r="G31" s="10" t="s">
        <v>85</v>
      </c>
      <c r="H31" s="13" t="s">
        <v>3460</v>
      </c>
      <c r="I31" s="16" t="s">
        <v>82</v>
      </c>
      <c r="J31" s="17"/>
      <c r="K31" s="17"/>
      <c r="L31" s="17"/>
      <c r="M31" s="17"/>
      <c r="N31" s="18"/>
      <c r="O31" s="16" t="s">
        <v>83</v>
      </c>
      <c r="P31" s="18"/>
    </row>
    <row r="32" spans="1:16" ht="16.5" customHeight="1">
      <c r="A32" s="10">
        <v>31</v>
      </c>
      <c r="B32" s="10">
        <v>10</v>
      </c>
      <c r="C32" s="10">
        <v>3</v>
      </c>
      <c r="D32" s="11" t="s">
        <v>3458</v>
      </c>
      <c r="E32" s="12" t="s">
        <v>3459</v>
      </c>
      <c r="F32" s="11" t="s">
        <v>3461</v>
      </c>
      <c r="G32" s="10"/>
      <c r="H32" s="13" t="s">
        <v>3462</v>
      </c>
      <c r="I32" s="16" t="s">
        <v>82</v>
      </c>
      <c r="J32" s="17"/>
      <c r="K32" s="17"/>
      <c r="L32" s="17"/>
      <c r="M32" s="17"/>
      <c r="N32" s="18"/>
      <c r="O32" s="16" t="s">
        <v>83</v>
      </c>
      <c r="P32" s="18"/>
    </row>
    <row r="33" spans="1:16" ht="16.5" customHeight="1">
      <c r="A33" s="10">
        <v>32</v>
      </c>
      <c r="B33" s="10">
        <v>11</v>
      </c>
      <c r="C33" s="10">
        <v>15</v>
      </c>
      <c r="D33" s="11" t="s">
        <v>3463</v>
      </c>
      <c r="E33" s="12" t="s">
        <v>3464</v>
      </c>
      <c r="F33" s="11" t="s">
        <v>3465</v>
      </c>
      <c r="G33" s="10"/>
      <c r="H33" s="13" t="s">
        <v>3466</v>
      </c>
      <c r="I33" s="16" t="s">
        <v>82</v>
      </c>
      <c r="J33" s="17"/>
      <c r="K33" s="17"/>
      <c r="L33" s="17"/>
      <c r="M33" s="17"/>
      <c r="N33" s="18"/>
      <c r="O33" s="16" t="s">
        <v>83</v>
      </c>
      <c r="P33" s="18"/>
    </row>
    <row r="34" spans="1:16" ht="16.5" customHeight="1">
      <c r="A34" s="10">
        <v>33</v>
      </c>
      <c r="B34" s="10">
        <v>11</v>
      </c>
      <c r="C34" s="10">
        <v>16</v>
      </c>
      <c r="D34" s="11" t="s">
        <v>3464</v>
      </c>
      <c r="E34" s="19" t="s">
        <v>3465</v>
      </c>
      <c r="F34" s="11" t="s">
        <v>3467</v>
      </c>
      <c r="G34" s="10" t="s">
        <v>569</v>
      </c>
      <c r="H34" s="13" t="s">
        <v>3468</v>
      </c>
      <c r="I34" s="16" t="s">
        <v>89</v>
      </c>
      <c r="J34" s="17" t="s">
        <v>342</v>
      </c>
      <c r="K34" s="17" t="s">
        <v>91</v>
      </c>
      <c r="L34" s="17" t="s">
        <v>3469</v>
      </c>
      <c r="M34" s="17" t="s">
        <v>3470</v>
      </c>
      <c r="N34" s="18" t="s">
        <v>3471</v>
      </c>
      <c r="O34" s="16" t="s">
        <v>83</v>
      </c>
      <c r="P34" s="18"/>
    </row>
    <row r="35" spans="1:16" ht="16.5" customHeight="1">
      <c r="A35" s="10">
        <v>34</v>
      </c>
      <c r="B35" s="10">
        <v>11</v>
      </c>
      <c r="C35" s="10">
        <v>17</v>
      </c>
      <c r="D35" s="11" t="s">
        <v>3465</v>
      </c>
      <c r="E35" s="12" t="s">
        <v>3467</v>
      </c>
      <c r="F35" s="11" t="s">
        <v>3472</v>
      </c>
      <c r="G35" s="10"/>
      <c r="H35" s="13" t="s">
        <v>2597</v>
      </c>
      <c r="I35" s="16" t="s">
        <v>82</v>
      </c>
      <c r="J35" s="17"/>
      <c r="K35" s="17"/>
      <c r="L35" s="17"/>
      <c r="M35" s="17"/>
      <c r="N35" s="18"/>
      <c r="O35" s="16" t="s">
        <v>83</v>
      </c>
      <c r="P35" s="18"/>
    </row>
    <row r="36" spans="1:16" ht="16.5" customHeight="1">
      <c r="A36" s="10">
        <v>35</v>
      </c>
      <c r="B36" s="10">
        <v>11</v>
      </c>
      <c r="C36" s="10">
        <v>32</v>
      </c>
      <c r="D36" s="11" t="s">
        <v>3473</v>
      </c>
      <c r="E36" s="12" t="s">
        <v>3474</v>
      </c>
      <c r="F36" s="11" t="s">
        <v>3475</v>
      </c>
      <c r="G36" s="10"/>
      <c r="H36" s="13"/>
      <c r="I36" s="16" t="s">
        <v>82</v>
      </c>
      <c r="J36" s="17"/>
      <c r="K36" s="17"/>
      <c r="L36" s="17"/>
      <c r="M36" s="17"/>
      <c r="N36" s="18"/>
      <c r="O36" s="16" t="s">
        <v>83</v>
      </c>
      <c r="P36" s="18"/>
    </row>
    <row r="37" spans="1:16" ht="16.5" customHeight="1">
      <c r="A37" s="10">
        <v>36</v>
      </c>
      <c r="B37" s="10">
        <v>11</v>
      </c>
      <c r="C37" s="10">
        <v>33</v>
      </c>
      <c r="D37" s="11" t="s">
        <v>3474</v>
      </c>
      <c r="E37" s="19" t="s">
        <v>3475</v>
      </c>
      <c r="F37" s="11" t="s">
        <v>3476</v>
      </c>
      <c r="G37" s="10" t="s">
        <v>540</v>
      </c>
      <c r="H37" s="13" t="s">
        <v>3477</v>
      </c>
      <c r="I37" s="16" t="s">
        <v>82</v>
      </c>
      <c r="J37" s="17"/>
      <c r="K37" s="17"/>
      <c r="L37" s="17"/>
      <c r="M37" s="17"/>
      <c r="N37" s="18"/>
      <c r="O37" s="16" t="s">
        <v>83</v>
      </c>
      <c r="P37" s="18"/>
    </row>
    <row r="38" spans="1:16" ht="16.5" customHeight="1">
      <c r="A38" s="10">
        <v>37</v>
      </c>
      <c r="B38" s="10">
        <v>11</v>
      </c>
      <c r="C38" s="10">
        <v>34</v>
      </c>
      <c r="D38" s="11" t="s">
        <v>3475</v>
      </c>
      <c r="E38" s="12" t="s">
        <v>3476</v>
      </c>
      <c r="F38" s="11" t="s">
        <v>3478</v>
      </c>
      <c r="G38" s="10"/>
      <c r="H38" s="13" t="s">
        <v>3479</v>
      </c>
      <c r="I38" s="16" t="s">
        <v>82</v>
      </c>
      <c r="J38" s="17"/>
      <c r="K38" s="17"/>
      <c r="L38" s="17"/>
      <c r="M38" s="17"/>
      <c r="N38" s="18"/>
      <c r="O38" s="16" t="s">
        <v>83</v>
      </c>
      <c r="P38" s="18"/>
    </row>
    <row r="39" spans="1:16" ht="16.5" customHeight="1">
      <c r="A39" s="10">
        <v>38</v>
      </c>
      <c r="B39" s="10">
        <v>12</v>
      </c>
      <c r="C39" s="10">
        <v>17</v>
      </c>
      <c r="D39" s="11" t="s">
        <v>3480</v>
      </c>
      <c r="E39" s="12" t="s">
        <v>3481</v>
      </c>
      <c r="F39" s="11" t="s">
        <v>3482</v>
      </c>
      <c r="G39" s="10"/>
      <c r="H39" s="13" t="s">
        <v>2676</v>
      </c>
      <c r="I39" s="16" t="s">
        <v>82</v>
      </c>
      <c r="J39" s="17"/>
      <c r="K39" s="17"/>
      <c r="L39" s="17"/>
      <c r="M39" s="17"/>
      <c r="N39" s="18"/>
      <c r="O39" s="16" t="s">
        <v>83</v>
      </c>
      <c r="P39" s="18"/>
    </row>
    <row r="40" spans="1:16" ht="16.5" customHeight="1">
      <c r="A40" s="10">
        <v>39</v>
      </c>
      <c r="B40" s="10">
        <v>12</v>
      </c>
      <c r="C40" s="10">
        <v>18</v>
      </c>
      <c r="D40" s="11" t="s">
        <v>3481</v>
      </c>
      <c r="E40" s="19" t="s">
        <v>3482</v>
      </c>
      <c r="F40" s="11" t="s">
        <v>3483</v>
      </c>
      <c r="G40" s="10" t="s">
        <v>320</v>
      </c>
      <c r="H40" s="13" t="s">
        <v>3484</v>
      </c>
      <c r="I40" s="16" t="s">
        <v>82</v>
      </c>
      <c r="J40" s="17"/>
      <c r="K40" s="17"/>
      <c r="L40" s="17"/>
      <c r="M40" s="17"/>
      <c r="N40" s="18"/>
      <c r="O40" s="16" t="s">
        <v>83</v>
      </c>
      <c r="P40" s="18"/>
    </row>
    <row r="41" spans="1:16" ht="16.5" customHeight="1">
      <c r="A41" s="10">
        <v>40</v>
      </c>
      <c r="B41" s="10">
        <v>12</v>
      </c>
      <c r="C41" s="10">
        <v>19</v>
      </c>
      <c r="D41" s="11" t="s">
        <v>3482</v>
      </c>
      <c r="E41" s="19" t="s">
        <v>3483</v>
      </c>
      <c r="F41" s="11" t="s">
        <v>3485</v>
      </c>
      <c r="G41" s="10" t="s">
        <v>133</v>
      </c>
      <c r="H41" s="13" t="s">
        <v>138</v>
      </c>
      <c r="I41" s="16" t="s">
        <v>82</v>
      </c>
      <c r="J41" s="17"/>
      <c r="K41" s="17"/>
      <c r="L41" s="17"/>
      <c r="M41" s="17"/>
      <c r="N41" s="18"/>
      <c r="O41" s="16" t="s">
        <v>83</v>
      </c>
      <c r="P41" s="18"/>
    </row>
    <row r="42" spans="1:16" ht="16.5" customHeight="1">
      <c r="A42" s="10">
        <v>41</v>
      </c>
      <c r="B42" s="10">
        <v>12</v>
      </c>
      <c r="C42" s="10">
        <v>20</v>
      </c>
      <c r="D42" s="11" t="s">
        <v>3483</v>
      </c>
      <c r="E42" s="12" t="s">
        <v>3485</v>
      </c>
      <c r="F42" s="11" t="s">
        <v>3486</v>
      </c>
      <c r="G42" s="10"/>
      <c r="H42" s="13" t="s">
        <v>3487</v>
      </c>
      <c r="I42" s="16" t="s">
        <v>82</v>
      </c>
      <c r="J42" s="17"/>
      <c r="K42" s="17"/>
      <c r="L42" s="17"/>
      <c r="M42" s="17"/>
      <c r="N42" s="18"/>
      <c r="O42" s="16" t="s">
        <v>83</v>
      </c>
      <c r="P42" s="18"/>
    </row>
    <row r="43" spans="1:16" ht="16.5" customHeight="1">
      <c r="A43" s="10">
        <v>42</v>
      </c>
      <c r="B43" s="10">
        <v>15</v>
      </c>
      <c r="C43" s="10">
        <v>9</v>
      </c>
      <c r="D43" s="11" t="s">
        <v>3488</v>
      </c>
      <c r="E43" s="12" t="s">
        <v>3489</v>
      </c>
      <c r="F43" s="11" t="s">
        <v>3490</v>
      </c>
      <c r="G43" s="10"/>
      <c r="H43" s="13" t="s">
        <v>3491</v>
      </c>
      <c r="I43" s="16" t="s">
        <v>82</v>
      </c>
      <c r="J43" s="17"/>
      <c r="K43" s="17"/>
      <c r="L43" s="17"/>
      <c r="M43" s="17"/>
      <c r="N43" s="18"/>
      <c r="O43" s="16" t="s">
        <v>83</v>
      </c>
      <c r="P43" s="18"/>
    </row>
    <row r="44" spans="1:16" ht="16.5" customHeight="1">
      <c r="A44" s="10">
        <v>43</v>
      </c>
      <c r="B44" s="10">
        <v>15</v>
      </c>
      <c r="C44" s="10">
        <v>10</v>
      </c>
      <c r="D44" s="11" t="s">
        <v>3489</v>
      </c>
      <c r="E44" s="19" t="s">
        <v>3490</v>
      </c>
      <c r="F44" s="11" t="s">
        <v>3492</v>
      </c>
      <c r="G44" s="10" t="s">
        <v>3493</v>
      </c>
      <c r="H44" s="13" t="s">
        <v>3494</v>
      </c>
      <c r="I44" s="16" t="s">
        <v>82</v>
      </c>
      <c r="J44" s="17"/>
      <c r="K44" s="17"/>
      <c r="L44" s="17"/>
      <c r="M44" s="17"/>
      <c r="N44" s="18"/>
      <c r="O44" s="16" t="s">
        <v>83</v>
      </c>
      <c r="P44" s="18"/>
    </row>
    <row r="45" spans="1:16" ht="16.5" customHeight="1">
      <c r="A45" s="10">
        <v>44</v>
      </c>
      <c r="B45" s="10">
        <v>15</v>
      </c>
      <c r="C45" s="10">
        <v>11</v>
      </c>
      <c r="D45" s="11" t="s">
        <v>3490</v>
      </c>
      <c r="E45" s="12" t="s">
        <v>3492</v>
      </c>
      <c r="F45" s="11" t="s">
        <v>3495</v>
      </c>
      <c r="G45" s="10"/>
      <c r="H45" s="13" t="s">
        <v>3496</v>
      </c>
      <c r="I45" s="16" t="s">
        <v>82</v>
      </c>
      <c r="J45" s="17"/>
      <c r="K45" s="17"/>
      <c r="L45" s="17"/>
      <c r="M45" s="17"/>
      <c r="N45" s="18"/>
      <c r="O45" s="16" t="s">
        <v>83</v>
      </c>
      <c r="P45" s="18"/>
    </row>
    <row r="46" spans="1:16" ht="16.5" customHeight="1">
      <c r="A46" s="10">
        <v>45</v>
      </c>
      <c r="B46" s="10">
        <v>15</v>
      </c>
      <c r="C46" s="10">
        <v>12</v>
      </c>
      <c r="D46" s="11" t="s">
        <v>3492</v>
      </c>
      <c r="E46" s="19" t="s">
        <v>3495</v>
      </c>
      <c r="F46" s="11" t="s">
        <v>3497</v>
      </c>
      <c r="G46" s="10" t="s">
        <v>3253</v>
      </c>
      <c r="H46" s="13" t="s">
        <v>3498</v>
      </c>
      <c r="I46" s="16" t="s">
        <v>82</v>
      </c>
      <c r="J46" s="17"/>
      <c r="K46" s="17"/>
      <c r="L46" s="17"/>
      <c r="M46" s="17"/>
      <c r="N46" s="18"/>
      <c r="O46" s="16" t="s">
        <v>83</v>
      </c>
      <c r="P46" s="18"/>
    </row>
    <row r="47" spans="1:16" ht="16.5" customHeight="1">
      <c r="A47" s="10">
        <v>46</v>
      </c>
      <c r="B47" s="10">
        <v>15</v>
      </c>
      <c r="C47" s="10">
        <v>13</v>
      </c>
      <c r="D47" s="11" t="s">
        <v>3495</v>
      </c>
      <c r="E47" s="12" t="s">
        <v>3497</v>
      </c>
      <c r="F47" s="11" t="s">
        <v>3499</v>
      </c>
      <c r="G47" s="10"/>
      <c r="H47" s="13" t="s">
        <v>3500</v>
      </c>
      <c r="I47" s="16" t="s">
        <v>82</v>
      </c>
      <c r="J47" s="17"/>
      <c r="K47" s="17"/>
      <c r="L47" s="17"/>
      <c r="M47" s="17"/>
      <c r="N47" s="18"/>
      <c r="O47" s="16" t="s">
        <v>83</v>
      </c>
      <c r="P47" s="18"/>
    </row>
    <row r="48" spans="1:16" ht="16.5" customHeight="1">
      <c r="A48" s="10">
        <v>47</v>
      </c>
      <c r="B48" s="10">
        <v>15</v>
      </c>
      <c r="C48" s="10">
        <v>14</v>
      </c>
      <c r="D48" s="11" t="s">
        <v>3497</v>
      </c>
      <c r="E48" s="12" t="s">
        <v>3499</v>
      </c>
      <c r="F48" s="11" t="s">
        <v>3501</v>
      </c>
      <c r="G48" s="10"/>
      <c r="H48" s="13" t="s">
        <v>3502</v>
      </c>
      <c r="I48" s="16" t="s">
        <v>82</v>
      </c>
      <c r="J48" s="17"/>
      <c r="K48" s="17"/>
      <c r="L48" s="17"/>
      <c r="M48" s="17"/>
      <c r="N48" s="18"/>
      <c r="O48" s="16" t="s">
        <v>83</v>
      </c>
      <c r="P48" s="18"/>
    </row>
    <row r="49" spans="1:16" ht="16.5" customHeight="1">
      <c r="A49" s="10">
        <v>48</v>
      </c>
      <c r="B49" s="10">
        <v>15</v>
      </c>
      <c r="C49" s="10">
        <v>15</v>
      </c>
      <c r="D49" s="11" t="s">
        <v>3499</v>
      </c>
      <c r="E49" s="19" t="s">
        <v>3501</v>
      </c>
      <c r="F49" s="11" t="s">
        <v>3503</v>
      </c>
      <c r="G49" s="10" t="s">
        <v>633</v>
      </c>
      <c r="H49" s="13" t="s">
        <v>3504</v>
      </c>
      <c r="I49" s="16" t="s">
        <v>82</v>
      </c>
      <c r="J49" s="17"/>
      <c r="K49" s="17"/>
      <c r="L49" s="17"/>
      <c r="M49" s="17"/>
      <c r="N49" s="18"/>
      <c r="O49" s="16" t="s">
        <v>83</v>
      </c>
      <c r="P49" s="18"/>
    </row>
    <row r="50" spans="1:16" ht="16.5" customHeight="1">
      <c r="A50" s="10">
        <v>49</v>
      </c>
      <c r="B50" s="10">
        <v>15</v>
      </c>
      <c r="C50" s="10">
        <v>16</v>
      </c>
      <c r="D50" s="11" t="s">
        <v>3501</v>
      </c>
      <c r="E50" s="12" t="s">
        <v>3503</v>
      </c>
      <c r="F50" s="11" t="s">
        <v>3505</v>
      </c>
      <c r="G50" s="10"/>
      <c r="H50" s="13" t="s">
        <v>3506</v>
      </c>
      <c r="I50" s="16" t="s">
        <v>82</v>
      </c>
      <c r="J50" s="17"/>
      <c r="K50" s="17"/>
      <c r="L50" s="17"/>
      <c r="M50" s="17"/>
      <c r="N50" s="18"/>
      <c r="O50" s="16" t="s">
        <v>83</v>
      </c>
      <c r="P50" s="18"/>
    </row>
    <row r="51" spans="1:16" ht="16.5" customHeight="1">
      <c r="A51" s="10">
        <v>50</v>
      </c>
      <c r="B51" s="10">
        <v>15</v>
      </c>
      <c r="C51" s="10">
        <v>25</v>
      </c>
      <c r="D51" s="11" t="s">
        <v>3507</v>
      </c>
      <c r="E51" s="12" t="s">
        <v>3508</v>
      </c>
      <c r="F51" s="11" t="s">
        <v>3509</v>
      </c>
      <c r="G51" s="10"/>
      <c r="H51" s="13" t="s">
        <v>3510</v>
      </c>
      <c r="I51" s="16" t="s">
        <v>82</v>
      </c>
      <c r="J51" s="17"/>
      <c r="K51" s="17"/>
      <c r="L51" s="17"/>
      <c r="M51" s="17"/>
      <c r="N51" s="18"/>
      <c r="O51" s="16" t="s">
        <v>83</v>
      </c>
      <c r="P51" s="18"/>
    </row>
    <row r="52" spans="1:16" ht="16.5" customHeight="1">
      <c r="A52" s="10">
        <v>51</v>
      </c>
      <c r="B52" s="10">
        <v>15</v>
      </c>
      <c r="C52" s="10">
        <v>26</v>
      </c>
      <c r="D52" s="11" t="s">
        <v>3508</v>
      </c>
      <c r="E52" s="19" t="s">
        <v>3509</v>
      </c>
      <c r="F52" s="11" t="s">
        <v>3511</v>
      </c>
      <c r="G52" s="10" t="s">
        <v>106</v>
      </c>
      <c r="H52" s="13" t="s">
        <v>3512</v>
      </c>
      <c r="I52" s="16" t="s">
        <v>82</v>
      </c>
      <c r="J52" s="17"/>
      <c r="K52" s="17"/>
      <c r="L52" s="17"/>
      <c r="M52" s="17"/>
      <c r="N52" s="18"/>
      <c r="O52" s="16" t="s">
        <v>83</v>
      </c>
      <c r="P52" s="18"/>
    </row>
    <row r="53" spans="1:16" ht="16.5" customHeight="1">
      <c r="A53" s="10">
        <v>52</v>
      </c>
      <c r="B53" s="10">
        <v>15</v>
      </c>
      <c r="C53" s="10">
        <v>27</v>
      </c>
      <c r="D53" s="11" t="s">
        <v>3509</v>
      </c>
      <c r="E53" s="12" t="s">
        <v>3511</v>
      </c>
      <c r="F53" s="11" t="s">
        <v>3513</v>
      </c>
      <c r="G53" s="10"/>
      <c r="H53" s="13" t="s">
        <v>3514</v>
      </c>
      <c r="I53" s="16" t="s">
        <v>82</v>
      </c>
      <c r="J53" s="17"/>
      <c r="K53" s="17"/>
      <c r="L53" s="17"/>
      <c r="M53" s="17"/>
      <c r="N53" s="18"/>
      <c r="O53" s="16" t="s">
        <v>83</v>
      </c>
      <c r="P53" s="18"/>
    </row>
    <row r="54" spans="1:16" ht="16.5" customHeight="1">
      <c r="A54" s="10">
        <v>53</v>
      </c>
      <c r="B54" s="10">
        <v>17</v>
      </c>
      <c r="C54" s="10">
        <v>1</v>
      </c>
      <c r="D54" s="11"/>
      <c r="E54" s="12" t="s">
        <v>3515</v>
      </c>
      <c r="F54" s="11" t="s">
        <v>3516</v>
      </c>
      <c r="G54" s="10"/>
      <c r="H54" s="13" t="s">
        <v>3517</v>
      </c>
      <c r="I54" s="16" t="s">
        <v>82</v>
      </c>
      <c r="J54" s="17"/>
      <c r="K54" s="17"/>
      <c r="L54" s="17"/>
      <c r="M54" s="17"/>
      <c r="N54" s="18"/>
      <c r="O54" s="16" t="s">
        <v>83</v>
      </c>
      <c r="P54" s="18"/>
    </row>
    <row r="55" spans="1:16" ht="16.5" customHeight="1">
      <c r="A55" s="10">
        <v>54</v>
      </c>
      <c r="B55" s="10">
        <v>17</v>
      </c>
      <c r="C55" s="10">
        <v>2</v>
      </c>
      <c r="D55" s="11" t="s">
        <v>3515</v>
      </c>
      <c r="E55" s="19" t="s">
        <v>3516</v>
      </c>
      <c r="F55" s="11" t="s">
        <v>3518</v>
      </c>
      <c r="G55" s="10" t="s">
        <v>106</v>
      </c>
      <c r="H55" s="13" t="s">
        <v>3519</v>
      </c>
      <c r="I55" s="16" t="s">
        <v>82</v>
      </c>
      <c r="J55" s="17"/>
      <c r="K55" s="17"/>
      <c r="L55" s="17"/>
      <c r="M55" s="17"/>
      <c r="N55" s="18"/>
      <c r="O55" s="16" t="s">
        <v>83</v>
      </c>
      <c r="P55" s="18"/>
    </row>
    <row r="56" spans="1:16" ht="16.5" customHeight="1">
      <c r="A56" s="10">
        <v>55</v>
      </c>
      <c r="B56" s="10">
        <v>17</v>
      </c>
      <c r="C56" s="10">
        <v>3</v>
      </c>
      <c r="D56" s="11" t="s">
        <v>3516</v>
      </c>
      <c r="E56" s="12" t="s">
        <v>3518</v>
      </c>
      <c r="F56" s="11" t="s">
        <v>3520</v>
      </c>
      <c r="G56" s="10"/>
      <c r="H56" s="13" t="s">
        <v>3521</v>
      </c>
      <c r="I56" s="16" t="s">
        <v>82</v>
      </c>
      <c r="J56" s="17"/>
      <c r="K56" s="17"/>
      <c r="L56" s="17"/>
      <c r="M56" s="17"/>
      <c r="N56" s="18"/>
      <c r="O56" s="16" t="s">
        <v>83</v>
      </c>
      <c r="P56" s="18"/>
    </row>
    <row r="57" spans="1:16" ht="16.5" customHeight="1">
      <c r="A57" s="10">
        <v>56</v>
      </c>
      <c r="B57" s="10">
        <v>18</v>
      </c>
      <c r="C57" s="10">
        <v>6</v>
      </c>
      <c r="D57" s="11" t="s">
        <v>3522</v>
      </c>
      <c r="E57" s="12" t="s">
        <v>3523</v>
      </c>
      <c r="F57" s="11" t="s">
        <v>3524</v>
      </c>
      <c r="G57" s="10"/>
      <c r="H57" s="13"/>
      <c r="I57" s="16" t="s">
        <v>82</v>
      </c>
      <c r="J57" s="17"/>
      <c r="K57" s="17"/>
      <c r="L57" s="17"/>
      <c r="M57" s="17"/>
      <c r="N57" s="18"/>
      <c r="O57" s="16" t="s">
        <v>83</v>
      </c>
      <c r="P57" s="18"/>
    </row>
    <row r="58" spans="1:16" ht="16.5" customHeight="1">
      <c r="A58" s="10">
        <v>57</v>
      </c>
      <c r="B58" s="10">
        <v>18</v>
      </c>
      <c r="C58" s="10">
        <v>7</v>
      </c>
      <c r="D58" s="11" t="s">
        <v>3523</v>
      </c>
      <c r="E58" s="19" t="s">
        <v>3524</v>
      </c>
      <c r="F58" s="11" t="s">
        <v>3525</v>
      </c>
      <c r="G58" s="10" t="s">
        <v>106</v>
      </c>
      <c r="H58" s="13" t="s">
        <v>3526</v>
      </c>
      <c r="I58" s="16" t="s">
        <v>82</v>
      </c>
      <c r="J58" s="17"/>
      <c r="K58" s="17"/>
      <c r="L58" s="17"/>
      <c r="M58" s="17"/>
      <c r="N58" s="18"/>
      <c r="O58" s="16" t="s">
        <v>83</v>
      </c>
      <c r="P58" s="18"/>
    </row>
    <row r="59" spans="1:16" ht="16.5" customHeight="1">
      <c r="A59" s="10">
        <v>58</v>
      </c>
      <c r="B59" s="10">
        <v>18</v>
      </c>
      <c r="C59" s="10">
        <v>8</v>
      </c>
      <c r="D59" s="11" t="s">
        <v>3524</v>
      </c>
      <c r="E59" s="12" t="s">
        <v>3525</v>
      </c>
      <c r="F59" s="11" t="s">
        <v>3527</v>
      </c>
      <c r="G59" s="10"/>
      <c r="H59" s="13" t="s">
        <v>3521</v>
      </c>
      <c r="I59" s="16" t="s">
        <v>82</v>
      </c>
      <c r="J59" s="17"/>
      <c r="K59" s="17"/>
      <c r="L59" s="17"/>
      <c r="M59" s="17"/>
      <c r="N59" s="18"/>
      <c r="O59" s="16" t="s">
        <v>83</v>
      </c>
      <c r="P59" s="18"/>
    </row>
    <row r="60" spans="1:16" ht="16.5" customHeight="1">
      <c r="A60" s="10">
        <v>59</v>
      </c>
      <c r="B60" s="10">
        <v>19</v>
      </c>
      <c r="C60" s="10">
        <v>10</v>
      </c>
      <c r="D60" s="11" t="s">
        <v>3528</v>
      </c>
      <c r="E60" s="12" t="s">
        <v>3529</v>
      </c>
      <c r="F60" s="11" t="s">
        <v>3530</v>
      </c>
      <c r="G60" s="10"/>
      <c r="H60" s="13" t="s">
        <v>3531</v>
      </c>
      <c r="I60" s="16" t="s">
        <v>82</v>
      </c>
      <c r="J60" s="17"/>
      <c r="K60" s="17"/>
      <c r="L60" s="17"/>
      <c r="M60" s="17"/>
      <c r="N60" s="18"/>
      <c r="O60" s="16" t="s">
        <v>83</v>
      </c>
      <c r="P60" s="18"/>
    </row>
    <row r="61" spans="1:16" ht="16.5" customHeight="1">
      <c r="A61" s="10">
        <v>60</v>
      </c>
      <c r="B61" s="10">
        <v>19</v>
      </c>
      <c r="C61" s="10">
        <v>11</v>
      </c>
      <c r="D61" s="11" t="s">
        <v>3529</v>
      </c>
      <c r="E61" s="19" t="s">
        <v>3530</v>
      </c>
      <c r="F61" s="11" t="s">
        <v>3532</v>
      </c>
      <c r="G61" s="10" t="s">
        <v>3253</v>
      </c>
      <c r="H61" s="13" t="s">
        <v>3533</v>
      </c>
      <c r="I61" s="16" t="s">
        <v>82</v>
      </c>
      <c r="J61" s="17"/>
      <c r="K61" s="17"/>
      <c r="L61" s="17"/>
      <c r="M61" s="17"/>
      <c r="N61" s="18"/>
      <c r="O61" s="16" t="s">
        <v>83</v>
      </c>
      <c r="P61" s="18"/>
    </row>
    <row r="62" spans="1:16" ht="16.5" customHeight="1">
      <c r="A62" s="10">
        <v>61</v>
      </c>
      <c r="B62" s="10">
        <v>19</v>
      </c>
      <c r="C62" s="10">
        <v>12</v>
      </c>
      <c r="D62" s="11" t="s">
        <v>3530</v>
      </c>
      <c r="E62" s="12" t="s">
        <v>3532</v>
      </c>
      <c r="F62" s="11" t="s">
        <v>3534</v>
      </c>
      <c r="G62" s="10"/>
      <c r="H62" s="13" t="s">
        <v>3535</v>
      </c>
      <c r="I62" s="16" t="s">
        <v>82</v>
      </c>
      <c r="J62" s="17"/>
      <c r="K62" s="17"/>
      <c r="L62" s="17"/>
      <c r="M62" s="17"/>
      <c r="N62" s="18"/>
      <c r="O62" s="16" t="s">
        <v>83</v>
      </c>
      <c r="P62" s="18"/>
    </row>
    <row r="63" spans="1:16" ht="32.25" customHeight="1">
      <c r="A63" s="10">
        <v>62</v>
      </c>
      <c r="B63" s="10">
        <v>20</v>
      </c>
      <c r="C63" s="10">
        <v>3</v>
      </c>
      <c r="D63" s="11" t="s">
        <v>3536</v>
      </c>
      <c r="E63" s="12" t="s">
        <v>3537</v>
      </c>
      <c r="F63" s="11" t="s">
        <v>3538</v>
      </c>
      <c r="G63" s="10"/>
      <c r="H63" s="13" t="s">
        <v>3539</v>
      </c>
      <c r="I63" s="16" t="s">
        <v>82</v>
      </c>
      <c r="J63" s="17"/>
      <c r="K63" s="17"/>
      <c r="L63" s="17"/>
      <c r="M63" s="17"/>
      <c r="N63" s="18"/>
      <c r="O63" s="16" t="s">
        <v>83</v>
      </c>
      <c r="P63" s="18"/>
    </row>
    <row r="64" spans="1:16" ht="26.25" customHeight="1">
      <c r="A64" s="10">
        <v>63</v>
      </c>
      <c r="B64" s="10">
        <v>20</v>
      </c>
      <c r="C64" s="10">
        <v>4</v>
      </c>
      <c r="D64" s="11" t="s">
        <v>3537</v>
      </c>
      <c r="E64" s="19" t="s">
        <v>3538</v>
      </c>
      <c r="F64" s="11"/>
      <c r="G64" s="10" t="s">
        <v>1957</v>
      </c>
      <c r="H64" s="13" t="s">
        <v>3540</v>
      </c>
      <c r="I64" s="16" t="s">
        <v>82</v>
      </c>
      <c r="J64" s="17"/>
      <c r="K64" s="17"/>
      <c r="L64" s="17"/>
      <c r="M64" s="17"/>
      <c r="N64" s="18"/>
      <c r="O64" s="16" t="s">
        <v>83</v>
      </c>
      <c r="P64" s="18"/>
    </row>
    <row r="65" spans="1:16" ht="16.5" customHeight="1">
      <c r="A65" s="10">
        <v>64</v>
      </c>
      <c r="B65" s="10">
        <v>21</v>
      </c>
      <c r="C65" s="10">
        <v>1</v>
      </c>
      <c r="D65" s="11"/>
      <c r="E65" s="12" t="s">
        <v>3541</v>
      </c>
      <c r="F65" s="11" t="s">
        <v>3542</v>
      </c>
      <c r="G65" s="10"/>
      <c r="H65" s="13" t="s">
        <v>3543</v>
      </c>
      <c r="I65" s="16" t="s">
        <v>82</v>
      </c>
      <c r="J65" s="17"/>
      <c r="K65" s="17"/>
      <c r="L65" s="17"/>
      <c r="M65" s="17"/>
      <c r="N65" s="18"/>
      <c r="O65" s="16" t="s">
        <v>83</v>
      </c>
      <c r="P65" s="18"/>
    </row>
    <row r="66" spans="1:16" ht="16.5" customHeight="1">
      <c r="A66" s="10">
        <v>65</v>
      </c>
      <c r="B66" s="10">
        <v>21</v>
      </c>
      <c r="C66" s="10">
        <v>2</v>
      </c>
      <c r="D66" s="11" t="s">
        <v>3541</v>
      </c>
      <c r="E66" s="19" t="s">
        <v>3542</v>
      </c>
      <c r="F66" s="11" t="s">
        <v>3544</v>
      </c>
      <c r="G66" s="10" t="s">
        <v>106</v>
      </c>
      <c r="H66" s="13" t="s">
        <v>3545</v>
      </c>
      <c r="I66" s="16" t="s">
        <v>82</v>
      </c>
      <c r="J66" s="17"/>
      <c r="K66" s="17"/>
      <c r="L66" s="17"/>
      <c r="M66" s="17"/>
      <c r="N66" s="18"/>
      <c r="O66" s="16" t="s">
        <v>83</v>
      </c>
      <c r="P66" s="18"/>
    </row>
    <row r="67" spans="1:16" ht="16.5" customHeight="1">
      <c r="A67" s="10">
        <v>66</v>
      </c>
      <c r="B67" s="10">
        <v>21</v>
      </c>
      <c r="C67" s="10">
        <v>3</v>
      </c>
      <c r="D67" s="11" t="s">
        <v>3542</v>
      </c>
      <c r="E67" s="12" t="s">
        <v>3544</v>
      </c>
      <c r="F67" s="11" t="s">
        <v>3546</v>
      </c>
      <c r="G67" s="10"/>
      <c r="H67" s="13" t="s">
        <v>3547</v>
      </c>
      <c r="I67" s="16" t="s">
        <v>82</v>
      </c>
      <c r="J67" s="17"/>
      <c r="K67" s="17"/>
      <c r="L67" s="17"/>
      <c r="M67" s="17"/>
      <c r="N67" s="18"/>
      <c r="O67" s="16" t="s">
        <v>83</v>
      </c>
      <c r="P67" s="18"/>
    </row>
    <row r="68" spans="1:16" ht="16.5" customHeight="1">
      <c r="A68" s="10">
        <v>67</v>
      </c>
      <c r="B68" s="10">
        <v>27</v>
      </c>
      <c r="C68" s="10">
        <v>14</v>
      </c>
      <c r="D68" s="11" t="s">
        <v>3548</v>
      </c>
      <c r="E68" s="12" t="s">
        <v>3549</v>
      </c>
      <c r="F68" s="11" t="s">
        <v>3550</v>
      </c>
      <c r="G68" s="10"/>
      <c r="H68" s="13" t="s">
        <v>3551</v>
      </c>
      <c r="I68" s="16" t="s">
        <v>82</v>
      </c>
      <c r="J68" s="17"/>
      <c r="K68" s="17"/>
      <c r="L68" s="17"/>
      <c r="M68" s="17"/>
      <c r="N68" s="18"/>
      <c r="O68" s="16" t="s">
        <v>83</v>
      </c>
      <c r="P68" s="18"/>
    </row>
    <row r="69" spans="1:16" ht="16.5" customHeight="1">
      <c r="A69" s="10">
        <v>68</v>
      </c>
      <c r="B69" s="10">
        <v>27</v>
      </c>
      <c r="C69" s="10">
        <v>15</v>
      </c>
      <c r="D69" s="11" t="s">
        <v>3549</v>
      </c>
      <c r="E69" s="19" t="s">
        <v>3550</v>
      </c>
      <c r="F69" s="11" t="s">
        <v>3552</v>
      </c>
      <c r="G69" s="10" t="s">
        <v>305</v>
      </c>
      <c r="H69" s="13" t="s">
        <v>3553</v>
      </c>
      <c r="I69" s="16" t="s">
        <v>82</v>
      </c>
      <c r="J69" s="17"/>
      <c r="K69" s="17"/>
      <c r="L69" s="17"/>
      <c r="M69" s="17"/>
      <c r="N69" s="18"/>
      <c r="O69" s="16" t="s">
        <v>83</v>
      </c>
      <c r="P69" s="18"/>
    </row>
    <row r="70" spans="1:16" ht="16.5" customHeight="1">
      <c r="A70" s="10">
        <v>69</v>
      </c>
      <c r="B70" s="10">
        <v>27</v>
      </c>
      <c r="C70" s="10">
        <v>16</v>
      </c>
      <c r="D70" s="11" t="s">
        <v>3550</v>
      </c>
      <c r="E70" s="12" t="s">
        <v>3552</v>
      </c>
      <c r="F70" s="11" t="s">
        <v>3554</v>
      </c>
      <c r="G70" s="10"/>
      <c r="H70" s="13" t="s">
        <v>3555</v>
      </c>
      <c r="I70" s="16" t="s">
        <v>82</v>
      </c>
      <c r="J70" s="17"/>
      <c r="K70" s="17"/>
      <c r="L70" s="17"/>
      <c r="M70" s="17"/>
      <c r="N70" s="18"/>
      <c r="O70" s="16" t="s">
        <v>83</v>
      </c>
      <c r="P70" s="18"/>
    </row>
    <row r="71" spans="1:16" ht="16.5" customHeight="1">
      <c r="A71" s="10">
        <v>70</v>
      </c>
      <c r="B71" s="10">
        <v>30</v>
      </c>
      <c r="C71" s="10">
        <v>22</v>
      </c>
      <c r="D71" s="11" t="s">
        <v>3556</v>
      </c>
      <c r="E71" s="12" t="s">
        <v>3557</v>
      </c>
      <c r="F71" s="11" t="s">
        <v>3558</v>
      </c>
      <c r="G71" s="10"/>
      <c r="H71" s="13" t="s">
        <v>3559</v>
      </c>
      <c r="I71" s="16" t="s">
        <v>82</v>
      </c>
      <c r="J71" s="17"/>
      <c r="K71" s="17"/>
      <c r="L71" s="17"/>
      <c r="M71" s="17"/>
      <c r="N71" s="18"/>
      <c r="O71" s="16" t="s">
        <v>83</v>
      </c>
      <c r="P71" s="18"/>
    </row>
    <row r="72" spans="1:16" ht="16.5" customHeight="1">
      <c r="A72" s="10">
        <v>71</v>
      </c>
      <c r="B72" s="10">
        <v>30</v>
      </c>
      <c r="C72" s="10">
        <v>23</v>
      </c>
      <c r="D72" s="11" t="s">
        <v>3557</v>
      </c>
      <c r="E72" s="19" t="s">
        <v>3558</v>
      </c>
      <c r="F72" s="11" t="s">
        <v>3560</v>
      </c>
      <c r="G72" s="10" t="s">
        <v>85</v>
      </c>
      <c r="H72" s="13" t="s">
        <v>3561</v>
      </c>
      <c r="I72" s="16" t="s">
        <v>89</v>
      </c>
      <c r="J72" s="17" t="s">
        <v>473</v>
      </c>
      <c r="K72" s="17" t="s">
        <v>91</v>
      </c>
      <c r="L72" s="17" t="s">
        <v>3562</v>
      </c>
      <c r="M72" s="17" t="s">
        <v>3563</v>
      </c>
      <c r="N72" s="18" t="s">
        <v>1596</v>
      </c>
      <c r="O72" s="16" t="s">
        <v>113</v>
      </c>
      <c r="P72" s="18"/>
    </row>
    <row r="73" spans="1:16" ht="16.5" customHeight="1">
      <c r="A73" s="10">
        <v>72</v>
      </c>
      <c r="B73" s="10">
        <v>30</v>
      </c>
      <c r="C73" s="10">
        <v>24</v>
      </c>
      <c r="D73" s="11" t="s">
        <v>3558</v>
      </c>
      <c r="E73" s="12" t="s">
        <v>3560</v>
      </c>
      <c r="F73" s="11" t="s">
        <v>3564</v>
      </c>
      <c r="G73" s="10"/>
      <c r="H73" s="13" t="s">
        <v>3565</v>
      </c>
      <c r="I73" s="16" t="s">
        <v>82</v>
      </c>
      <c r="J73" s="17"/>
      <c r="K73" s="17"/>
      <c r="L73" s="17"/>
      <c r="M73" s="17"/>
      <c r="N73" s="18"/>
      <c r="O73" s="16" t="s">
        <v>83</v>
      </c>
      <c r="P73" s="18"/>
    </row>
    <row r="74" spans="1:16" ht="16.5" customHeight="1">
      <c r="A74" s="10">
        <v>73</v>
      </c>
      <c r="B74" s="10">
        <v>31</v>
      </c>
      <c r="C74" s="10">
        <v>14</v>
      </c>
      <c r="D74" s="11" t="s">
        <v>3566</v>
      </c>
      <c r="E74" s="12" t="s">
        <v>3567</v>
      </c>
      <c r="F74" s="11" t="s">
        <v>3568</v>
      </c>
      <c r="G74" s="10"/>
      <c r="H74" s="13" t="s">
        <v>3569</v>
      </c>
      <c r="I74" s="16" t="s">
        <v>82</v>
      </c>
      <c r="J74" s="17"/>
      <c r="K74" s="17"/>
      <c r="L74" s="17"/>
      <c r="M74" s="17"/>
      <c r="N74" s="18"/>
      <c r="O74" s="16" t="s">
        <v>83</v>
      </c>
      <c r="P74" s="18"/>
    </row>
    <row r="75" spans="1:16" ht="16.5" customHeight="1">
      <c r="A75" s="10">
        <v>74</v>
      </c>
      <c r="B75" s="10">
        <v>31</v>
      </c>
      <c r="C75" s="10">
        <v>15</v>
      </c>
      <c r="D75" s="11" t="s">
        <v>3567</v>
      </c>
      <c r="E75" s="19" t="s">
        <v>3568</v>
      </c>
      <c r="F75" s="11" t="s">
        <v>3570</v>
      </c>
      <c r="G75" s="10" t="s">
        <v>3571</v>
      </c>
      <c r="H75" s="13" t="s">
        <v>3572</v>
      </c>
      <c r="I75" s="16" t="s">
        <v>82</v>
      </c>
      <c r="J75" s="17"/>
      <c r="K75" s="17"/>
      <c r="L75" s="17"/>
      <c r="M75" s="17"/>
      <c r="N75" s="18"/>
      <c r="O75" s="16" t="s">
        <v>83</v>
      </c>
      <c r="P75" s="18"/>
    </row>
    <row r="76" spans="1:16" ht="16.5" customHeight="1">
      <c r="A76" s="10">
        <v>75</v>
      </c>
      <c r="B76" s="10">
        <v>31</v>
      </c>
      <c r="C76" s="10">
        <v>16</v>
      </c>
      <c r="D76" s="11" t="s">
        <v>3568</v>
      </c>
      <c r="E76" s="12" t="s">
        <v>3570</v>
      </c>
      <c r="F76" s="11" t="s">
        <v>3573</v>
      </c>
      <c r="G76" s="10"/>
      <c r="H76" s="13" t="s">
        <v>3574</v>
      </c>
      <c r="I76" s="16" t="s">
        <v>82</v>
      </c>
      <c r="J76" s="17"/>
      <c r="K76" s="17"/>
      <c r="L76" s="17"/>
      <c r="M76" s="17"/>
      <c r="N76" s="18"/>
      <c r="O76" s="16" t="s">
        <v>83</v>
      </c>
      <c r="P76" s="18"/>
    </row>
    <row r="77" spans="1:16" ht="16.5" customHeight="1">
      <c r="A77" s="10">
        <v>76</v>
      </c>
      <c r="B77" s="10">
        <v>31</v>
      </c>
      <c r="C77" s="10">
        <v>41</v>
      </c>
      <c r="D77" s="11" t="s">
        <v>3575</v>
      </c>
      <c r="E77" s="12" t="s">
        <v>3576</v>
      </c>
      <c r="F77" s="11" t="s">
        <v>3577</v>
      </c>
      <c r="G77" s="10"/>
      <c r="H77" s="13" t="s">
        <v>3578</v>
      </c>
      <c r="I77" s="16" t="s">
        <v>82</v>
      </c>
      <c r="J77" s="17"/>
      <c r="K77" s="17"/>
      <c r="L77" s="17"/>
      <c r="M77" s="17"/>
      <c r="N77" s="18"/>
      <c r="O77" s="16" t="s">
        <v>83</v>
      </c>
      <c r="P77" s="18"/>
    </row>
    <row r="78" spans="1:16" ht="16.5" customHeight="1">
      <c r="A78" s="10">
        <v>77</v>
      </c>
      <c r="B78" s="10">
        <v>31</v>
      </c>
      <c r="C78" s="10">
        <v>42</v>
      </c>
      <c r="D78" s="11" t="s">
        <v>3576</v>
      </c>
      <c r="E78" s="19" t="s">
        <v>3577</v>
      </c>
      <c r="F78" s="11" t="s">
        <v>3579</v>
      </c>
      <c r="G78" s="10" t="s">
        <v>3253</v>
      </c>
      <c r="H78" s="13" t="s">
        <v>3580</v>
      </c>
      <c r="I78" s="16" t="s">
        <v>82</v>
      </c>
      <c r="J78" s="17"/>
      <c r="K78" s="17"/>
      <c r="L78" s="17"/>
      <c r="M78" s="17"/>
      <c r="N78" s="18"/>
      <c r="O78" s="16" t="s">
        <v>83</v>
      </c>
      <c r="P78" s="18"/>
    </row>
    <row r="79" spans="1:16" ht="16.5" customHeight="1">
      <c r="A79" s="10">
        <v>78</v>
      </c>
      <c r="B79" s="10">
        <v>31</v>
      </c>
      <c r="C79" s="10">
        <v>43</v>
      </c>
      <c r="D79" s="11" t="s">
        <v>3577</v>
      </c>
      <c r="E79" s="12" t="s">
        <v>3579</v>
      </c>
      <c r="F79" s="11" t="s">
        <v>3048</v>
      </c>
      <c r="G79" s="10"/>
      <c r="H79" s="13" t="s">
        <v>3581</v>
      </c>
      <c r="I79" s="16" t="s">
        <v>82</v>
      </c>
      <c r="J79" s="17"/>
      <c r="K79" s="17"/>
      <c r="L79" s="17"/>
      <c r="M79" s="17"/>
      <c r="N79" s="18"/>
      <c r="O79" s="16" t="s">
        <v>83</v>
      </c>
      <c r="P79" s="18"/>
    </row>
    <row r="80" spans="1:16" ht="16.5" customHeight="1">
      <c r="A80" s="10">
        <v>79</v>
      </c>
      <c r="B80" s="10">
        <v>31</v>
      </c>
      <c r="C80" s="10">
        <v>46</v>
      </c>
      <c r="D80" s="11" t="s">
        <v>3582</v>
      </c>
      <c r="E80" s="12" t="s">
        <v>3583</v>
      </c>
      <c r="F80" s="11" t="s">
        <v>3584</v>
      </c>
      <c r="G80" s="10"/>
      <c r="H80" s="13" t="s">
        <v>3585</v>
      </c>
      <c r="I80" s="16" t="s">
        <v>82</v>
      </c>
      <c r="J80" s="17"/>
      <c r="K80" s="17"/>
      <c r="L80" s="17"/>
      <c r="M80" s="17"/>
      <c r="N80" s="18"/>
      <c r="O80" s="16" t="s">
        <v>83</v>
      </c>
      <c r="P80" s="18"/>
    </row>
    <row r="81" spans="1:16" ht="16.5" customHeight="1">
      <c r="A81" s="10">
        <v>80</v>
      </c>
      <c r="B81" s="10">
        <v>31</v>
      </c>
      <c r="C81" s="10">
        <v>47</v>
      </c>
      <c r="D81" s="11" t="s">
        <v>3583</v>
      </c>
      <c r="E81" s="19" t="s">
        <v>3584</v>
      </c>
      <c r="F81" s="11" t="s">
        <v>3575</v>
      </c>
      <c r="G81" s="10" t="s">
        <v>2920</v>
      </c>
      <c r="H81" s="13" t="s">
        <v>3586</v>
      </c>
      <c r="I81" s="16" t="s">
        <v>82</v>
      </c>
      <c r="J81" s="17"/>
      <c r="K81" s="17"/>
      <c r="L81" s="17"/>
      <c r="M81" s="17"/>
      <c r="N81" s="18"/>
      <c r="O81" s="16" t="s">
        <v>83</v>
      </c>
      <c r="P81" s="18"/>
    </row>
    <row r="82" spans="1:16" ht="16.5" customHeight="1">
      <c r="A82" s="10">
        <v>81</v>
      </c>
      <c r="B82" s="10">
        <v>31</v>
      </c>
      <c r="C82" s="10">
        <v>48</v>
      </c>
      <c r="D82" s="11" t="s">
        <v>3584</v>
      </c>
      <c r="E82" s="12" t="s">
        <v>3575</v>
      </c>
      <c r="F82" s="11" t="s">
        <v>3587</v>
      </c>
      <c r="G82" s="10"/>
      <c r="H82" s="13" t="s">
        <v>3588</v>
      </c>
      <c r="I82" s="16" t="s">
        <v>82</v>
      </c>
      <c r="J82" s="17"/>
      <c r="K82" s="17"/>
      <c r="L82" s="17"/>
      <c r="M82" s="17"/>
      <c r="N82" s="18"/>
      <c r="O82" s="16" t="s">
        <v>83</v>
      </c>
      <c r="P82" s="18"/>
    </row>
    <row r="83" spans="1:16" ht="26.25" customHeight="1">
      <c r="A83" s="10">
        <v>82</v>
      </c>
      <c r="B83" s="10">
        <v>31</v>
      </c>
      <c r="C83" s="10">
        <v>60</v>
      </c>
      <c r="D83" s="11" t="s">
        <v>3589</v>
      </c>
      <c r="E83" s="12" t="s">
        <v>3590</v>
      </c>
      <c r="F83" s="11" t="s">
        <v>3591</v>
      </c>
      <c r="G83" s="10"/>
      <c r="H83" s="13" t="s">
        <v>3592</v>
      </c>
      <c r="I83" s="16" t="s">
        <v>82</v>
      </c>
      <c r="J83" s="17"/>
      <c r="K83" s="17"/>
      <c r="L83" s="17"/>
      <c r="M83" s="17"/>
      <c r="N83" s="18"/>
      <c r="O83" s="16" t="s">
        <v>83</v>
      </c>
      <c r="P83" s="18"/>
    </row>
    <row r="84" spans="1:16" ht="16.5" customHeight="1">
      <c r="A84" s="10">
        <v>83</v>
      </c>
      <c r="B84" s="10">
        <v>31</v>
      </c>
      <c r="C84" s="10">
        <v>61</v>
      </c>
      <c r="D84" s="11" t="s">
        <v>3590</v>
      </c>
      <c r="E84" s="19" t="s">
        <v>3591</v>
      </c>
      <c r="F84" s="11" t="s">
        <v>3593</v>
      </c>
      <c r="G84" s="10" t="s">
        <v>2496</v>
      </c>
      <c r="H84" s="13" t="s">
        <v>3594</v>
      </c>
      <c r="I84" s="16" t="s">
        <v>82</v>
      </c>
      <c r="J84" s="17"/>
      <c r="K84" s="17"/>
      <c r="L84" s="17"/>
      <c r="M84" s="17"/>
      <c r="N84" s="18"/>
      <c r="O84" s="16" t="s">
        <v>83</v>
      </c>
      <c r="P84" s="18"/>
    </row>
    <row r="85" spans="1:16" ht="26.25" customHeight="1">
      <c r="A85" s="10">
        <v>84</v>
      </c>
      <c r="B85" s="10">
        <v>31</v>
      </c>
      <c r="C85" s="10">
        <v>62</v>
      </c>
      <c r="D85" s="11" t="s">
        <v>3591</v>
      </c>
      <c r="E85" s="12" t="s">
        <v>3593</v>
      </c>
      <c r="F85" s="11" t="s">
        <v>3595</v>
      </c>
      <c r="G85" s="10"/>
      <c r="H85" s="13" t="s">
        <v>3596</v>
      </c>
      <c r="I85" s="16" t="s">
        <v>82</v>
      </c>
      <c r="J85" s="17"/>
      <c r="K85" s="17"/>
      <c r="L85" s="17"/>
      <c r="M85" s="17"/>
      <c r="N85" s="18"/>
      <c r="O85" s="16" t="s">
        <v>83</v>
      </c>
      <c r="P85" s="18"/>
    </row>
    <row r="86" spans="1:16" ht="16.5" customHeight="1">
      <c r="A86" s="10">
        <v>85</v>
      </c>
      <c r="B86" s="10">
        <v>31</v>
      </c>
      <c r="C86" s="10">
        <v>69</v>
      </c>
      <c r="D86" s="11" t="s">
        <v>3597</v>
      </c>
      <c r="E86" s="12" t="s">
        <v>3598</v>
      </c>
      <c r="F86" s="11" t="s">
        <v>3599</v>
      </c>
      <c r="G86" s="10"/>
      <c r="H86" s="13" t="s">
        <v>3600</v>
      </c>
      <c r="I86" s="16" t="s">
        <v>82</v>
      </c>
      <c r="J86" s="17"/>
      <c r="K86" s="17"/>
      <c r="L86" s="17"/>
      <c r="M86" s="17"/>
      <c r="N86" s="18"/>
      <c r="O86" s="16" t="s">
        <v>83</v>
      </c>
      <c r="P86" s="18"/>
    </row>
    <row r="87" spans="1:16" ht="16.5" customHeight="1">
      <c r="A87" s="10">
        <v>86</v>
      </c>
      <c r="B87" s="10">
        <v>31</v>
      </c>
      <c r="C87" s="10">
        <v>70</v>
      </c>
      <c r="D87" s="11" t="s">
        <v>3598</v>
      </c>
      <c r="E87" s="19" t="s">
        <v>3599</v>
      </c>
      <c r="F87" s="11" t="s">
        <v>3601</v>
      </c>
      <c r="G87" s="10" t="s">
        <v>2496</v>
      </c>
      <c r="H87" s="13" t="s">
        <v>3602</v>
      </c>
      <c r="I87" s="16" t="s">
        <v>82</v>
      </c>
      <c r="J87" s="17"/>
      <c r="K87" s="17"/>
      <c r="L87" s="17"/>
      <c r="M87" s="17"/>
      <c r="N87" s="18"/>
      <c r="O87" s="16" t="s">
        <v>83</v>
      </c>
      <c r="P87" s="18"/>
    </row>
    <row r="88" spans="1:16" ht="16.5" customHeight="1">
      <c r="A88" s="10">
        <v>87</v>
      </c>
      <c r="B88" s="10">
        <v>31</v>
      </c>
      <c r="C88" s="10">
        <v>71</v>
      </c>
      <c r="D88" s="11" t="s">
        <v>3599</v>
      </c>
      <c r="E88" s="12" t="s">
        <v>3601</v>
      </c>
      <c r="F88" s="11" t="s">
        <v>3603</v>
      </c>
      <c r="G88" s="10"/>
      <c r="H88" s="13" t="s">
        <v>3604</v>
      </c>
      <c r="I88" s="16" t="s">
        <v>82</v>
      </c>
      <c r="J88" s="17"/>
      <c r="K88" s="17"/>
      <c r="L88" s="17"/>
      <c r="M88" s="17"/>
      <c r="N88" s="18"/>
      <c r="O88" s="16" t="s">
        <v>83</v>
      </c>
      <c r="P88" s="18"/>
    </row>
    <row r="89" spans="1:16" ht="16.5" customHeight="1">
      <c r="A89" s="10">
        <v>88</v>
      </c>
      <c r="B89" s="10">
        <v>31</v>
      </c>
      <c r="C89" s="10">
        <v>73</v>
      </c>
      <c r="D89" s="11" t="s">
        <v>3603</v>
      </c>
      <c r="E89" s="12" t="s">
        <v>3605</v>
      </c>
      <c r="F89" s="11" t="s">
        <v>3606</v>
      </c>
      <c r="G89" s="10"/>
      <c r="H89" s="13" t="s">
        <v>2655</v>
      </c>
      <c r="I89" s="16" t="s">
        <v>82</v>
      </c>
      <c r="J89" s="17"/>
      <c r="K89" s="17"/>
      <c r="L89" s="17"/>
      <c r="M89" s="17"/>
      <c r="N89" s="18"/>
      <c r="O89" s="16" t="s">
        <v>83</v>
      </c>
      <c r="P89" s="18"/>
    </row>
    <row r="90" spans="1:16" ht="16.5" customHeight="1">
      <c r="A90" s="10">
        <v>89</v>
      </c>
      <c r="B90" s="10">
        <v>31</v>
      </c>
      <c r="C90" s="10">
        <v>74</v>
      </c>
      <c r="D90" s="11" t="s">
        <v>3605</v>
      </c>
      <c r="E90" s="19" t="s">
        <v>3606</v>
      </c>
      <c r="F90" s="11" t="s">
        <v>3607</v>
      </c>
      <c r="G90" s="10" t="s">
        <v>2920</v>
      </c>
      <c r="H90" s="13" t="s">
        <v>3608</v>
      </c>
      <c r="I90" s="16" t="s">
        <v>82</v>
      </c>
      <c r="J90" s="17"/>
      <c r="K90" s="17"/>
      <c r="L90" s="17"/>
      <c r="M90" s="17"/>
      <c r="N90" s="18"/>
      <c r="O90" s="16" t="s">
        <v>83</v>
      </c>
      <c r="P90" s="18"/>
    </row>
    <row r="91" spans="1:16" ht="16.5" customHeight="1">
      <c r="A91" s="10">
        <v>90</v>
      </c>
      <c r="B91" s="10">
        <v>31</v>
      </c>
      <c r="C91" s="10">
        <v>75</v>
      </c>
      <c r="D91" s="11" t="s">
        <v>3606</v>
      </c>
      <c r="E91" s="12" t="s">
        <v>3607</v>
      </c>
      <c r="F91" s="11" t="s">
        <v>3609</v>
      </c>
      <c r="G91" s="10"/>
      <c r="H91" s="13" t="s">
        <v>3610</v>
      </c>
      <c r="I91" s="16" t="s">
        <v>82</v>
      </c>
      <c r="J91" s="17"/>
      <c r="K91" s="17"/>
      <c r="L91" s="17"/>
      <c r="M91" s="17"/>
      <c r="N91" s="18"/>
      <c r="O91" s="16" t="s">
        <v>83</v>
      </c>
      <c r="P91" s="18"/>
    </row>
    <row r="92" spans="1:16" ht="16.5" customHeight="1">
      <c r="A92" s="10">
        <v>91</v>
      </c>
      <c r="B92" s="10">
        <v>31</v>
      </c>
      <c r="C92" s="10">
        <v>84</v>
      </c>
      <c r="D92" s="11" t="s">
        <v>3611</v>
      </c>
      <c r="E92" s="12" t="s">
        <v>3612</v>
      </c>
      <c r="F92" s="11" t="s">
        <v>3613</v>
      </c>
      <c r="G92" s="10"/>
      <c r="H92" s="13" t="s">
        <v>3614</v>
      </c>
      <c r="I92" s="16" t="s">
        <v>82</v>
      </c>
      <c r="J92" s="17"/>
      <c r="K92" s="17"/>
      <c r="L92" s="17"/>
      <c r="M92" s="17"/>
      <c r="N92" s="18"/>
      <c r="O92" s="16" t="s">
        <v>83</v>
      </c>
      <c r="P92" s="18"/>
    </row>
    <row r="93" spans="1:16" ht="16.5" customHeight="1">
      <c r="A93" s="10">
        <v>92</v>
      </c>
      <c r="B93" s="10">
        <v>31</v>
      </c>
      <c r="C93" s="10">
        <v>85</v>
      </c>
      <c r="D93" s="11" t="s">
        <v>3612</v>
      </c>
      <c r="E93" s="19" t="s">
        <v>3613</v>
      </c>
      <c r="F93" s="11" t="s">
        <v>3615</v>
      </c>
      <c r="G93" s="10" t="s">
        <v>85</v>
      </c>
      <c r="H93" s="13" t="s">
        <v>3616</v>
      </c>
      <c r="I93" s="16" t="s">
        <v>89</v>
      </c>
      <c r="J93" s="17" t="s">
        <v>128</v>
      </c>
      <c r="K93" s="17" t="s">
        <v>91</v>
      </c>
      <c r="L93" s="17" t="s">
        <v>3617</v>
      </c>
      <c r="M93" s="17" t="s">
        <v>3618</v>
      </c>
      <c r="N93" s="18" t="s">
        <v>3619</v>
      </c>
      <c r="O93" s="16" t="s">
        <v>83</v>
      </c>
      <c r="P93" s="18"/>
    </row>
    <row r="94" spans="1:16" ht="16.5" customHeight="1">
      <c r="A94" s="10">
        <v>93</v>
      </c>
      <c r="B94" s="10">
        <v>31</v>
      </c>
      <c r="C94" s="10">
        <v>86</v>
      </c>
      <c r="D94" s="11" t="s">
        <v>3613</v>
      </c>
      <c r="E94" s="12" t="s">
        <v>3615</v>
      </c>
      <c r="F94" s="11" t="s">
        <v>3620</v>
      </c>
      <c r="G94" s="10"/>
      <c r="H94" s="13" t="s">
        <v>3621</v>
      </c>
      <c r="I94" s="16" t="s">
        <v>82</v>
      </c>
      <c r="J94" s="17"/>
      <c r="K94" s="17"/>
      <c r="L94" s="17"/>
      <c r="M94" s="17"/>
      <c r="N94" s="18"/>
      <c r="O94" s="16" t="s">
        <v>83</v>
      </c>
      <c r="P94" s="18"/>
    </row>
    <row r="95" spans="1:16" ht="16.5" customHeight="1">
      <c r="A95" s="10">
        <v>94</v>
      </c>
      <c r="B95" s="10">
        <v>33</v>
      </c>
      <c r="C95" s="10">
        <v>10</v>
      </c>
      <c r="D95" s="11" t="s">
        <v>3622</v>
      </c>
      <c r="E95" s="12" t="s">
        <v>3623</v>
      </c>
      <c r="F95" s="11" t="s">
        <v>3624</v>
      </c>
      <c r="G95" s="10"/>
      <c r="H95" s="13" t="s">
        <v>3625</v>
      </c>
      <c r="I95" s="16" t="s">
        <v>82</v>
      </c>
      <c r="J95" s="17"/>
      <c r="K95" s="17"/>
      <c r="L95" s="17"/>
      <c r="M95" s="17"/>
      <c r="N95" s="18"/>
      <c r="O95" s="16" t="s">
        <v>83</v>
      </c>
      <c r="P95" s="18"/>
    </row>
    <row r="96" spans="1:16" ht="16.5" customHeight="1">
      <c r="A96" s="10">
        <v>95</v>
      </c>
      <c r="B96" s="10">
        <v>33</v>
      </c>
      <c r="C96" s="10">
        <v>11</v>
      </c>
      <c r="D96" s="11" t="s">
        <v>3623</v>
      </c>
      <c r="E96" s="19" t="s">
        <v>3624</v>
      </c>
      <c r="F96" s="11" t="s">
        <v>3048</v>
      </c>
      <c r="G96" s="10" t="s">
        <v>2496</v>
      </c>
      <c r="H96" s="13" t="s">
        <v>3626</v>
      </c>
      <c r="I96" s="16" t="s">
        <v>82</v>
      </c>
      <c r="J96" s="17"/>
      <c r="K96" s="17"/>
      <c r="L96" s="17"/>
      <c r="M96" s="17"/>
      <c r="N96" s="18"/>
      <c r="O96" s="16" t="s">
        <v>83</v>
      </c>
      <c r="P96" s="18"/>
    </row>
    <row r="97" spans="1:16" ht="16.5" customHeight="1">
      <c r="A97" s="10">
        <v>96</v>
      </c>
      <c r="B97" s="10">
        <v>33</v>
      </c>
      <c r="C97" s="10">
        <v>12</v>
      </c>
      <c r="D97" s="11" t="s">
        <v>3624</v>
      </c>
      <c r="E97" s="12" t="s">
        <v>3048</v>
      </c>
      <c r="F97" s="11" t="s">
        <v>3627</v>
      </c>
      <c r="G97" s="10"/>
      <c r="H97" s="13" t="s">
        <v>3050</v>
      </c>
      <c r="I97" s="16" t="s">
        <v>82</v>
      </c>
      <c r="J97" s="17"/>
      <c r="K97" s="17"/>
      <c r="L97" s="17"/>
      <c r="M97" s="17"/>
      <c r="N97" s="18"/>
      <c r="O97" s="16" t="s">
        <v>83</v>
      </c>
      <c r="P97" s="18"/>
    </row>
    <row r="98" spans="1:16" ht="16.5" customHeight="1">
      <c r="A98" s="10">
        <v>97</v>
      </c>
      <c r="B98" s="10">
        <v>34</v>
      </c>
      <c r="C98" s="10">
        <v>84</v>
      </c>
      <c r="D98" s="11" t="s">
        <v>3628</v>
      </c>
      <c r="E98" s="12" t="s">
        <v>3629</v>
      </c>
      <c r="F98" s="11" t="s">
        <v>3630</v>
      </c>
      <c r="G98" s="10"/>
      <c r="H98" s="13" t="s">
        <v>3631</v>
      </c>
      <c r="I98" s="16" t="s">
        <v>82</v>
      </c>
      <c r="J98" s="17"/>
      <c r="K98" s="17"/>
      <c r="L98" s="17"/>
      <c r="M98" s="17"/>
      <c r="N98" s="18"/>
      <c r="O98" s="16" t="s">
        <v>83</v>
      </c>
      <c r="P98" s="18"/>
    </row>
    <row r="99" spans="1:16" ht="16.5" customHeight="1">
      <c r="A99" s="10">
        <v>98</v>
      </c>
      <c r="B99" s="10">
        <v>34</v>
      </c>
      <c r="C99" s="10">
        <v>85</v>
      </c>
      <c r="D99" s="11" t="s">
        <v>3629</v>
      </c>
      <c r="E99" s="19" t="s">
        <v>3630</v>
      </c>
      <c r="F99" s="11" t="s">
        <v>3632</v>
      </c>
      <c r="G99" s="10" t="s">
        <v>1957</v>
      </c>
      <c r="H99" s="13" t="s">
        <v>3633</v>
      </c>
      <c r="I99" s="16" t="s">
        <v>82</v>
      </c>
      <c r="J99" s="17"/>
      <c r="K99" s="17"/>
      <c r="L99" s="17"/>
      <c r="M99" s="17"/>
      <c r="N99" s="18"/>
      <c r="O99" s="16" t="s">
        <v>83</v>
      </c>
      <c r="P99" s="18"/>
    </row>
    <row r="100" spans="1:16" ht="16.5" customHeight="1">
      <c r="A100" s="10">
        <v>99</v>
      </c>
      <c r="B100" s="10">
        <v>34</v>
      </c>
      <c r="C100" s="10">
        <v>86</v>
      </c>
      <c r="D100" s="11" t="s">
        <v>3630</v>
      </c>
      <c r="E100" s="12" t="s">
        <v>3632</v>
      </c>
      <c r="F100" s="11" t="s">
        <v>3634</v>
      </c>
      <c r="G100" s="10"/>
      <c r="H100" s="13" t="s">
        <v>3635</v>
      </c>
      <c r="I100" s="16" t="s">
        <v>82</v>
      </c>
      <c r="J100" s="17"/>
      <c r="K100" s="17"/>
      <c r="L100" s="17"/>
      <c r="M100" s="17"/>
      <c r="N100" s="18"/>
      <c r="O100" s="16" t="s">
        <v>83</v>
      </c>
      <c r="P100" s="18"/>
    </row>
    <row r="101" spans="1:16" ht="16.5" customHeight="1">
      <c r="A101" s="10">
        <v>100</v>
      </c>
      <c r="B101" s="10">
        <v>34</v>
      </c>
      <c r="C101" s="10">
        <v>101</v>
      </c>
      <c r="D101" s="11" t="s">
        <v>3636</v>
      </c>
      <c r="E101" s="12" t="s">
        <v>3637</v>
      </c>
      <c r="F101" s="11" t="s">
        <v>3638</v>
      </c>
      <c r="G101" s="10"/>
      <c r="H101" s="13" t="s">
        <v>3639</v>
      </c>
      <c r="I101" s="16" t="s">
        <v>82</v>
      </c>
      <c r="J101" s="17"/>
      <c r="K101" s="17"/>
      <c r="L101" s="17"/>
      <c r="M101" s="17"/>
      <c r="N101" s="18"/>
      <c r="O101" s="16" t="s">
        <v>83</v>
      </c>
      <c r="P101" s="18"/>
    </row>
    <row r="102" spans="1:16" ht="16.5" customHeight="1">
      <c r="A102" s="10">
        <v>101</v>
      </c>
      <c r="B102" s="10">
        <v>34</v>
      </c>
      <c r="C102" s="10">
        <v>102</v>
      </c>
      <c r="D102" s="11" t="s">
        <v>3637</v>
      </c>
      <c r="E102" s="19" t="s">
        <v>3638</v>
      </c>
      <c r="F102" s="11" t="s">
        <v>3640</v>
      </c>
      <c r="G102" s="10" t="s">
        <v>1957</v>
      </c>
      <c r="H102" s="13" t="s">
        <v>3641</v>
      </c>
      <c r="I102" s="16" t="s">
        <v>82</v>
      </c>
      <c r="J102" s="17"/>
      <c r="K102" s="17"/>
      <c r="L102" s="17"/>
      <c r="M102" s="17"/>
      <c r="N102" s="18"/>
      <c r="O102" s="16" t="s">
        <v>83</v>
      </c>
      <c r="P102" s="18"/>
    </row>
    <row r="103" spans="1:16" ht="26.25" customHeight="1">
      <c r="A103" s="10">
        <v>102</v>
      </c>
      <c r="B103" s="10">
        <v>34</v>
      </c>
      <c r="C103" s="10">
        <v>103</v>
      </c>
      <c r="D103" s="11" t="s">
        <v>3638</v>
      </c>
      <c r="E103" s="12" t="s">
        <v>3640</v>
      </c>
      <c r="F103" s="11" t="s">
        <v>3642</v>
      </c>
      <c r="G103" s="10"/>
      <c r="H103" s="13" t="s">
        <v>3643</v>
      </c>
      <c r="I103" s="16" t="s">
        <v>82</v>
      </c>
      <c r="J103" s="17"/>
      <c r="K103" s="17"/>
      <c r="L103" s="17"/>
      <c r="M103" s="17"/>
      <c r="N103" s="18"/>
      <c r="O103" s="16" t="s">
        <v>83</v>
      </c>
      <c r="P103" s="18"/>
    </row>
    <row r="104" spans="1:16" ht="16.5" customHeight="1">
      <c r="A104" s="10">
        <v>103</v>
      </c>
      <c r="B104" s="10">
        <v>34</v>
      </c>
      <c r="C104" s="10">
        <v>104</v>
      </c>
      <c r="D104" s="11" t="s">
        <v>3640</v>
      </c>
      <c r="E104" s="12" t="s">
        <v>3642</v>
      </c>
      <c r="F104" s="11" t="s">
        <v>3644</v>
      </c>
      <c r="G104" s="10"/>
      <c r="H104" s="13" t="s">
        <v>3645</v>
      </c>
      <c r="I104" s="16" t="s">
        <v>82</v>
      </c>
      <c r="J104" s="17"/>
      <c r="K104" s="17"/>
      <c r="L104" s="17"/>
      <c r="M104" s="17"/>
      <c r="N104" s="18"/>
      <c r="O104" s="16" t="s">
        <v>83</v>
      </c>
      <c r="P104" s="18"/>
    </row>
    <row r="105" spans="1:16" ht="26.25" customHeight="1">
      <c r="A105" s="10">
        <v>104</v>
      </c>
      <c r="B105" s="10">
        <v>34</v>
      </c>
      <c r="C105" s="10">
        <v>105</v>
      </c>
      <c r="D105" s="11" t="s">
        <v>3642</v>
      </c>
      <c r="E105" s="19" t="s">
        <v>3644</v>
      </c>
      <c r="F105" s="11" t="s">
        <v>3646</v>
      </c>
      <c r="G105" s="10" t="s">
        <v>1957</v>
      </c>
      <c r="H105" s="13" t="s">
        <v>3647</v>
      </c>
      <c r="I105" s="16" t="s">
        <v>82</v>
      </c>
      <c r="J105" s="17"/>
      <c r="K105" s="17"/>
      <c r="L105" s="17"/>
      <c r="M105" s="17"/>
      <c r="N105" s="18"/>
      <c r="O105" s="16" t="s">
        <v>83</v>
      </c>
      <c r="P105" s="18"/>
    </row>
    <row r="106" spans="1:16" ht="16.5" customHeight="1">
      <c r="A106" s="10">
        <v>105</v>
      </c>
      <c r="B106" s="10">
        <v>34</v>
      </c>
      <c r="C106" s="10">
        <v>106</v>
      </c>
      <c r="D106" s="11" t="s">
        <v>3644</v>
      </c>
      <c r="E106" s="12" t="s">
        <v>3646</v>
      </c>
      <c r="F106" s="11" t="s">
        <v>3648</v>
      </c>
      <c r="G106" s="10"/>
      <c r="H106" s="13" t="s">
        <v>3649</v>
      </c>
      <c r="I106" s="16" t="s">
        <v>82</v>
      </c>
      <c r="J106" s="17"/>
      <c r="K106" s="17"/>
      <c r="L106" s="17"/>
      <c r="M106" s="17"/>
      <c r="N106" s="18"/>
      <c r="O106" s="16" t="s">
        <v>83</v>
      </c>
      <c r="P106" s="18"/>
    </row>
    <row r="107" spans="1:16" ht="16.5" customHeight="1">
      <c r="A107" s="10">
        <v>106</v>
      </c>
      <c r="B107" s="10">
        <v>34</v>
      </c>
      <c r="C107" s="10">
        <v>107</v>
      </c>
      <c r="D107" s="11" t="s">
        <v>3646</v>
      </c>
      <c r="E107" s="12" t="s">
        <v>3648</v>
      </c>
      <c r="F107" s="11" t="s">
        <v>3650</v>
      </c>
      <c r="G107" s="10"/>
      <c r="H107" s="13"/>
      <c r="I107" s="16" t="s">
        <v>82</v>
      </c>
      <c r="J107" s="17"/>
      <c r="K107" s="17"/>
      <c r="L107" s="17"/>
      <c r="M107" s="17"/>
      <c r="N107" s="18"/>
      <c r="O107" s="16" t="s">
        <v>83</v>
      </c>
      <c r="P107" s="18"/>
    </row>
    <row r="108" spans="1:16" ht="16.5" customHeight="1">
      <c r="A108" s="10">
        <v>107</v>
      </c>
      <c r="B108" s="10">
        <v>34</v>
      </c>
      <c r="C108" s="10">
        <v>108</v>
      </c>
      <c r="D108" s="11" t="s">
        <v>3648</v>
      </c>
      <c r="E108" s="19" t="s">
        <v>3650</v>
      </c>
      <c r="F108" s="11" t="s">
        <v>3651</v>
      </c>
      <c r="G108" s="10" t="s">
        <v>1957</v>
      </c>
      <c r="H108" s="13" t="s">
        <v>3652</v>
      </c>
      <c r="I108" s="16" t="s">
        <v>82</v>
      </c>
      <c r="J108" s="17"/>
      <c r="K108" s="17"/>
      <c r="L108" s="17"/>
      <c r="M108" s="17"/>
      <c r="N108" s="18"/>
      <c r="O108" s="16" t="s">
        <v>83</v>
      </c>
      <c r="P108" s="18"/>
    </row>
    <row r="109" spans="1:16" ht="16.5" customHeight="1">
      <c r="A109" s="10">
        <v>108</v>
      </c>
      <c r="B109" s="10">
        <v>34</v>
      </c>
      <c r="C109" s="10">
        <v>109</v>
      </c>
      <c r="D109" s="11" t="s">
        <v>3650</v>
      </c>
      <c r="E109" s="12" t="s">
        <v>3651</v>
      </c>
      <c r="F109" s="11" t="s">
        <v>3653</v>
      </c>
      <c r="G109" s="10"/>
      <c r="H109" s="13" t="s">
        <v>3654</v>
      </c>
      <c r="I109" s="16" t="s">
        <v>82</v>
      </c>
      <c r="J109" s="17"/>
      <c r="K109" s="17"/>
      <c r="L109" s="17"/>
      <c r="M109" s="17"/>
      <c r="N109" s="18"/>
      <c r="O109" s="16" t="s">
        <v>83</v>
      </c>
      <c r="P109" s="18"/>
    </row>
    <row r="110" spans="1:16" ht="16.5" customHeight="1">
      <c r="A110" s="10">
        <v>109</v>
      </c>
      <c r="B110" s="10">
        <v>34</v>
      </c>
      <c r="C110" s="10">
        <v>113</v>
      </c>
      <c r="D110" s="11" t="s">
        <v>3655</v>
      </c>
      <c r="E110" s="12" t="s">
        <v>3656</v>
      </c>
      <c r="F110" s="11" t="s">
        <v>3657</v>
      </c>
      <c r="G110" s="10"/>
      <c r="H110" s="13" t="s">
        <v>3658</v>
      </c>
      <c r="I110" s="16" t="s">
        <v>82</v>
      </c>
      <c r="J110" s="17"/>
      <c r="K110" s="17"/>
      <c r="L110" s="17"/>
      <c r="M110" s="17"/>
      <c r="N110" s="18"/>
      <c r="O110" s="16" t="s">
        <v>83</v>
      </c>
      <c r="P110" s="18"/>
    </row>
    <row r="111" spans="1:16" ht="16.5" customHeight="1">
      <c r="A111" s="10">
        <v>110</v>
      </c>
      <c r="B111" s="10">
        <v>34</v>
      </c>
      <c r="C111" s="10">
        <v>114</v>
      </c>
      <c r="D111" s="11" t="s">
        <v>3656</v>
      </c>
      <c r="E111" s="19" t="s">
        <v>3657</v>
      </c>
      <c r="F111" s="11" t="s">
        <v>3659</v>
      </c>
      <c r="G111" s="10" t="s">
        <v>1957</v>
      </c>
      <c r="H111" s="13" t="s">
        <v>3660</v>
      </c>
      <c r="I111" s="16" t="s">
        <v>82</v>
      </c>
      <c r="J111" s="17"/>
      <c r="K111" s="17"/>
      <c r="L111" s="17"/>
      <c r="M111" s="17"/>
      <c r="N111" s="18"/>
      <c r="O111" s="16" t="s">
        <v>83</v>
      </c>
      <c r="P111" s="18"/>
    </row>
    <row r="112" spans="1:16" ht="16.5" customHeight="1">
      <c r="A112" s="10">
        <v>111</v>
      </c>
      <c r="B112" s="10">
        <v>34</v>
      </c>
      <c r="C112" s="10">
        <v>115</v>
      </c>
      <c r="D112" s="11" t="s">
        <v>3657</v>
      </c>
      <c r="E112" s="12" t="s">
        <v>3659</v>
      </c>
      <c r="F112" s="11" t="s">
        <v>3661</v>
      </c>
      <c r="G112" s="10"/>
      <c r="H112" s="13" t="s">
        <v>3631</v>
      </c>
      <c r="I112" s="16" t="s">
        <v>82</v>
      </c>
      <c r="J112" s="17"/>
      <c r="K112" s="17"/>
      <c r="L112" s="17"/>
      <c r="M112" s="17"/>
      <c r="N112" s="18"/>
      <c r="O112" s="16" t="s">
        <v>83</v>
      </c>
      <c r="P112" s="18"/>
    </row>
    <row r="113" spans="1:16" ht="16.5" customHeight="1">
      <c r="A113" s="10">
        <v>112</v>
      </c>
      <c r="B113" s="10">
        <v>34</v>
      </c>
      <c r="C113" s="10">
        <v>182</v>
      </c>
      <c r="D113" s="11" t="s">
        <v>3662</v>
      </c>
      <c r="E113" s="12" t="s">
        <v>3663</v>
      </c>
      <c r="F113" s="11" t="s">
        <v>3664</v>
      </c>
      <c r="G113" s="10"/>
      <c r="H113" s="13" t="s">
        <v>3665</v>
      </c>
      <c r="I113" s="16" t="s">
        <v>82</v>
      </c>
      <c r="J113" s="17"/>
      <c r="K113" s="17"/>
      <c r="L113" s="17"/>
      <c r="M113" s="17"/>
      <c r="N113" s="18"/>
      <c r="O113" s="16" t="s">
        <v>83</v>
      </c>
      <c r="P113" s="18"/>
    </row>
    <row r="114" spans="1:16" ht="16.5" customHeight="1">
      <c r="A114" s="10">
        <v>113</v>
      </c>
      <c r="B114" s="10">
        <v>34</v>
      </c>
      <c r="C114" s="10">
        <v>183</v>
      </c>
      <c r="D114" s="11" t="s">
        <v>3663</v>
      </c>
      <c r="E114" s="19" t="s">
        <v>3664</v>
      </c>
      <c r="F114" s="11" t="s">
        <v>3666</v>
      </c>
      <c r="G114" s="10" t="s">
        <v>1957</v>
      </c>
      <c r="H114" s="13" t="s">
        <v>3667</v>
      </c>
      <c r="I114" s="16" t="s">
        <v>82</v>
      </c>
      <c r="J114" s="17"/>
      <c r="K114" s="17"/>
      <c r="L114" s="17"/>
      <c r="M114" s="17"/>
      <c r="N114" s="18"/>
      <c r="O114" s="16" t="s">
        <v>83</v>
      </c>
      <c r="P114" s="18"/>
    </row>
    <row r="115" spans="1:16" ht="16.5" customHeight="1">
      <c r="A115" s="10">
        <v>114</v>
      </c>
      <c r="B115" s="10">
        <v>34</v>
      </c>
      <c r="C115" s="10">
        <v>184</v>
      </c>
      <c r="D115" s="11" t="s">
        <v>3664</v>
      </c>
      <c r="E115" s="12" t="s">
        <v>3666</v>
      </c>
      <c r="F115" s="11" t="s">
        <v>3668</v>
      </c>
      <c r="G115" s="10"/>
      <c r="H115" s="13" t="s">
        <v>3669</v>
      </c>
      <c r="I115" s="16" t="s">
        <v>82</v>
      </c>
      <c r="J115" s="17"/>
      <c r="K115" s="17"/>
      <c r="L115" s="17"/>
      <c r="M115" s="17"/>
      <c r="N115" s="18"/>
      <c r="O115" s="16" t="s">
        <v>83</v>
      </c>
      <c r="P115" s="18"/>
    </row>
    <row r="116" spans="1:16" ht="16.5" customHeight="1">
      <c r="A116" s="10">
        <v>115</v>
      </c>
      <c r="B116" s="10">
        <v>34</v>
      </c>
      <c r="C116" s="10">
        <v>188</v>
      </c>
      <c r="D116" s="11" t="s">
        <v>3670</v>
      </c>
      <c r="E116" s="12" t="s">
        <v>3671</v>
      </c>
      <c r="F116" s="11" t="s">
        <v>3672</v>
      </c>
      <c r="G116" s="10"/>
      <c r="H116" s="13" t="s">
        <v>3673</v>
      </c>
      <c r="I116" s="16" t="s">
        <v>82</v>
      </c>
      <c r="J116" s="17"/>
      <c r="K116" s="17"/>
      <c r="L116" s="17"/>
      <c r="M116" s="17"/>
      <c r="N116" s="18"/>
      <c r="O116" s="16" t="s">
        <v>83</v>
      </c>
      <c r="P116" s="18"/>
    </row>
    <row r="117" spans="1:16" ht="16.5" customHeight="1">
      <c r="A117" s="10">
        <v>116</v>
      </c>
      <c r="B117" s="10">
        <v>34</v>
      </c>
      <c r="C117" s="10">
        <v>189</v>
      </c>
      <c r="D117" s="11" t="s">
        <v>3671</v>
      </c>
      <c r="E117" s="19" t="s">
        <v>3672</v>
      </c>
      <c r="F117" s="11" t="s">
        <v>3674</v>
      </c>
      <c r="G117" s="10" t="s">
        <v>106</v>
      </c>
      <c r="H117" s="13" t="s">
        <v>3675</v>
      </c>
      <c r="I117" s="16" t="s">
        <v>82</v>
      </c>
      <c r="J117" s="17"/>
      <c r="K117" s="17"/>
      <c r="L117" s="17"/>
      <c r="M117" s="17"/>
      <c r="N117" s="18"/>
      <c r="O117" s="16" t="s">
        <v>83</v>
      </c>
      <c r="P117" s="18"/>
    </row>
    <row r="118" spans="1:16" ht="16.5" customHeight="1">
      <c r="A118" s="10">
        <v>117</v>
      </c>
      <c r="B118" s="10">
        <v>34</v>
      </c>
      <c r="C118" s="10">
        <v>190</v>
      </c>
      <c r="D118" s="11" t="s">
        <v>3672</v>
      </c>
      <c r="E118" s="12" t="s">
        <v>3674</v>
      </c>
      <c r="F118" s="11" t="s">
        <v>3676</v>
      </c>
      <c r="G118" s="10"/>
      <c r="H118" s="13" t="s">
        <v>3677</v>
      </c>
      <c r="I118" s="16" t="s">
        <v>82</v>
      </c>
      <c r="J118" s="17"/>
      <c r="K118" s="17"/>
      <c r="L118" s="17"/>
      <c r="M118" s="17"/>
      <c r="N118" s="18"/>
      <c r="O118" s="16" t="s">
        <v>83</v>
      </c>
      <c r="P118" s="18"/>
    </row>
    <row r="119" spans="1:16" ht="16.5" customHeight="1">
      <c r="A119" s="10">
        <v>118</v>
      </c>
      <c r="B119" s="10">
        <v>34</v>
      </c>
      <c r="C119" s="10">
        <v>193</v>
      </c>
      <c r="D119" s="11" t="s">
        <v>3678</v>
      </c>
      <c r="E119" s="12" t="s">
        <v>3679</v>
      </c>
      <c r="F119" s="11" t="s">
        <v>3680</v>
      </c>
      <c r="G119" s="10"/>
      <c r="H119" s="13" t="s">
        <v>3681</v>
      </c>
      <c r="I119" s="16" t="s">
        <v>82</v>
      </c>
      <c r="J119" s="17"/>
      <c r="K119" s="17"/>
      <c r="L119" s="17"/>
      <c r="M119" s="17"/>
      <c r="N119" s="18"/>
      <c r="O119" s="16" t="s">
        <v>83</v>
      </c>
      <c r="P119" s="18"/>
    </row>
    <row r="120" spans="1:16" ht="16.5" customHeight="1">
      <c r="A120" s="10">
        <v>119</v>
      </c>
      <c r="B120" s="10">
        <v>34</v>
      </c>
      <c r="C120" s="10">
        <v>194</v>
      </c>
      <c r="D120" s="11" t="s">
        <v>3679</v>
      </c>
      <c r="E120" s="19" t="s">
        <v>3680</v>
      </c>
      <c r="F120" s="11" t="s">
        <v>3682</v>
      </c>
      <c r="G120" s="10" t="s">
        <v>3253</v>
      </c>
      <c r="H120" s="13" t="s">
        <v>3683</v>
      </c>
      <c r="I120" s="16" t="s">
        <v>82</v>
      </c>
      <c r="J120" s="17"/>
      <c r="K120" s="17"/>
      <c r="L120" s="17"/>
      <c r="M120" s="17"/>
      <c r="N120" s="18"/>
      <c r="O120" s="16" t="s">
        <v>83</v>
      </c>
      <c r="P120" s="18"/>
    </row>
    <row r="121" spans="1:16" ht="16.5" customHeight="1">
      <c r="A121" s="10">
        <v>120</v>
      </c>
      <c r="B121" s="10">
        <v>34</v>
      </c>
      <c r="C121" s="10">
        <v>195</v>
      </c>
      <c r="D121" s="11" t="s">
        <v>3680</v>
      </c>
      <c r="E121" s="12" t="s">
        <v>3682</v>
      </c>
      <c r="F121" s="11" t="s">
        <v>3048</v>
      </c>
      <c r="G121" s="10"/>
      <c r="H121" s="13" t="s">
        <v>3684</v>
      </c>
      <c r="I121" s="16" t="s">
        <v>82</v>
      </c>
      <c r="J121" s="17"/>
      <c r="K121" s="17"/>
      <c r="L121" s="17"/>
      <c r="M121" s="17"/>
      <c r="N121" s="18"/>
      <c r="O121" s="16" t="s">
        <v>83</v>
      </c>
      <c r="P121" s="18"/>
    </row>
    <row r="122" spans="1:16" ht="16.5" customHeight="1">
      <c r="A122" s="10">
        <v>121</v>
      </c>
      <c r="B122" s="10">
        <v>35</v>
      </c>
      <c r="C122" s="10">
        <v>23</v>
      </c>
      <c r="D122" s="11" t="s">
        <v>3685</v>
      </c>
      <c r="E122" s="12" t="s">
        <v>3686</v>
      </c>
      <c r="F122" s="11" t="s">
        <v>3687</v>
      </c>
      <c r="G122" s="10"/>
      <c r="H122" s="13" t="s">
        <v>3688</v>
      </c>
      <c r="I122" s="16" t="s">
        <v>82</v>
      </c>
      <c r="J122" s="17"/>
      <c r="K122" s="17"/>
      <c r="L122" s="17"/>
      <c r="M122" s="17"/>
      <c r="N122" s="18"/>
      <c r="O122" s="16" t="s">
        <v>83</v>
      </c>
      <c r="P122" s="18"/>
    </row>
    <row r="123" spans="1:16" ht="16.5" customHeight="1">
      <c r="A123" s="10">
        <v>122</v>
      </c>
      <c r="B123" s="10">
        <v>35</v>
      </c>
      <c r="C123" s="10">
        <v>24</v>
      </c>
      <c r="D123" s="11" t="s">
        <v>3686</v>
      </c>
      <c r="E123" s="19" t="s">
        <v>3687</v>
      </c>
      <c r="F123" s="11" t="s">
        <v>3689</v>
      </c>
      <c r="G123" s="10" t="s">
        <v>106</v>
      </c>
      <c r="H123" s="13" t="s">
        <v>3690</v>
      </c>
      <c r="I123" s="16" t="s">
        <v>82</v>
      </c>
      <c r="J123" s="17"/>
      <c r="K123" s="17"/>
      <c r="L123" s="17"/>
      <c r="M123" s="17"/>
      <c r="N123" s="18"/>
      <c r="O123" s="16" t="s">
        <v>83</v>
      </c>
      <c r="P123" s="18"/>
    </row>
    <row r="124" spans="1:16" ht="16.5" customHeight="1">
      <c r="A124" s="10">
        <v>123</v>
      </c>
      <c r="B124" s="10">
        <v>35</v>
      </c>
      <c r="C124" s="10">
        <v>25</v>
      </c>
      <c r="D124" s="11" t="s">
        <v>3687</v>
      </c>
      <c r="E124" s="12" t="s">
        <v>3689</v>
      </c>
      <c r="F124" s="11" t="s">
        <v>3691</v>
      </c>
      <c r="G124" s="10"/>
      <c r="H124" s="13" t="s">
        <v>3692</v>
      </c>
      <c r="I124" s="16" t="s">
        <v>82</v>
      </c>
      <c r="J124" s="17"/>
      <c r="K124" s="17"/>
      <c r="L124" s="17"/>
      <c r="M124" s="17"/>
      <c r="N124" s="18"/>
      <c r="O124" s="16" t="s">
        <v>83</v>
      </c>
      <c r="P124" s="18"/>
    </row>
    <row r="125" spans="1:16" ht="16.5" customHeight="1">
      <c r="A125" s="10">
        <v>124</v>
      </c>
      <c r="B125" s="10">
        <v>37</v>
      </c>
      <c r="C125" s="10">
        <v>16</v>
      </c>
      <c r="D125" s="11" t="s">
        <v>3693</v>
      </c>
      <c r="E125" s="12" t="s">
        <v>3694</v>
      </c>
      <c r="F125" s="11" t="s">
        <v>3695</v>
      </c>
      <c r="G125" s="10"/>
      <c r="H125" s="13" t="s">
        <v>3696</v>
      </c>
      <c r="I125" s="16" t="s">
        <v>82</v>
      </c>
      <c r="J125" s="17"/>
      <c r="K125" s="17"/>
      <c r="L125" s="17"/>
      <c r="M125" s="17"/>
      <c r="N125" s="18"/>
      <c r="O125" s="16" t="s">
        <v>83</v>
      </c>
      <c r="P125" s="18"/>
    </row>
    <row r="126" spans="1:16" ht="16.5" customHeight="1">
      <c r="A126" s="10">
        <v>125</v>
      </c>
      <c r="B126" s="10">
        <v>37</v>
      </c>
      <c r="C126" s="10">
        <v>17</v>
      </c>
      <c r="D126" s="11" t="s">
        <v>3694</v>
      </c>
      <c r="E126" s="19" t="s">
        <v>3695</v>
      </c>
      <c r="F126" s="11" t="s">
        <v>3697</v>
      </c>
      <c r="G126" s="10" t="s">
        <v>397</v>
      </c>
      <c r="H126" s="13" t="s">
        <v>2151</v>
      </c>
      <c r="I126" s="16" t="s">
        <v>89</v>
      </c>
      <c r="J126" s="17" t="s">
        <v>368</v>
      </c>
      <c r="K126" s="17" t="s">
        <v>1961</v>
      </c>
      <c r="L126" s="17" t="s">
        <v>3695</v>
      </c>
      <c r="M126" s="17" t="s">
        <v>3698</v>
      </c>
      <c r="N126" s="18" t="s">
        <v>3699</v>
      </c>
      <c r="O126" s="16" t="s">
        <v>83</v>
      </c>
      <c r="P126" s="18"/>
    </row>
    <row r="127" spans="1:16" ht="16.5" customHeight="1">
      <c r="A127" s="10">
        <v>126</v>
      </c>
      <c r="B127" s="10">
        <v>37</v>
      </c>
      <c r="C127" s="10">
        <v>18</v>
      </c>
      <c r="D127" s="11" t="s">
        <v>3695</v>
      </c>
      <c r="E127" s="12" t="s">
        <v>3697</v>
      </c>
      <c r="F127" s="11" t="s">
        <v>3700</v>
      </c>
      <c r="G127" s="10"/>
      <c r="H127" s="13" t="s">
        <v>3701</v>
      </c>
      <c r="I127" s="16" t="s">
        <v>82</v>
      </c>
      <c r="J127" s="17"/>
      <c r="K127" s="17"/>
      <c r="L127" s="17"/>
      <c r="M127" s="17"/>
      <c r="N127" s="18"/>
      <c r="O127" s="16" t="s">
        <v>83</v>
      </c>
      <c r="P127" s="18"/>
    </row>
    <row r="128" spans="1:16" ht="16.5" customHeight="1">
      <c r="A128" s="10">
        <v>127</v>
      </c>
      <c r="B128" s="10">
        <v>38</v>
      </c>
      <c r="C128" s="10">
        <v>11</v>
      </c>
      <c r="D128" s="11" t="s">
        <v>3702</v>
      </c>
      <c r="E128" s="12" t="s">
        <v>3703</v>
      </c>
      <c r="F128" s="11" t="s">
        <v>3704</v>
      </c>
      <c r="G128" s="10"/>
      <c r="H128" s="13" t="s">
        <v>3705</v>
      </c>
      <c r="I128" s="16" t="s">
        <v>82</v>
      </c>
      <c r="J128" s="17"/>
      <c r="K128" s="17"/>
      <c r="L128" s="17"/>
      <c r="M128" s="17"/>
      <c r="N128" s="18"/>
      <c r="O128" s="16" t="s">
        <v>83</v>
      </c>
      <c r="P128" s="18"/>
    </row>
    <row r="129" spans="1:16" ht="16.5" customHeight="1">
      <c r="A129" s="10">
        <v>128</v>
      </c>
      <c r="B129" s="10">
        <v>38</v>
      </c>
      <c r="C129" s="10">
        <v>12</v>
      </c>
      <c r="D129" s="11" t="s">
        <v>3703</v>
      </c>
      <c r="E129" s="19" t="s">
        <v>3704</v>
      </c>
      <c r="F129" s="11" t="s">
        <v>3706</v>
      </c>
      <c r="G129" s="10" t="s">
        <v>106</v>
      </c>
      <c r="H129" s="13" t="s">
        <v>3707</v>
      </c>
      <c r="I129" s="16" t="s">
        <v>82</v>
      </c>
      <c r="J129" s="17"/>
      <c r="K129" s="17"/>
      <c r="L129" s="17"/>
      <c r="M129" s="17"/>
      <c r="N129" s="18"/>
      <c r="O129" s="16" t="s">
        <v>83</v>
      </c>
      <c r="P129" s="18"/>
    </row>
    <row r="130" spans="1:16" ht="16.5" customHeight="1">
      <c r="A130" s="10">
        <v>129</v>
      </c>
      <c r="B130" s="10">
        <v>38</v>
      </c>
      <c r="C130" s="10">
        <v>13</v>
      </c>
      <c r="D130" s="11" t="s">
        <v>3704</v>
      </c>
      <c r="E130" s="12" t="s">
        <v>3706</v>
      </c>
      <c r="F130" s="11" t="s">
        <v>3708</v>
      </c>
      <c r="G130" s="10"/>
      <c r="H130" s="13" t="s">
        <v>3709</v>
      </c>
      <c r="I130" s="16" t="s">
        <v>82</v>
      </c>
      <c r="J130" s="17"/>
      <c r="K130" s="17"/>
      <c r="L130" s="17"/>
      <c r="M130" s="17"/>
      <c r="N130" s="18"/>
      <c r="O130" s="16" t="s">
        <v>83</v>
      </c>
      <c r="P130" s="18"/>
    </row>
    <row r="131" spans="1:16" ht="16.5" customHeight="1">
      <c r="A131" s="10">
        <v>130</v>
      </c>
      <c r="B131" s="10">
        <v>38</v>
      </c>
      <c r="C131" s="10">
        <v>14</v>
      </c>
      <c r="D131" s="11" t="s">
        <v>3706</v>
      </c>
      <c r="E131" s="12" t="s">
        <v>3708</v>
      </c>
      <c r="F131" s="11" t="s">
        <v>3710</v>
      </c>
      <c r="G131" s="10"/>
      <c r="H131" s="13" t="s">
        <v>3625</v>
      </c>
      <c r="I131" s="16" t="s">
        <v>82</v>
      </c>
      <c r="J131" s="17"/>
      <c r="K131" s="17"/>
      <c r="L131" s="17"/>
      <c r="M131" s="17"/>
      <c r="N131" s="18"/>
      <c r="O131" s="16" t="s">
        <v>83</v>
      </c>
      <c r="P131" s="18"/>
    </row>
    <row r="132" spans="1:16" ht="16.5" customHeight="1">
      <c r="A132" s="10">
        <v>131</v>
      </c>
      <c r="B132" s="10">
        <v>38</v>
      </c>
      <c r="C132" s="10">
        <v>15</v>
      </c>
      <c r="D132" s="11" t="s">
        <v>3708</v>
      </c>
      <c r="E132" s="19" t="s">
        <v>3710</v>
      </c>
      <c r="F132" s="11" t="s">
        <v>3711</v>
      </c>
      <c r="G132" s="10" t="s">
        <v>106</v>
      </c>
      <c r="H132" s="13" t="s">
        <v>3712</v>
      </c>
      <c r="I132" s="16" t="s">
        <v>82</v>
      </c>
      <c r="J132" s="17"/>
      <c r="K132" s="17"/>
      <c r="L132" s="17"/>
      <c r="M132" s="17"/>
      <c r="N132" s="18"/>
      <c r="O132" s="16" t="s">
        <v>83</v>
      </c>
      <c r="P132" s="18"/>
    </row>
    <row r="133" spans="1:16" ht="16.5" customHeight="1">
      <c r="A133" s="10">
        <v>132</v>
      </c>
      <c r="B133" s="10">
        <v>38</v>
      </c>
      <c r="C133" s="10">
        <v>16</v>
      </c>
      <c r="D133" s="11" t="s">
        <v>3710</v>
      </c>
      <c r="E133" s="12" t="s">
        <v>3711</v>
      </c>
      <c r="F133" s="11" t="s">
        <v>3713</v>
      </c>
      <c r="G133" s="10"/>
      <c r="H133" s="13" t="s">
        <v>3714</v>
      </c>
      <c r="I133" s="16" t="s">
        <v>82</v>
      </c>
      <c r="J133" s="17"/>
      <c r="K133" s="17"/>
      <c r="L133" s="17"/>
      <c r="M133" s="17"/>
      <c r="N133" s="18"/>
      <c r="O133" s="16" t="s">
        <v>83</v>
      </c>
      <c r="P133" s="18"/>
    </row>
    <row r="134" spans="1:16" ht="16.5" customHeight="1">
      <c r="A134" s="10">
        <v>133</v>
      </c>
      <c r="B134" s="10">
        <v>38</v>
      </c>
      <c r="C134" s="10">
        <v>34</v>
      </c>
      <c r="D134" s="11" t="s">
        <v>3715</v>
      </c>
      <c r="E134" s="12" t="s">
        <v>3716</v>
      </c>
      <c r="F134" s="11" t="s">
        <v>3717</v>
      </c>
      <c r="G134" s="10"/>
      <c r="H134" s="13" t="s">
        <v>3718</v>
      </c>
      <c r="I134" s="16" t="s">
        <v>82</v>
      </c>
      <c r="J134" s="17"/>
      <c r="K134" s="17"/>
      <c r="L134" s="17"/>
      <c r="M134" s="17"/>
      <c r="N134" s="18"/>
      <c r="O134" s="16" t="s">
        <v>83</v>
      </c>
      <c r="P134" s="18"/>
    </row>
    <row r="135" spans="1:16" ht="16.5" customHeight="1">
      <c r="A135" s="10">
        <v>134</v>
      </c>
      <c r="B135" s="10">
        <v>38</v>
      </c>
      <c r="C135" s="10">
        <v>35</v>
      </c>
      <c r="D135" s="11" t="s">
        <v>3716</v>
      </c>
      <c r="E135" s="19" t="s">
        <v>3717</v>
      </c>
      <c r="F135" s="11" t="s">
        <v>3719</v>
      </c>
      <c r="G135" s="10" t="s">
        <v>106</v>
      </c>
      <c r="H135" s="13" t="s">
        <v>3720</v>
      </c>
      <c r="I135" s="16" t="s">
        <v>82</v>
      </c>
      <c r="J135" s="17"/>
      <c r="K135" s="17"/>
      <c r="L135" s="17"/>
      <c r="M135" s="17"/>
      <c r="N135" s="18"/>
      <c r="O135" s="16" t="s">
        <v>83</v>
      </c>
      <c r="P135" s="18"/>
    </row>
    <row r="136" spans="1:16" ht="16.5" customHeight="1">
      <c r="A136" s="10">
        <v>135</v>
      </c>
      <c r="B136" s="10">
        <v>38</v>
      </c>
      <c r="C136" s="10">
        <v>36</v>
      </c>
      <c r="D136" s="11" t="s">
        <v>3717</v>
      </c>
      <c r="E136" s="12" t="s">
        <v>3719</v>
      </c>
      <c r="F136" s="11" t="s">
        <v>3721</v>
      </c>
      <c r="G136" s="10"/>
      <c r="H136" s="13" t="s">
        <v>3722</v>
      </c>
      <c r="I136" s="16" t="s">
        <v>82</v>
      </c>
      <c r="J136" s="17"/>
      <c r="K136" s="17"/>
      <c r="L136" s="17"/>
      <c r="M136" s="17"/>
      <c r="N136" s="18"/>
      <c r="O136" s="16" t="s">
        <v>83</v>
      </c>
      <c r="P136" s="18"/>
    </row>
    <row r="137" spans="1:16" ht="16.5" customHeight="1">
      <c r="A137" s="10">
        <v>136</v>
      </c>
      <c r="B137" s="10">
        <v>39</v>
      </c>
      <c r="C137" s="10">
        <v>17</v>
      </c>
      <c r="D137" s="11" t="s">
        <v>3723</v>
      </c>
      <c r="E137" s="12" t="s">
        <v>3724</v>
      </c>
      <c r="F137" s="11" t="s">
        <v>3725</v>
      </c>
      <c r="G137" s="10"/>
      <c r="H137" s="13" t="s">
        <v>3726</v>
      </c>
      <c r="I137" s="16" t="s">
        <v>82</v>
      </c>
      <c r="J137" s="17"/>
      <c r="K137" s="17"/>
      <c r="L137" s="17"/>
      <c r="M137" s="17"/>
      <c r="N137" s="18"/>
      <c r="O137" s="16" t="s">
        <v>83</v>
      </c>
      <c r="P137" s="18"/>
    </row>
    <row r="138" spans="1:16" ht="16.5" customHeight="1">
      <c r="A138" s="10">
        <v>137</v>
      </c>
      <c r="B138" s="10">
        <v>39</v>
      </c>
      <c r="C138" s="10">
        <v>18</v>
      </c>
      <c r="D138" s="11" t="s">
        <v>3724</v>
      </c>
      <c r="E138" s="19" t="s">
        <v>3725</v>
      </c>
      <c r="F138" s="11" t="s">
        <v>3727</v>
      </c>
      <c r="G138" s="10" t="s">
        <v>2496</v>
      </c>
      <c r="H138" s="13" t="s">
        <v>3728</v>
      </c>
      <c r="I138" s="16" t="s">
        <v>82</v>
      </c>
      <c r="J138" s="17"/>
      <c r="K138" s="17"/>
      <c r="L138" s="17"/>
      <c r="M138" s="17"/>
      <c r="N138" s="18"/>
      <c r="O138" s="16" t="s">
        <v>83</v>
      </c>
      <c r="P138" s="18"/>
    </row>
    <row r="139" spans="1:16" ht="16.5" customHeight="1">
      <c r="A139" s="10">
        <v>138</v>
      </c>
      <c r="B139" s="10">
        <v>39</v>
      </c>
      <c r="C139" s="10">
        <v>19</v>
      </c>
      <c r="D139" s="11" t="s">
        <v>3725</v>
      </c>
      <c r="E139" s="12" t="s">
        <v>3727</v>
      </c>
      <c r="F139" s="11" t="s">
        <v>3729</v>
      </c>
      <c r="G139" s="10"/>
      <c r="H139" s="13" t="s">
        <v>3730</v>
      </c>
      <c r="I139" s="16" t="s">
        <v>82</v>
      </c>
      <c r="J139" s="17"/>
      <c r="K139" s="17"/>
      <c r="L139" s="17"/>
      <c r="M139" s="17"/>
      <c r="N139" s="18"/>
      <c r="O139" s="16" t="s">
        <v>83</v>
      </c>
      <c r="P139" s="18"/>
    </row>
    <row r="140" spans="1:16" ht="16.5" customHeight="1">
      <c r="A140" s="10">
        <v>139</v>
      </c>
      <c r="B140" s="10">
        <v>39</v>
      </c>
      <c r="C140" s="10">
        <v>81</v>
      </c>
      <c r="D140" s="11" t="s">
        <v>3731</v>
      </c>
      <c r="E140" s="12" t="s">
        <v>3732</v>
      </c>
      <c r="F140" s="11" t="s">
        <v>3733</v>
      </c>
      <c r="G140" s="10"/>
      <c r="H140" s="13" t="s">
        <v>3734</v>
      </c>
      <c r="I140" s="16" t="s">
        <v>82</v>
      </c>
      <c r="J140" s="17"/>
      <c r="K140" s="17"/>
      <c r="L140" s="17"/>
      <c r="M140" s="17"/>
      <c r="N140" s="18"/>
      <c r="O140" s="16" t="s">
        <v>83</v>
      </c>
      <c r="P140" s="18"/>
    </row>
    <row r="141" spans="1:16" ht="16.5" customHeight="1">
      <c r="A141" s="10">
        <v>140</v>
      </c>
      <c r="B141" s="10">
        <v>39</v>
      </c>
      <c r="C141" s="10">
        <v>82</v>
      </c>
      <c r="D141" s="11" t="s">
        <v>3732</v>
      </c>
      <c r="E141" s="19" t="s">
        <v>3733</v>
      </c>
      <c r="F141" s="11" t="s">
        <v>3735</v>
      </c>
      <c r="G141" s="10" t="s">
        <v>2496</v>
      </c>
      <c r="H141" s="13" t="s">
        <v>3736</v>
      </c>
      <c r="I141" s="16" t="s">
        <v>82</v>
      </c>
      <c r="J141" s="17"/>
      <c r="K141" s="17"/>
      <c r="L141" s="17"/>
      <c r="M141" s="17"/>
      <c r="N141" s="18"/>
      <c r="O141" s="16" t="s">
        <v>83</v>
      </c>
      <c r="P141" s="18"/>
    </row>
    <row r="142" spans="1:16" ht="16.5" customHeight="1">
      <c r="A142" s="10">
        <v>141</v>
      </c>
      <c r="B142" s="10">
        <v>39</v>
      </c>
      <c r="C142" s="10">
        <v>83</v>
      </c>
      <c r="D142" s="11" t="s">
        <v>3733</v>
      </c>
      <c r="E142" s="12" t="s">
        <v>3735</v>
      </c>
      <c r="F142" s="11" t="s">
        <v>3737</v>
      </c>
      <c r="G142" s="10"/>
      <c r="H142" s="13" t="s">
        <v>3738</v>
      </c>
      <c r="I142" s="16" t="s">
        <v>82</v>
      </c>
      <c r="J142" s="17"/>
      <c r="K142" s="17"/>
      <c r="L142" s="17"/>
      <c r="M142" s="17"/>
      <c r="N142" s="18"/>
      <c r="O142" s="16" t="s">
        <v>83</v>
      </c>
      <c r="P142" s="18"/>
    </row>
    <row r="143" spans="1:16" ht="16.5" customHeight="1">
      <c r="A143" s="10">
        <v>142</v>
      </c>
      <c r="B143" s="10">
        <v>39</v>
      </c>
      <c r="C143" s="10">
        <v>100</v>
      </c>
      <c r="D143" s="11" t="s">
        <v>3739</v>
      </c>
      <c r="E143" s="12" t="s">
        <v>3740</v>
      </c>
      <c r="F143" s="11" t="s">
        <v>3741</v>
      </c>
      <c r="G143" s="10"/>
      <c r="H143" s="13"/>
      <c r="I143" s="16" t="s">
        <v>82</v>
      </c>
      <c r="J143" s="17"/>
      <c r="K143" s="17"/>
      <c r="L143" s="17"/>
      <c r="M143" s="17"/>
      <c r="N143" s="18"/>
      <c r="O143" s="16" t="s">
        <v>83</v>
      </c>
      <c r="P143" s="18"/>
    </row>
    <row r="144" spans="1:16" ht="16.5" customHeight="1">
      <c r="A144" s="10">
        <v>143</v>
      </c>
      <c r="B144" s="10">
        <v>39</v>
      </c>
      <c r="C144" s="10">
        <v>101</v>
      </c>
      <c r="D144" s="11" t="s">
        <v>3740</v>
      </c>
      <c r="E144" s="19" t="s">
        <v>3741</v>
      </c>
      <c r="F144" s="11" t="s">
        <v>3048</v>
      </c>
      <c r="G144" s="10" t="s">
        <v>397</v>
      </c>
      <c r="H144" s="13" t="s">
        <v>3742</v>
      </c>
      <c r="I144" s="16" t="s">
        <v>89</v>
      </c>
      <c r="J144" s="17" t="s">
        <v>368</v>
      </c>
      <c r="K144" s="17" t="s">
        <v>1961</v>
      </c>
      <c r="L144" s="17" t="s">
        <v>3743</v>
      </c>
      <c r="M144" s="17" t="s">
        <v>3744</v>
      </c>
      <c r="N144" s="18" t="s">
        <v>3745</v>
      </c>
      <c r="O144" s="16" t="s">
        <v>83</v>
      </c>
      <c r="P144" s="18"/>
    </row>
    <row r="145" spans="1:16" ht="16.5" customHeight="1">
      <c r="A145" s="10">
        <v>144</v>
      </c>
      <c r="B145" s="10">
        <v>39</v>
      </c>
      <c r="C145" s="10">
        <v>102</v>
      </c>
      <c r="D145" s="11" t="s">
        <v>3741</v>
      </c>
      <c r="E145" s="12" t="s">
        <v>3048</v>
      </c>
      <c r="F145" s="11" t="s">
        <v>3746</v>
      </c>
      <c r="G145" s="10"/>
      <c r="H145" s="13" t="s">
        <v>3050</v>
      </c>
      <c r="I145" s="16" t="s">
        <v>82</v>
      </c>
      <c r="J145" s="17"/>
      <c r="K145" s="17"/>
      <c r="L145" s="17"/>
      <c r="M145" s="17"/>
      <c r="N145" s="18"/>
      <c r="O145" s="16" t="s">
        <v>83</v>
      </c>
      <c r="P145" s="18"/>
    </row>
    <row r="146" spans="1:16" ht="16.5" customHeight="1">
      <c r="A146" s="10">
        <v>145</v>
      </c>
      <c r="B146" s="10">
        <v>40</v>
      </c>
      <c r="C146" s="10">
        <v>9</v>
      </c>
      <c r="D146" s="11" t="s">
        <v>3048</v>
      </c>
      <c r="E146" s="12" t="s">
        <v>3747</v>
      </c>
      <c r="F146" s="11" t="s">
        <v>3748</v>
      </c>
      <c r="G146" s="10"/>
      <c r="H146" s="13" t="s">
        <v>3749</v>
      </c>
      <c r="I146" s="16" t="s">
        <v>82</v>
      </c>
      <c r="J146" s="17"/>
      <c r="K146" s="17"/>
      <c r="L146" s="17"/>
      <c r="M146" s="17"/>
      <c r="N146" s="18"/>
      <c r="O146" s="16" t="s">
        <v>83</v>
      </c>
      <c r="P146" s="18"/>
    </row>
    <row r="147" spans="1:16" ht="16.5" customHeight="1">
      <c r="A147" s="10">
        <v>146</v>
      </c>
      <c r="B147" s="10">
        <v>40</v>
      </c>
      <c r="C147" s="10">
        <v>10</v>
      </c>
      <c r="D147" s="11" t="s">
        <v>3747</v>
      </c>
      <c r="E147" s="19" t="s">
        <v>3748</v>
      </c>
      <c r="F147" s="11" t="s">
        <v>3750</v>
      </c>
      <c r="G147" s="10" t="s">
        <v>575</v>
      </c>
      <c r="H147" s="13" t="s">
        <v>3751</v>
      </c>
      <c r="I147" s="16" t="s">
        <v>82</v>
      </c>
      <c r="J147" s="17"/>
      <c r="K147" s="17"/>
      <c r="L147" s="17"/>
      <c r="M147" s="17"/>
      <c r="N147" s="18"/>
      <c r="O147" s="16" t="s">
        <v>83</v>
      </c>
      <c r="P147" s="18"/>
    </row>
    <row r="148" spans="1:16" ht="16.5" customHeight="1">
      <c r="A148" s="10">
        <v>147</v>
      </c>
      <c r="B148" s="10">
        <v>40</v>
      </c>
      <c r="C148" s="10">
        <v>11</v>
      </c>
      <c r="D148" s="11" t="s">
        <v>3748</v>
      </c>
      <c r="E148" s="12" t="s">
        <v>3750</v>
      </c>
      <c r="F148" s="11" t="s">
        <v>3752</v>
      </c>
      <c r="G148" s="10"/>
      <c r="H148" s="13" t="s">
        <v>3753</v>
      </c>
      <c r="I148" s="16" t="s">
        <v>82</v>
      </c>
      <c r="J148" s="17"/>
      <c r="K148" s="17"/>
      <c r="L148" s="17"/>
      <c r="M148" s="17"/>
      <c r="N148" s="18"/>
      <c r="O148" s="16" t="s">
        <v>83</v>
      </c>
      <c r="P148" s="18"/>
    </row>
    <row r="149" spans="1:16" ht="16.5" customHeight="1">
      <c r="A149" s="10">
        <v>148</v>
      </c>
      <c r="B149" s="10">
        <v>40</v>
      </c>
      <c r="C149" s="10">
        <v>72</v>
      </c>
      <c r="D149" s="11" t="s">
        <v>3754</v>
      </c>
      <c r="E149" s="12" t="s">
        <v>3755</v>
      </c>
      <c r="F149" s="11" t="s">
        <v>3756</v>
      </c>
      <c r="G149" s="10"/>
      <c r="H149" s="13" t="s">
        <v>3757</v>
      </c>
      <c r="I149" s="16" t="s">
        <v>82</v>
      </c>
      <c r="J149" s="17"/>
      <c r="K149" s="17"/>
      <c r="L149" s="17"/>
      <c r="M149" s="17"/>
      <c r="N149" s="18"/>
      <c r="O149" s="16" t="s">
        <v>83</v>
      </c>
      <c r="P149" s="18"/>
    </row>
    <row r="150" spans="1:16" ht="16.5" customHeight="1">
      <c r="A150" s="10">
        <v>149</v>
      </c>
      <c r="B150" s="10">
        <v>40</v>
      </c>
      <c r="C150" s="10">
        <v>73</v>
      </c>
      <c r="D150" s="11" t="s">
        <v>3755</v>
      </c>
      <c r="E150" s="19" t="s">
        <v>3756</v>
      </c>
      <c r="F150" s="11" t="s">
        <v>3758</v>
      </c>
      <c r="G150" s="10" t="s">
        <v>106</v>
      </c>
      <c r="H150" s="13" t="s">
        <v>3759</v>
      </c>
      <c r="I150" s="16" t="s">
        <v>82</v>
      </c>
      <c r="J150" s="17"/>
      <c r="K150" s="17"/>
      <c r="L150" s="17"/>
      <c r="M150" s="17"/>
      <c r="N150" s="18"/>
      <c r="O150" s="16" t="s">
        <v>83</v>
      </c>
      <c r="P150" s="18"/>
    </row>
    <row r="151" spans="1:16" ht="16.5" customHeight="1">
      <c r="A151" s="10">
        <v>150</v>
      </c>
      <c r="B151" s="10">
        <v>40</v>
      </c>
      <c r="C151" s="10">
        <v>74</v>
      </c>
      <c r="D151" s="11" t="s">
        <v>3756</v>
      </c>
      <c r="E151" s="12" t="s">
        <v>3758</v>
      </c>
      <c r="F151" s="11" t="s">
        <v>3760</v>
      </c>
      <c r="G151" s="10"/>
      <c r="H151" s="13" t="s">
        <v>3761</v>
      </c>
      <c r="I151" s="16" t="s">
        <v>82</v>
      </c>
      <c r="J151" s="17"/>
      <c r="K151" s="17"/>
      <c r="L151" s="17"/>
      <c r="M151" s="17"/>
      <c r="N151" s="18"/>
      <c r="O151" s="16" t="s">
        <v>83</v>
      </c>
      <c r="P151" s="18"/>
    </row>
    <row r="152" spans="1:16" ht="16.5" customHeight="1">
      <c r="A152" s="10">
        <v>151</v>
      </c>
      <c r="B152" s="10">
        <v>40</v>
      </c>
      <c r="C152" s="10">
        <v>80</v>
      </c>
      <c r="D152" s="11" t="s">
        <v>3762</v>
      </c>
      <c r="E152" s="12" t="s">
        <v>3763</v>
      </c>
      <c r="F152" s="11" t="s">
        <v>3764</v>
      </c>
      <c r="G152" s="10"/>
      <c r="H152" s="13"/>
      <c r="I152" s="16" t="s">
        <v>82</v>
      </c>
      <c r="J152" s="17"/>
      <c r="K152" s="17"/>
      <c r="L152" s="17"/>
      <c r="M152" s="17"/>
      <c r="N152" s="18"/>
      <c r="O152" s="16" t="s">
        <v>83</v>
      </c>
      <c r="P152" s="18"/>
    </row>
    <row r="153" spans="1:16" ht="16.5" customHeight="1">
      <c r="A153" s="10">
        <v>152</v>
      </c>
      <c r="B153" s="10">
        <v>40</v>
      </c>
      <c r="C153" s="10">
        <v>81</v>
      </c>
      <c r="D153" s="11" t="s">
        <v>3763</v>
      </c>
      <c r="E153" s="19" t="s">
        <v>3764</v>
      </c>
      <c r="F153" s="11" t="s">
        <v>3765</v>
      </c>
      <c r="G153" s="10" t="s">
        <v>569</v>
      </c>
      <c r="H153" s="13" t="s">
        <v>3766</v>
      </c>
      <c r="I153" s="16" t="s">
        <v>82</v>
      </c>
      <c r="J153" s="17"/>
      <c r="K153" s="17"/>
      <c r="L153" s="17"/>
      <c r="M153" s="17"/>
      <c r="N153" s="18"/>
      <c r="O153" s="16" t="s">
        <v>83</v>
      </c>
      <c r="P153" s="18"/>
    </row>
    <row r="154" spans="1:16" ht="16.5" customHeight="1">
      <c r="A154" s="10">
        <v>153</v>
      </c>
      <c r="B154" s="10">
        <v>40</v>
      </c>
      <c r="C154" s="10">
        <v>82</v>
      </c>
      <c r="D154" s="11" t="s">
        <v>3764</v>
      </c>
      <c r="E154" s="12" t="s">
        <v>3765</v>
      </c>
      <c r="F154" s="11" t="s">
        <v>3767</v>
      </c>
      <c r="G154" s="10"/>
      <c r="H154" s="13" t="s">
        <v>3451</v>
      </c>
      <c r="I154" s="16" t="s">
        <v>82</v>
      </c>
      <c r="J154" s="17"/>
      <c r="K154" s="17"/>
      <c r="L154" s="17"/>
      <c r="M154" s="17"/>
      <c r="N154" s="18"/>
      <c r="O154" s="16" t="s">
        <v>83</v>
      </c>
      <c r="P154" s="18"/>
    </row>
    <row r="155" spans="1:16" ht="16.5" customHeight="1">
      <c r="A155" s="10">
        <v>154</v>
      </c>
      <c r="B155" s="10">
        <v>40</v>
      </c>
      <c r="C155" s="10">
        <v>146</v>
      </c>
      <c r="D155" s="11" t="s">
        <v>3768</v>
      </c>
      <c r="E155" s="12" t="s">
        <v>3769</v>
      </c>
      <c r="F155" s="11" t="s">
        <v>3770</v>
      </c>
      <c r="G155" s="10"/>
      <c r="H155" s="13" t="s">
        <v>3771</v>
      </c>
      <c r="I155" s="16" t="s">
        <v>82</v>
      </c>
      <c r="J155" s="17"/>
      <c r="K155" s="17"/>
      <c r="L155" s="17"/>
      <c r="M155" s="17"/>
      <c r="N155" s="18"/>
      <c r="O155" s="16" t="s">
        <v>83</v>
      </c>
      <c r="P155" s="18"/>
    </row>
    <row r="156" spans="1:16" ht="16.5" customHeight="1">
      <c r="A156" s="10">
        <v>155</v>
      </c>
      <c r="B156" s="10">
        <v>40</v>
      </c>
      <c r="C156" s="10">
        <v>147</v>
      </c>
      <c r="D156" s="11" t="s">
        <v>3769</v>
      </c>
      <c r="E156" s="19" t="s">
        <v>3770</v>
      </c>
      <c r="F156" s="11" t="s">
        <v>3772</v>
      </c>
      <c r="G156" s="10" t="s">
        <v>305</v>
      </c>
      <c r="H156" s="13" t="s">
        <v>3773</v>
      </c>
      <c r="I156" s="16" t="s">
        <v>82</v>
      </c>
      <c r="J156" s="17"/>
      <c r="K156" s="17"/>
      <c r="L156" s="17"/>
      <c r="M156" s="17"/>
      <c r="N156" s="18"/>
      <c r="O156" s="16" t="s">
        <v>83</v>
      </c>
      <c r="P156" s="18"/>
    </row>
    <row r="157" spans="1:16" ht="16.5" customHeight="1">
      <c r="A157" s="10">
        <v>156</v>
      </c>
      <c r="B157" s="10">
        <v>40</v>
      </c>
      <c r="C157" s="10">
        <v>148</v>
      </c>
      <c r="D157" s="11" t="s">
        <v>3770</v>
      </c>
      <c r="E157" s="12" t="s">
        <v>3772</v>
      </c>
      <c r="F157" s="11" t="s">
        <v>3774</v>
      </c>
      <c r="G157" s="10"/>
      <c r="H157" s="13" t="s">
        <v>3775</v>
      </c>
      <c r="I157" s="16" t="s">
        <v>89</v>
      </c>
      <c r="J157" s="17" t="s">
        <v>155</v>
      </c>
      <c r="K157" s="17" t="s">
        <v>91</v>
      </c>
      <c r="L157" s="17" t="s">
        <v>3776</v>
      </c>
      <c r="M157" s="17" t="s">
        <v>3777</v>
      </c>
      <c r="N157" s="18" t="s">
        <v>3778</v>
      </c>
      <c r="O157" s="16" t="s">
        <v>113</v>
      </c>
      <c r="P157" s="18"/>
    </row>
    <row r="158" spans="1:16" ht="16.5" customHeight="1">
      <c r="A158" s="10">
        <v>157</v>
      </c>
      <c r="B158" s="10">
        <v>40</v>
      </c>
      <c r="C158" s="10">
        <v>153</v>
      </c>
      <c r="D158" s="11" t="s">
        <v>3779</v>
      </c>
      <c r="E158" s="12" t="s">
        <v>3776</v>
      </c>
      <c r="F158" s="11" t="s">
        <v>3780</v>
      </c>
      <c r="G158" s="10"/>
      <c r="H158" s="13" t="s">
        <v>3781</v>
      </c>
      <c r="I158" s="16" t="s">
        <v>89</v>
      </c>
      <c r="J158" s="17" t="s">
        <v>155</v>
      </c>
      <c r="K158" s="17" t="s">
        <v>91</v>
      </c>
      <c r="L158" s="17" t="s">
        <v>3776</v>
      </c>
      <c r="M158" s="17" t="s">
        <v>3777</v>
      </c>
      <c r="N158" s="18" t="s">
        <v>3782</v>
      </c>
      <c r="O158" s="16" t="s">
        <v>113</v>
      </c>
      <c r="P158" s="18"/>
    </row>
    <row r="159" spans="1:16" ht="16.5" customHeight="1">
      <c r="A159" s="10">
        <v>158</v>
      </c>
      <c r="B159" s="10">
        <v>40</v>
      </c>
      <c r="C159" s="10">
        <v>154</v>
      </c>
      <c r="D159" s="11" t="s">
        <v>3776</v>
      </c>
      <c r="E159" s="19" t="s">
        <v>3780</v>
      </c>
      <c r="F159" s="11" t="s">
        <v>3783</v>
      </c>
      <c r="G159" s="10" t="s">
        <v>305</v>
      </c>
      <c r="H159" s="13" t="s">
        <v>3784</v>
      </c>
      <c r="I159" s="16" t="s">
        <v>82</v>
      </c>
      <c r="J159" s="17"/>
      <c r="K159" s="17"/>
      <c r="L159" s="17"/>
      <c r="M159" s="17"/>
      <c r="N159" s="18"/>
      <c r="O159" s="16" t="s">
        <v>83</v>
      </c>
      <c r="P159" s="18"/>
    </row>
    <row r="160" spans="1:16" ht="16.5" customHeight="1">
      <c r="A160" s="10">
        <v>159</v>
      </c>
      <c r="B160" s="10">
        <v>40</v>
      </c>
      <c r="C160" s="10">
        <v>155</v>
      </c>
      <c r="D160" s="11" t="s">
        <v>3780</v>
      </c>
      <c r="E160" s="12" t="s">
        <v>3783</v>
      </c>
      <c r="F160" s="11" t="s">
        <v>3785</v>
      </c>
      <c r="G160" s="10"/>
      <c r="H160" s="13" t="s">
        <v>3786</v>
      </c>
      <c r="I160" s="16" t="s">
        <v>82</v>
      </c>
      <c r="J160" s="17"/>
      <c r="K160" s="17"/>
      <c r="L160" s="17"/>
      <c r="M160" s="17"/>
      <c r="N160" s="18"/>
      <c r="O160" s="16" t="s">
        <v>83</v>
      </c>
      <c r="P160" s="18"/>
    </row>
    <row r="161" spans="1:16" ht="16.5" customHeight="1">
      <c r="A161" s="10">
        <v>160</v>
      </c>
      <c r="B161" s="10">
        <v>40</v>
      </c>
      <c r="C161" s="10">
        <v>168</v>
      </c>
      <c r="D161" s="11" t="s">
        <v>3787</v>
      </c>
      <c r="E161" s="12" t="s">
        <v>3048</v>
      </c>
      <c r="F161" s="11" t="s">
        <v>3788</v>
      </c>
      <c r="G161" s="10"/>
      <c r="H161" s="13" t="s">
        <v>3050</v>
      </c>
      <c r="I161" s="16" t="s">
        <v>82</v>
      </c>
      <c r="J161" s="17"/>
      <c r="K161" s="17"/>
      <c r="L161" s="17"/>
      <c r="M161" s="17"/>
      <c r="N161" s="18"/>
      <c r="O161" s="16" t="s">
        <v>83</v>
      </c>
      <c r="P161" s="18"/>
    </row>
    <row r="162" spans="1:16" ht="16.5" customHeight="1">
      <c r="A162" s="10">
        <v>161</v>
      </c>
      <c r="B162" s="10">
        <v>40</v>
      </c>
      <c r="C162" s="10">
        <v>169</v>
      </c>
      <c r="D162" s="11" t="s">
        <v>3048</v>
      </c>
      <c r="E162" s="19" t="s">
        <v>3788</v>
      </c>
      <c r="F162" s="11" t="s">
        <v>3789</v>
      </c>
      <c r="G162" s="10" t="s">
        <v>106</v>
      </c>
      <c r="H162" s="13" t="s">
        <v>3790</v>
      </c>
      <c r="I162" s="16" t="s">
        <v>82</v>
      </c>
      <c r="J162" s="17"/>
      <c r="K162" s="17"/>
      <c r="L162" s="17"/>
      <c r="M162" s="17"/>
      <c r="N162" s="18"/>
      <c r="O162" s="16" t="s">
        <v>83</v>
      </c>
      <c r="P162" s="18"/>
    </row>
    <row r="163" spans="1:16" ht="16.5" customHeight="1">
      <c r="A163" s="10">
        <v>162</v>
      </c>
      <c r="B163" s="10">
        <v>40</v>
      </c>
      <c r="C163" s="10">
        <v>170</v>
      </c>
      <c r="D163" s="11" t="s">
        <v>3788</v>
      </c>
      <c r="E163" s="12" t="s">
        <v>3789</v>
      </c>
      <c r="F163" s="11" t="s">
        <v>3791</v>
      </c>
      <c r="G163" s="10"/>
      <c r="H163" s="13" t="s">
        <v>3792</v>
      </c>
      <c r="I163" s="16" t="s">
        <v>82</v>
      </c>
      <c r="J163" s="17"/>
      <c r="K163" s="17"/>
      <c r="L163" s="17"/>
      <c r="M163" s="17"/>
      <c r="N163" s="18"/>
      <c r="O163" s="16" t="s">
        <v>83</v>
      </c>
      <c r="P163" s="18"/>
    </row>
    <row r="164" spans="1:16" ht="16.5" customHeight="1">
      <c r="A164" s="10">
        <v>163</v>
      </c>
      <c r="B164" s="10">
        <v>40</v>
      </c>
      <c r="C164" s="10">
        <v>194</v>
      </c>
      <c r="D164" s="11" t="s">
        <v>3793</v>
      </c>
      <c r="E164" s="12" t="s">
        <v>3794</v>
      </c>
      <c r="F164" s="11" t="s">
        <v>3795</v>
      </c>
      <c r="G164" s="10"/>
      <c r="H164" s="13" t="s">
        <v>3796</v>
      </c>
      <c r="I164" s="16" t="s">
        <v>82</v>
      </c>
      <c r="J164" s="17"/>
      <c r="K164" s="17"/>
      <c r="L164" s="17"/>
      <c r="M164" s="17"/>
      <c r="N164" s="18"/>
      <c r="O164" s="16" t="s">
        <v>83</v>
      </c>
      <c r="P164" s="18"/>
    </row>
    <row r="165" spans="1:16" ht="16.5" customHeight="1">
      <c r="A165" s="10">
        <v>164</v>
      </c>
      <c r="B165" s="10">
        <v>40</v>
      </c>
      <c r="C165" s="10">
        <v>195</v>
      </c>
      <c r="D165" s="11" t="s">
        <v>3794</v>
      </c>
      <c r="E165" s="19" t="s">
        <v>3795</v>
      </c>
      <c r="F165" s="11" t="s">
        <v>3797</v>
      </c>
      <c r="G165" s="10" t="s">
        <v>85</v>
      </c>
      <c r="H165" s="13" t="s">
        <v>3798</v>
      </c>
      <c r="I165" s="16" t="s">
        <v>89</v>
      </c>
      <c r="J165" s="17" t="s">
        <v>155</v>
      </c>
      <c r="K165" s="17" t="s">
        <v>91</v>
      </c>
      <c r="L165" s="17" t="s">
        <v>3799</v>
      </c>
      <c r="M165" s="17" t="s">
        <v>3800</v>
      </c>
      <c r="N165" s="18" t="s">
        <v>363</v>
      </c>
      <c r="O165" s="16" t="s">
        <v>113</v>
      </c>
      <c r="P165" s="18"/>
    </row>
    <row r="166" spans="1:16" ht="16.5" customHeight="1">
      <c r="A166" s="10">
        <v>165</v>
      </c>
      <c r="B166" s="10">
        <v>40</v>
      </c>
      <c r="C166" s="10">
        <v>196</v>
      </c>
      <c r="D166" s="11" t="s">
        <v>3795</v>
      </c>
      <c r="E166" s="12" t="s">
        <v>3797</v>
      </c>
      <c r="F166" s="11" t="s">
        <v>3801</v>
      </c>
      <c r="G166" s="10"/>
      <c r="H166" s="13" t="s">
        <v>3802</v>
      </c>
      <c r="I166" s="16" t="s">
        <v>82</v>
      </c>
      <c r="J166" s="17"/>
      <c r="K166" s="17"/>
      <c r="L166" s="17"/>
      <c r="M166" s="17"/>
      <c r="N166" s="18"/>
      <c r="O166" s="16" t="s">
        <v>83</v>
      </c>
      <c r="P166" s="18"/>
    </row>
    <row r="167" spans="1:16" ht="16.5" customHeight="1">
      <c r="A167" s="10">
        <v>166</v>
      </c>
      <c r="B167" s="10">
        <v>40</v>
      </c>
      <c r="C167" s="10">
        <v>197</v>
      </c>
      <c r="D167" s="11" t="s">
        <v>3797</v>
      </c>
      <c r="E167" s="19" t="s">
        <v>3801</v>
      </c>
      <c r="F167" s="11" t="s">
        <v>3803</v>
      </c>
      <c r="G167" s="10" t="s">
        <v>160</v>
      </c>
      <c r="H167" s="13" t="s">
        <v>3804</v>
      </c>
      <c r="I167" s="16" t="s">
        <v>89</v>
      </c>
      <c r="J167" s="17" t="s">
        <v>90</v>
      </c>
      <c r="K167" s="17" t="s">
        <v>91</v>
      </c>
      <c r="L167" s="17" t="s">
        <v>620</v>
      </c>
      <c r="M167" s="17" t="s">
        <v>621</v>
      </c>
      <c r="N167" s="18" t="s">
        <v>622</v>
      </c>
      <c r="O167" s="16" t="s">
        <v>83</v>
      </c>
      <c r="P167" s="18"/>
    </row>
    <row r="168" spans="1:16" ht="16.5" customHeight="1">
      <c r="A168" s="10">
        <v>167</v>
      </c>
      <c r="B168" s="10">
        <v>40</v>
      </c>
      <c r="C168" s="10">
        <v>198</v>
      </c>
      <c r="D168" s="11" t="s">
        <v>3801</v>
      </c>
      <c r="E168" s="12" t="s">
        <v>3803</v>
      </c>
      <c r="F168" s="11" t="s">
        <v>3805</v>
      </c>
      <c r="G168" s="10"/>
      <c r="H168" s="13" t="s">
        <v>3806</v>
      </c>
      <c r="I168" s="16" t="s">
        <v>89</v>
      </c>
      <c r="J168" s="17" t="s">
        <v>128</v>
      </c>
      <c r="K168" s="17" t="s">
        <v>91</v>
      </c>
      <c r="L168" s="17" t="s">
        <v>3803</v>
      </c>
      <c r="M168" s="17" t="s">
        <v>3093</v>
      </c>
      <c r="N168" s="18" t="s">
        <v>3807</v>
      </c>
      <c r="O168" s="16" t="s">
        <v>83</v>
      </c>
      <c r="P168" s="18"/>
    </row>
    <row r="169" spans="1:16" ht="16.5" customHeight="1">
      <c r="A169" s="10">
        <v>168</v>
      </c>
      <c r="B169" s="10">
        <v>40</v>
      </c>
      <c r="C169" s="10">
        <v>217</v>
      </c>
      <c r="D169" s="11" t="s">
        <v>3808</v>
      </c>
      <c r="E169" s="12" t="s">
        <v>3809</v>
      </c>
      <c r="F169" s="11" t="s">
        <v>3810</v>
      </c>
      <c r="G169" s="10"/>
      <c r="H169" s="13" t="s">
        <v>3811</v>
      </c>
      <c r="I169" s="16" t="s">
        <v>82</v>
      </c>
      <c r="J169" s="17"/>
      <c r="K169" s="17"/>
      <c r="L169" s="17"/>
      <c r="M169" s="17"/>
      <c r="N169" s="18"/>
      <c r="O169" s="16" t="s">
        <v>83</v>
      </c>
      <c r="P169" s="18"/>
    </row>
    <row r="170" spans="1:16" ht="16.5" customHeight="1">
      <c r="A170" s="10">
        <v>169</v>
      </c>
      <c r="B170" s="10">
        <v>40</v>
      </c>
      <c r="C170" s="10">
        <v>218</v>
      </c>
      <c r="D170" s="11" t="s">
        <v>3809</v>
      </c>
      <c r="E170" s="19" t="s">
        <v>3810</v>
      </c>
      <c r="F170" s="11" t="s">
        <v>3812</v>
      </c>
      <c r="G170" s="10" t="s">
        <v>739</v>
      </c>
      <c r="H170" s="13" t="s">
        <v>3813</v>
      </c>
      <c r="I170" s="16" t="s">
        <v>89</v>
      </c>
      <c r="J170" s="17" t="s">
        <v>155</v>
      </c>
      <c r="K170" s="17" t="s">
        <v>3814</v>
      </c>
      <c r="L170" s="17" t="s">
        <v>3815</v>
      </c>
      <c r="M170" s="17" t="s">
        <v>3816</v>
      </c>
      <c r="N170" s="18" t="s">
        <v>3817</v>
      </c>
      <c r="O170" s="16" t="s">
        <v>113</v>
      </c>
      <c r="P170" s="18"/>
    </row>
    <row r="171" spans="1:16" ht="16.5" customHeight="1">
      <c r="A171" s="10">
        <v>170</v>
      </c>
      <c r="B171" s="10">
        <v>40</v>
      </c>
      <c r="C171" s="10">
        <v>219</v>
      </c>
      <c r="D171" s="11" t="s">
        <v>3810</v>
      </c>
      <c r="E171" s="12" t="s">
        <v>3812</v>
      </c>
      <c r="F171" s="11" t="s">
        <v>3818</v>
      </c>
      <c r="G171" s="10"/>
      <c r="H171" s="13" t="s">
        <v>3819</v>
      </c>
      <c r="I171" s="16" t="s">
        <v>89</v>
      </c>
      <c r="J171" s="17" t="s">
        <v>155</v>
      </c>
      <c r="K171" s="17" t="s">
        <v>164</v>
      </c>
      <c r="L171" s="17" t="s">
        <v>3820</v>
      </c>
      <c r="M171" s="17" t="s">
        <v>3821</v>
      </c>
      <c r="N171" s="18" t="s">
        <v>3822</v>
      </c>
      <c r="O171" s="16" t="s">
        <v>83</v>
      </c>
      <c r="P171" s="18"/>
    </row>
    <row r="172" spans="1:16" ht="26.25" customHeight="1">
      <c r="A172" s="10">
        <v>171</v>
      </c>
      <c r="B172" s="10">
        <v>40</v>
      </c>
      <c r="C172" s="10">
        <v>230</v>
      </c>
      <c r="D172" s="11" t="s">
        <v>3823</v>
      </c>
      <c r="E172" s="12" t="s">
        <v>3824</v>
      </c>
      <c r="F172" s="11" t="s">
        <v>3825</v>
      </c>
      <c r="G172" s="10"/>
      <c r="H172" s="13" t="s">
        <v>3826</v>
      </c>
      <c r="I172" s="16" t="s">
        <v>82</v>
      </c>
      <c r="J172" s="17"/>
      <c r="K172" s="17"/>
      <c r="L172" s="17"/>
      <c r="M172" s="17"/>
      <c r="N172" s="18"/>
      <c r="O172" s="16" t="s">
        <v>83</v>
      </c>
      <c r="P172" s="18"/>
    </row>
    <row r="173" spans="1:16" ht="16.5" customHeight="1">
      <c r="A173" s="10">
        <v>172</v>
      </c>
      <c r="B173" s="10">
        <v>40</v>
      </c>
      <c r="C173" s="10">
        <v>231</v>
      </c>
      <c r="D173" s="11" t="s">
        <v>3824</v>
      </c>
      <c r="E173" s="19" t="s">
        <v>3825</v>
      </c>
      <c r="F173" s="11" t="s">
        <v>3827</v>
      </c>
      <c r="G173" s="10" t="s">
        <v>320</v>
      </c>
      <c r="H173" s="13" t="s">
        <v>3828</v>
      </c>
      <c r="I173" s="16" t="s">
        <v>89</v>
      </c>
      <c r="J173" s="17" t="s">
        <v>90</v>
      </c>
      <c r="K173" s="17" t="s">
        <v>91</v>
      </c>
      <c r="L173" s="17" t="s">
        <v>3829</v>
      </c>
      <c r="M173" s="17" t="s">
        <v>3830</v>
      </c>
      <c r="N173" s="18" t="s">
        <v>418</v>
      </c>
      <c r="O173" s="16" t="s">
        <v>83</v>
      </c>
      <c r="P173" s="18"/>
    </row>
    <row r="174" spans="1:16" ht="16.5" customHeight="1">
      <c r="A174" s="10">
        <v>173</v>
      </c>
      <c r="B174" s="10">
        <v>40</v>
      </c>
      <c r="C174" s="10">
        <v>232</v>
      </c>
      <c r="D174" s="11" t="s">
        <v>3825</v>
      </c>
      <c r="E174" s="12" t="s">
        <v>3827</v>
      </c>
      <c r="F174" s="11" t="s">
        <v>3831</v>
      </c>
      <c r="G174" s="10"/>
      <c r="H174" s="13" t="s">
        <v>3832</v>
      </c>
      <c r="I174" s="16" t="s">
        <v>82</v>
      </c>
      <c r="J174" s="17"/>
      <c r="K174" s="17"/>
      <c r="L174" s="17"/>
      <c r="M174" s="17"/>
      <c r="N174" s="18"/>
      <c r="O174" s="16" t="s">
        <v>83</v>
      </c>
      <c r="P174" s="18"/>
    </row>
    <row r="175" spans="1:16" ht="16.5" customHeight="1">
      <c r="A175" s="10">
        <v>174</v>
      </c>
      <c r="B175" s="10">
        <v>40</v>
      </c>
      <c r="C175" s="10">
        <v>258</v>
      </c>
      <c r="D175" s="11" t="s">
        <v>3833</v>
      </c>
      <c r="E175" s="12" t="s">
        <v>3834</v>
      </c>
      <c r="F175" s="11" t="s">
        <v>3835</v>
      </c>
      <c r="G175" s="10"/>
      <c r="H175" s="13" t="s">
        <v>3836</v>
      </c>
      <c r="I175" s="16" t="s">
        <v>82</v>
      </c>
      <c r="J175" s="17"/>
      <c r="K175" s="17"/>
      <c r="L175" s="17"/>
      <c r="M175" s="17"/>
      <c r="N175" s="18"/>
      <c r="O175" s="16" t="s">
        <v>83</v>
      </c>
      <c r="P175" s="18"/>
    </row>
    <row r="176" spans="1:16" ht="16.5" customHeight="1">
      <c r="A176" s="10">
        <v>175</v>
      </c>
      <c r="B176" s="10">
        <v>40</v>
      </c>
      <c r="C176" s="10">
        <v>259</v>
      </c>
      <c r="D176" s="11" t="s">
        <v>3834</v>
      </c>
      <c r="E176" s="19" t="s">
        <v>3835</v>
      </c>
      <c r="F176" s="11" t="s">
        <v>3837</v>
      </c>
      <c r="G176" s="10" t="s">
        <v>85</v>
      </c>
      <c r="H176" s="13" t="s">
        <v>3838</v>
      </c>
      <c r="I176" s="16" t="s">
        <v>89</v>
      </c>
      <c r="J176" s="17" t="s">
        <v>155</v>
      </c>
      <c r="K176" s="17" t="s">
        <v>209</v>
      </c>
      <c r="L176" s="17" t="s">
        <v>3839</v>
      </c>
      <c r="M176" s="17" t="s">
        <v>3840</v>
      </c>
      <c r="N176" s="18" t="s">
        <v>3841</v>
      </c>
      <c r="O176" s="16" t="s">
        <v>113</v>
      </c>
      <c r="P176" s="18"/>
    </row>
    <row r="177" spans="1:16" ht="16.5" customHeight="1">
      <c r="A177" s="10">
        <v>176</v>
      </c>
      <c r="B177" s="10">
        <v>40</v>
      </c>
      <c r="C177" s="10">
        <v>260</v>
      </c>
      <c r="D177" s="11" t="s">
        <v>3835</v>
      </c>
      <c r="E177" s="12" t="s">
        <v>3837</v>
      </c>
      <c r="F177" s="11" t="s">
        <v>3842</v>
      </c>
      <c r="G177" s="10"/>
      <c r="H177" s="13" t="s">
        <v>3843</v>
      </c>
      <c r="I177" s="16" t="s">
        <v>82</v>
      </c>
      <c r="J177" s="17"/>
      <c r="K177" s="17"/>
      <c r="L177" s="17"/>
      <c r="M177" s="17"/>
      <c r="N177" s="18"/>
      <c r="O177" s="16" t="s">
        <v>83</v>
      </c>
      <c r="P177" s="18"/>
    </row>
    <row r="178" spans="1:16" ht="16.5" customHeight="1">
      <c r="A178" s="10">
        <v>177</v>
      </c>
      <c r="B178" s="10">
        <v>40</v>
      </c>
      <c r="C178" s="10">
        <v>281</v>
      </c>
      <c r="D178" s="11" t="s">
        <v>3737</v>
      </c>
      <c r="E178" s="12" t="s">
        <v>3844</v>
      </c>
      <c r="F178" s="11" t="s">
        <v>3845</v>
      </c>
      <c r="G178" s="10"/>
      <c r="H178" s="13" t="s">
        <v>3846</v>
      </c>
      <c r="I178" s="16" t="s">
        <v>82</v>
      </c>
      <c r="J178" s="17"/>
      <c r="K178" s="17"/>
      <c r="L178" s="17"/>
      <c r="M178" s="17"/>
      <c r="N178" s="18"/>
      <c r="O178" s="16" t="s">
        <v>83</v>
      </c>
      <c r="P178" s="18"/>
    </row>
    <row r="179" spans="1:16" ht="26.25" customHeight="1">
      <c r="A179" s="10">
        <v>178</v>
      </c>
      <c r="B179" s="10">
        <v>40</v>
      </c>
      <c r="C179" s="10">
        <v>282</v>
      </c>
      <c r="D179" s="11" t="s">
        <v>3844</v>
      </c>
      <c r="E179" s="19" t="s">
        <v>3845</v>
      </c>
      <c r="F179" s="11" t="s">
        <v>3847</v>
      </c>
      <c r="G179" s="10" t="s">
        <v>106</v>
      </c>
      <c r="H179" s="13" t="s">
        <v>3848</v>
      </c>
      <c r="I179" s="16" t="s">
        <v>82</v>
      </c>
      <c r="J179" s="17"/>
      <c r="K179" s="17"/>
      <c r="L179" s="17"/>
      <c r="M179" s="17"/>
      <c r="N179" s="18"/>
      <c r="O179" s="16" t="s">
        <v>83</v>
      </c>
      <c r="P179" s="18"/>
    </row>
    <row r="180" spans="1:16" ht="16.5" customHeight="1">
      <c r="A180" s="10">
        <v>179</v>
      </c>
      <c r="B180" s="10">
        <v>40</v>
      </c>
      <c r="C180" s="10">
        <v>283</v>
      </c>
      <c r="D180" s="11" t="s">
        <v>3845</v>
      </c>
      <c r="E180" s="12" t="s">
        <v>3847</v>
      </c>
      <c r="F180" s="11" t="s">
        <v>3849</v>
      </c>
      <c r="G180" s="10"/>
      <c r="H180" s="13" t="s">
        <v>3850</v>
      </c>
      <c r="I180" s="16" t="s">
        <v>89</v>
      </c>
      <c r="J180" s="17" t="s">
        <v>155</v>
      </c>
      <c r="K180" s="17" t="s">
        <v>164</v>
      </c>
      <c r="L180" s="17" t="s">
        <v>3851</v>
      </c>
      <c r="M180" s="17" t="s">
        <v>3852</v>
      </c>
      <c r="N180" s="18" t="s">
        <v>3853</v>
      </c>
      <c r="O180" s="16" t="s">
        <v>83</v>
      </c>
      <c r="P180" s="18"/>
    </row>
    <row r="181" spans="1:16" ht="16.5" customHeight="1">
      <c r="A181" s="10">
        <v>180</v>
      </c>
      <c r="B181" s="10">
        <v>40</v>
      </c>
      <c r="C181" s="10">
        <v>284</v>
      </c>
      <c r="D181" s="11" t="s">
        <v>3847</v>
      </c>
      <c r="E181" s="19" t="s">
        <v>3849</v>
      </c>
      <c r="F181" s="11" t="s">
        <v>3854</v>
      </c>
      <c r="G181" s="10" t="s">
        <v>85</v>
      </c>
      <c r="H181" s="13" t="s">
        <v>3855</v>
      </c>
      <c r="I181" s="16" t="s">
        <v>82</v>
      </c>
      <c r="J181" s="17"/>
      <c r="K181" s="17"/>
      <c r="L181" s="17"/>
      <c r="M181" s="17"/>
      <c r="N181" s="18"/>
      <c r="O181" s="16" t="s">
        <v>83</v>
      </c>
      <c r="P181" s="18"/>
    </row>
    <row r="182" spans="1:16" ht="16.5" customHeight="1">
      <c r="A182" s="10">
        <v>181</v>
      </c>
      <c r="B182" s="10">
        <v>40</v>
      </c>
      <c r="C182" s="10">
        <v>285</v>
      </c>
      <c r="D182" s="11" t="s">
        <v>3849</v>
      </c>
      <c r="E182" s="12" t="s">
        <v>3854</v>
      </c>
      <c r="F182" s="11" t="s">
        <v>3856</v>
      </c>
      <c r="G182" s="10"/>
      <c r="H182" s="13" t="s">
        <v>3857</v>
      </c>
      <c r="I182" s="16" t="s">
        <v>89</v>
      </c>
      <c r="J182" s="17" t="s">
        <v>155</v>
      </c>
      <c r="K182" s="17" t="s">
        <v>164</v>
      </c>
      <c r="L182" s="17" t="s">
        <v>3854</v>
      </c>
      <c r="M182" s="17" t="s">
        <v>3858</v>
      </c>
      <c r="N182" s="18" t="s">
        <v>3859</v>
      </c>
      <c r="O182" s="16" t="s">
        <v>113</v>
      </c>
      <c r="P182" s="18"/>
    </row>
    <row r="183" spans="1:16" ht="16.5" customHeight="1">
      <c r="A183" s="10">
        <v>182</v>
      </c>
      <c r="B183" s="10">
        <v>40</v>
      </c>
      <c r="C183" s="10">
        <v>286</v>
      </c>
      <c r="D183" s="11" t="s">
        <v>3854</v>
      </c>
      <c r="E183" s="19" t="s">
        <v>3856</v>
      </c>
      <c r="F183" s="11" t="s">
        <v>3860</v>
      </c>
      <c r="G183" s="10" t="s">
        <v>2496</v>
      </c>
      <c r="H183" s="13" t="s">
        <v>3861</v>
      </c>
      <c r="I183" s="16" t="s">
        <v>82</v>
      </c>
      <c r="J183" s="17"/>
      <c r="K183" s="17"/>
      <c r="L183" s="17"/>
      <c r="M183" s="17"/>
      <c r="N183" s="18"/>
      <c r="O183" s="16" t="s">
        <v>83</v>
      </c>
      <c r="P183" s="18"/>
    </row>
    <row r="184" spans="1:16" ht="16.5" customHeight="1">
      <c r="A184" s="10">
        <v>183</v>
      </c>
      <c r="B184" s="10">
        <v>40</v>
      </c>
      <c r="C184" s="10">
        <v>287</v>
      </c>
      <c r="D184" s="11" t="s">
        <v>3856</v>
      </c>
      <c r="E184" s="12" t="s">
        <v>3860</v>
      </c>
      <c r="F184" s="11" t="s">
        <v>3862</v>
      </c>
      <c r="G184" s="10"/>
      <c r="H184" s="13" t="s">
        <v>3863</v>
      </c>
      <c r="I184" s="16" t="s">
        <v>82</v>
      </c>
      <c r="J184" s="17"/>
      <c r="K184" s="17"/>
      <c r="L184" s="17"/>
      <c r="M184" s="17"/>
      <c r="N184" s="18"/>
      <c r="O184" s="16" t="s">
        <v>83</v>
      </c>
      <c r="P184" s="18"/>
    </row>
    <row r="185" spans="1:16" ht="16.5" customHeight="1">
      <c r="A185" s="10">
        <v>184</v>
      </c>
      <c r="B185" s="10">
        <v>40</v>
      </c>
      <c r="C185" s="10">
        <v>288</v>
      </c>
      <c r="D185" s="11" t="s">
        <v>3860</v>
      </c>
      <c r="E185" s="12" t="s">
        <v>3862</v>
      </c>
      <c r="F185" s="11" t="s">
        <v>3864</v>
      </c>
      <c r="G185" s="10"/>
      <c r="H185" s="13" t="s">
        <v>3865</v>
      </c>
      <c r="I185" s="16" t="s">
        <v>82</v>
      </c>
      <c r="J185" s="17"/>
      <c r="K185" s="17"/>
      <c r="L185" s="17"/>
      <c r="M185" s="17"/>
      <c r="N185" s="18"/>
      <c r="O185" s="16" t="s">
        <v>83</v>
      </c>
      <c r="P185" s="18"/>
    </row>
    <row r="186" spans="1:16" ht="16.5" customHeight="1">
      <c r="A186" s="10">
        <v>185</v>
      </c>
      <c r="B186" s="10">
        <v>40</v>
      </c>
      <c r="C186" s="10">
        <v>289</v>
      </c>
      <c r="D186" s="11" t="s">
        <v>3862</v>
      </c>
      <c r="E186" s="19" t="s">
        <v>3864</v>
      </c>
      <c r="F186" s="11" t="s">
        <v>3866</v>
      </c>
      <c r="G186" s="10" t="s">
        <v>540</v>
      </c>
      <c r="H186" s="13" t="s">
        <v>3867</v>
      </c>
      <c r="I186" s="16" t="s">
        <v>82</v>
      </c>
      <c r="J186" s="17"/>
      <c r="K186" s="17"/>
      <c r="L186" s="17"/>
      <c r="M186" s="17"/>
      <c r="N186" s="18"/>
      <c r="O186" s="16" t="s">
        <v>83</v>
      </c>
      <c r="P186" s="18"/>
    </row>
    <row r="187" spans="1:16" ht="16.5" customHeight="1">
      <c r="A187" s="10">
        <v>186</v>
      </c>
      <c r="B187" s="10">
        <v>40</v>
      </c>
      <c r="C187" s="10">
        <v>290</v>
      </c>
      <c r="D187" s="11" t="s">
        <v>3864</v>
      </c>
      <c r="E187" s="12" t="s">
        <v>3866</v>
      </c>
      <c r="F187" s="11" t="s">
        <v>3868</v>
      </c>
      <c r="G187" s="10"/>
      <c r="H187" s="13" t="s">
        <v>3625</v>
      </c>
      <c r="I187" s="16" t="s">
        <v>82</v>
      </c>
      <c r="J187" s="17"/>
      <c r="K187" s="17"/>
      <c r="L187" s="17"/>
      <c r="M187" s="17"/>
      <c r="N187" s="18"/>
      <c r="O187" s="16" t="s">
        <v>83</v>
      </c>
      <c r="P187" s="18"/>
    </row>
    <row r="188" spans="1:16" ht="26.25" customHeight="1">
      <c r="A188" s="10">
        <v>187</v>
      </c>
      <c r="B188" s="10">
        <v>40</v>
      </c>
      <c r="C188" s="10">
        <v>299</v>
      </c>
      <c r="D188" s="11" t="s">
        <v>2688</v>
      </c>
      <c r="E188" s="12" t="s">
        <v>3869</v>
      </c>
      <c r="F188" s="11" t="s">
        <v>3870</v>
      </c>
      <c r="G188" s="10"/>
      <c r="H188" s="13" t="s">
        <v>3871</v>
      </c>
      <c r="I188" s="16" t="s">
        <v>82</v>
      </c>
      <c r="J188" s="17"/>
      <c r="K188" s="17"/>
      <c r="L188" s="17"/>
      <c r="M188" s="17"/>
      <c r="N188" s="18"/>
      <c r="O188" s="16" t="s">
        <v>83</v>
      </c>
      <c r="P188" s="18"/>
    </row>
    <row r="189" spans="1:16" ht="16.5" customHeight="1">
      <c r="A189" s="10">
        <v>188</v>
      </c>
      <c r="B189" s="10">
        <v>40</v>
      </c>
      <c r="C189" s="10">
        <v>300</v>
      </c>
      <c r="D189" s="11" t="s">
        <v>3869</v>
      </c>
      <c r="E189" s="19" t="s">
        <v>3870</v>
      </c>
      <c r="F189" s="11" t="s">
        <v>3006</v>
      </c>
      <c r="G189" s="10" t="s">
        <v>540</v>
      </c>
      <c r="H189" s="13" t="s">
        <v>3872</v>
      </c>
      <c r="I189" s="16" t="s">
        <v>82</v>
      </c>
      <c r="J189" s="17"/>
      <c r="K189" s="17"/>
      <c r="L189" s="17"/>
      <c r="M189" s="17"/>
      <c r="N189" s="18"/>
      <c r="O189" s="16" t="s">
        <v>83</v>
      </c>
      <c r="P189" s="18"/>
    </row>
    <row r="190" spans="1:16" ht="16.5" customHeight="1">
      <c r="A190" s="10">
        <v>189</v>
      </c>
      <c r="B190" s="10">
        <v>40</v>
      </c>
      <c r="C190" s="10">
        <v>301</v>
      </c>
      <c r="D190" s="11" t="s">
        <v>3870</v>
      </c>
      <c r="E190" s="12" t="s">
        <v>3006</v>
      </c>
      <c r="F190" s="11" t="s">
        <v>3873</v>
      </c>
      <c r="G190" s="10"/>
      <c r="H190" s="13" t="s">
        <v>3011</v>
      </c>
      <c r="I190" s="16" t="s">
        <v>82</v>
      </c>
      <c r="J190" s="17"/>
      <c r="K190" s="17"/>
      <c r="L190" s="17"/>
      <c r="M190" s="17"/>
      <c r="N190" s="18"/>
      <c r="O190" s="16" t="s">
        <v>83</v>
      </c>
      <c r="P190" s="18"/>
    </row>
    <row r="191" spans="1:16" ht="16.5" customHeight="1">
      <c r="A191" s="10">
        <v>190</v>
      </c>
      <c r="B191" s="10">
        <v>40</v>
      </c>
      <c r="C191" s="10">
        <v>326</v>
      </c>
      <c r="D191" s="11" t="s">
        <v>3874</v>
      </c>
      <c r="E191" s="12" t="s">
        <v>3875</v>
      </c>
      <c r="F191" s="11" t="s">
        <v>3876</v>
      </c>
      <c r="G191" s="10"/>
      <c r="H191" s="13" t="s">
        <v>3877</v>
      </c>
      <c r="I191" s="16" t="s">
        <v>82</v>
      </c>
      <c r="J191" s="17"/>
      <c r="K191" s="17"/>
      <c r="L191" s="17"/>
      <c r="M191" s="17"/>
      <c r="N191" s="18"/>
      <c r="O191" s="16" t="s">
        <v>83</v>
      </c>
      <c r="P191" s="18"/>
    </row>
    <row r="192" spans="1:16" ht="16.5" customHeight="1">
      <c r="A192" s="10">
        <v>191</v>
      </c>
      <c r="B192" s="10">
        <v>40</v>
      </c>
      <c r="C192" s="10">
        <v>327</v>
      </c>
      <c r="D192" s="11" t="s">
        <v>3875</v>
      </c>
      <c r="E192" s="19" t="s">
        <v>3876</v>
      </c>
      <c r="F192" s="11" t="s">
        <v>3878</v>
      </c>
      <c r="G192" s="10" t="s">
        <v>2496</v>
      </c>
      <c r="H192" s="13" t="s">
        <v>3879</v>
      </c>
      <c r="I192" s="16" t="s">
        <v>82</v>
      </c>
      <c r="J192" s="17"/>
      <c r="K192" s="17"/>
      <c r="L192" s="17"/>
      <c r="M192" s="17"/>
      <c r="N192" s="18"/>
      <c r="O192" s="16" t="s">
        <v>83</v>
      </c>
      <c r="P192" s="18"/>
    </row>
    <row r="193" spans="1:16" ht="16.5" customHeight="1">
      <c r="A193" s="10">
        <v>192</v>
      </c>
      <c r="B193" s="10">
        <v>40</v>
      </c>
      <c r="C193" s="10">
        <v>328</v>
      </c>
      <c r="D193" s="11" t="s">
        <v>3876</v>
      </c>
      <c r="E193" s="12" t="s">
        <v>3878</v>
      </c>
      <c r="F193" s="11" t="s">
        <v>3048</v>
      </c>
      <c r="G193" s="10"/>
      <c r="H193" s="13" t="s">
        <v>3880</v>
      </c>
      <c r="I193" s="16" t="s">
        <v>82</v>
      </c>
      <c r="J193" s="17"/>
      <c r="K193" s="17"/>
      <c r="L193" s="17"/>
      <c r="M193" s="17"/>
      <c r="N193" s="18"/>
      <c r="O193" s="16" t="s">
        <v>83</v>
      </c>
      <c r="P193" s="18"/>
    </row>
    <row r="194" spans="1:16" ht="16.5" customHeight="1">
      <c r="A194" s="10">
        <v>193</v>
      </c>
      <c r="B194" s="10">
        <v>41</v>
      </c>
      <c r="C194" s="10">
        <v>21</v>
      </c>
      <c r="D194" s="11" t="s">
        <v>3881</v>
      </c>
      <c r="E194" s="12" t="s">
        <v>3882</v>
      </c>
      <c r="F194" s="11" t="s">
        <v>3883</v>
      </c>
      <c r="G194" s="10"/>
      <c r="H194" s="13" t="s">
        <v>3884</v>
      </c>
      <c r="I194" s="16" t="s">
        <v>82</v>
      </c>
      <c r="J194" s="17"/>
      <c r="K194" s="17"/>
      <c r="L194" s="17"/>
      <c r="M194" s="17"/>
      <c r="N194" s="18"/>
      <c r="O194" s="16" t="s">
        <v>83</v>
      </c>
      <c r="P194" s="18"/>
    </row>
    <row r="195" spans="1:16" ht="16.5" customHeight="1">
      <c r="A195" s="10">
        <v>194</v>
      </c>
      <c r="B195" s="10">
        <v>41</v>
      </c>
      <c r="C195" s="10">
        <v>22</v>
      </c>
      <c r="D195" s="11" t="s">
        <v>3882</v>
      </c>
      <c r="E195" s="19" t="s">
        <v>3883</v>
      </c>
      <c r="F195" s="11" t="s">
        <v>3885</v>
      </c>
      <c r="G195" s="10" t="s">
        <v>106</v>
      </c>
      <c r="H195" s="13" t="s">
        <v>3886</v>
      </c>
      <c r="I195" s="16" t="s">
        <v>82</v>
      </c>
      <c r="J195" s="17"/>
      <c r="K195" s="17"/>
      <c r="L195" s="17"/>
      <c r="M195" s="17"/>
      <c r="N195" s="18"/>
      <c r="O195" s="16" t="s">
        <v>83</v>
      </c>
      <c r="P195" s="18"/>
    </row>
    <row r="196" spans="1:16" ht="16.5" customHeight="1">
      <c r="A196" s="10">
        <v>195</v>
      </c>
      <c r="B196" s="10">
        <v>41</v>
      </c>
      <c r="C196" s="10">
        <v>23</v>
      </c>
      <c r="D196" s="11" t="s">
        <v>3883</v>
      </c>
      <c r="E196" s="12" t="s">
        <v>3885</v>
      </c>
      <c r="F196" s="11" t="s">
        <v>3887</v>
      </c>
      <c r="G196" s="10"/>
      <c r="H196" s="13" t="s">
        <v>3888</v>
      </c>
      <c r="I196" s="16" t="s">
        <v>82</v>
      </c>
      <c r="J196" s="17"/>
      <c r="K196" s="17"/>
      <c r="L196" s="17"/>
      <c r="M196" s="17"/>
      <c r="N196" s="18"/>
      <c r="O196" s="16" t="s">
        <v>83</v>
      </c>
      <c r="P196" s="18"/>
    </row>
    <row r="197" spans="1:16" ht="16.5" customHeight="1">
      <c r="A197" s="10">
        <v>196</v>
      </c>
      <c r="B197" s="10">
        <v>41</v>
      </c>
      <c r="C197" s="10">
        <v>87</v>
      </c>
      <c r="D197" s="11" t="s">
        <v>3889</v>
      </c>
      <c r="E197" s="12" t="s">
        <v>3890</v>
      </c>
      <c r="F197" s="11" t="s">
        <v>3891</v>
      </c>
      <c r="G197" s="10"/>
      <c r="H197" s="13" t="s">
        <v>3892</v>
      </c>
      <c r="I197" s="16" t="s">
        <v>82</v>
      </c>
      <c r="J197" s="17"/>
      <c r="K197" s="17"/>
      <c r="L197" s="17"/>
      <c r="M197" s="17"/>
      <c r="N197" s="18"/>
      <c r="O197" s="16" t="s">
        <v>83</v>
      </c>
      <c r="P197" s="18"/>
    </row>
    <row r="198" spans="1:16" ht="16.5" customHeight="1">
      <c r="A198" s="10">
        <v>197</v>
      </c>
      <c r="B198" s="10">
        <v>41</v>
      </c>
      <c r="C198" s="10">
        <v>88</v>
      </c>
      <c r="D198" s="11" t="s">
        <v>3890</v>
      </c>
      <c r="E198" s="19" t="s">
        <v>3891</v>
      </c>
      <c r="F198" s="11" t="s">
        <v>3893</v>
      </c>
      <c r="G198" s="10" t="s">
        <v>569</v>
      </c>
      <c r="H198" s="13" t="s">
        <v>3894</v>
      </c>
      <c r="I198" s="16" t="s">
        <v>82</v>
      </c>
      <c r="J198" s="17"/>
      <c r="K198" s="17"/>
      <c r="L198" s="17"/>
      <c r="M198" s="17"/>
      <c r="N198" s="18"/>
      <c r="O198" s="16" t="s">
        <v>83</v>
      </c>
      <c r="P198" s="18"/>
    </row>
    <row r="199" spans="1:16" ht="16.5" customHeight="1">
      <c r="A199" s="10">
        <v>198</v>
      </c>
      <c r="B199" s="10">
        <v>41</v>
      </c>
      <c r="C199" s="10">
        <v>89</v>
      </c>
      <c r="D199" s="11" t="s">
        <v>3891</v>
      </c>
      <c r="E199" s="12" t="s">
        <v>3893</v>
      </c>
      <c r="F199" s="11" t="s">
        <v>3895</v>
      </c>
      <c r="G199" s="10"/>
      <c r="H199" s="13" t="s">
        <v>262</v>
      </c>
      <c r="I199" s="16" t="s">
        <v>82</v>
      </c>
      <c r="J199" s="17"/>
      <c r="K199" s="17"/>
      <c r="L199" s="17"/>
      <c r="M199" s="17"/>
      <c r="N199" s="18"/>
      <c r="O199" s="16" t="s">
        <v>83</v>
      </c>
      <c r="P199" s="18"/>
    </row>
    <row r="200" spans="1:16" ht="16.5" customHeight="1">
      <c r="A200" s="10">
        <v>199</v>
      </c>
      <c r="B200" s="10">
        <v>43</v>
      </c>
      <c r="C200" s="10">
        <v>3</v>
      </c>
      <c r="D200" s="11" t="s">
        <v>3896</v>
      </c>
      <c r="E200" s="12" t="s">
        <v>3897</v>
      </c>
      <c r="F200" s="11" t="s">
        <v>3898</v>
      </c>
      <c r="G200" s="10"/>
      <c r="H200" s="13" t="s">
        <v>3899</v>
      </c>
      <c r="I200" s="16" t="s">
        <v>82</v>
      </c>
      <c r="J200" s="17"/>
      <c r="K200" s="17"/>
      <c r="L200" s="17"/>
      <c r="M200" s="17"/>
      <c r="N200" s="18"/>
      <c r="O200" s="16" t="s">
        <v>83</v>
      </c>
      <c r="P200" s="18"/>
    </row>
    <row r="201" spans="1:16" ht="16.5" customHeight="1">
      <c r="A201" s="10">
        <v>200</v>
      </c>
      <c r="B201" s="10">
        <v>43</v>
      </c>
      <c r="C201" s="10">
        <v>4</v>
      </c>
      <c r="D201" s="11" t="s">
        <v>3897</v>
      </c>
      <c r="E201" s="19" t="s">
        <v>3898</v>
      </c>
      <c r="F201" s="11" t="s">
        <v>3900</v>
      </c>
      <c r="G201" s="10" t="s">
        <v>106</v>
      </c>
      <c r="H201" s="13" t="s">
        <v>3901</v>
      </c>
      <c r="I201" s="16" t="s">
        <v>82</v>
      </c>
      <c r="J201" s="17"/>
      <c r="K201" s="17"/>
      <c r="L201" s="17"/>
      <c r="M201" s="17"/>
      <c r="N201" s="18"/>
      <c r="O201" s="16" t="s">
        <v>83</v>
      </c>
      <c r="P201" s="18"/>
    </row>
    <row r="202" spans="1:16" ht="16.5" customHeight="1">
      <c r="A202" s="10">
        <v>201</v>
      </c>
      <c r="B202" s="10">
        <v>43</v>
      </c>
      <c r="C202" s="10">
        <v>5</v>
      </c>
      <c r="D202" s="11" t="s">
        <v>3898</v>
      </c>
      <c r="E202" s="12" t="s">
        <v>3900</v>
      </c>
      <c r="F202" s="11" t="s">
        <v>3902</v>
      </c>
      <c r="G202" s="10"/>
      <c r="H202" s="13" t="s">
        <v>3903</v>
      </c>
      <c r="I202" s="16" t="s">
        <v>82</v>
      </c>
      <c r="J202" s="17"/>
      <c r="K202" s="17"/>
      <c r="L202" s="17"/>
      <c r="M202" s="17"/>
      <c r="N202" s="18"/>
      <c r="O202" s="16" t="s">
        <v>83</v>
      </c>
      <c r="P202" s="18"/>
    </row>
    <row r="203" spans="1:16" ht="16.5" customHeight="1">
      <c r="A203" s="10">
        <v>202</v>
      </c>
      <c r="B203" s="10">
        <v>43</v>
      </c>
      <c r="C203" s="10">
        <v>11</v>
      </c>
      <c r="D203" s="11" t="s">
        <v>3904</v>
      </c>
      <c r="E203" s="12" t="s">
        <v>3905</v>
      </c>
      <c r="F203" s="11" t="s">
        <v>3906</v>
      </c>
      <c r="G203" s="10"/>
      <c r="H203" s="13"/>
      <c r="I203" s="16" t="s">
        <v>82</v>
      </c>
      <c r="J203" s="17"/>
      <c r="K203" s="17"/>
      <c r="L203" s="17"/>
      <c r="M203" s="17"/>
      <c r="N203" s="18"/>
      <c r="O203" s="16" t="s">
        <v>83</v>
      </c>
      <c r="P203" s="18"/>
    </row>
    <row r="204" spans="1:16" ht="16.5" customHeight="1">
      <c r="A204" s="10">
        <v>203</v>
      </c>
      <c r="B204" s="10">
        <v>43</v>
      </c>
      <c r="C204" s="10">
        <v>12</v>
      </c>
      <c r="D204" s="11" t="s">
        <v>3905</v>
      </c>
      <c r="E204" s="19" t="s">
        <v>3906</v>
      </c>
      <c r="F204" s="11" t="s">
        <v>3907</v>
      </c>
      <c r="G204" s="10" t="s">
        <v>106</v>
      </c>
      <c r="H204" s="13" t="s">
        <v>3908</v>
      </c>
      <c r="I204" s="16" t="s">
        <v>82</v>
      </c>
      <c r="J204" s="17"/>
      <c r="K204" s="17"/>
      <c r="L204" s="17"/>
      <c r="M204" s="17"/>
      <c r="N204" s="18"/>
      <c r="O204" s="16" t="s">
        <v>83</v>
      </c>
      <c r="P204" s="18"/>
    </row>
    <row r="205" spans="1:16" ht="16.5" customHeight="1">
      <c r="A205" s="10">
        <v>204</v>
      </c>
      <c r="B205" s="10">
        <v>43</v>
      </c>
      <c r="C205" s="10">
        <v>13</v>
      </c>
      <c r="D205" s="11" t="s">
        <v>3906</v>
      </c>
      <c r="E205" s="12" t="s">
        <v>3907</v>
      </c>
      <c r="F205" s="11" t="s">
        <v>3909</v>
      </c>
      <c r="G205" s="10"/>
      <c r="H205" s="13" t="s">
        <v>3910</v>
      </c>
      <c r="I205" s="16" t="s">
        <v>82</v>
      </c>
      <c r="J205" s="17"/>
      <c r="K205" s="17"/>
      <c r="L205" s="17"/>
      <c r="M205" s="17"/>
      <c r="N205" s="18"/>
      <c r="O205" s="16" t="s">
        <v>83</v>
      </c>
      <c r="P205" s="18"/>
    </row>
    <row r="206" spans="1:16" ht="16.5" customHeight="1">
      <c r="A206" s="10">
        <v>205</v>
      </c>
      <c r="B206" s="10">
        <v>43</v>
      </c>
      <c r="C206" s="10">
        <v>14</v>
      </c>
      <c r="D206" s="11" t="s">
        <v>3907</v>
      </c>
      <c r="E206" s="12" t="s">
        <v>3909</v>
      </c>
      <c r="F206" s="11" t="s">
        <v>3911</v>
      </c>
      <c r="G206" s="10"/>
      <c r="H206" s="13" t="s">
        <v>3899</v>
      </c>
      <c r="I206" s="16" t="s">
        <v>82</v>
      </c>
      <c r="J206" s="17"/>
      <c r="K206" s="17"/>
      <c r="L206" s="17"/>
      <c r="M206" s="17"/>
      <c r="N206" s="18"/>
      <c r="O206" s="16" t="s">
        <v>83</v>
      </c>
      <c r="P206" s="18"/>
    </row>
    <row r="207" spans="1:16" ht="16.5" customHeight="1">
      <c r="A207" s="10">
        <v>206</v>
      </c>
      <c r="B207" s="10">
        <v>43</v>
      </c>
      <c r="C207" s="10">
        <v>15</v>
      </c>
      <c r="D207" s="11" t="s">
        <v>3909</v>
      </c>
      <c r="E207" s="19" t="s">
        <v>3911</v>
      </c>
      <c r="F207" s="11" t="s">
        <v>3912</v>
      </c>
      <c r="G207" s="10" t="s">
        <v>106</v>
      </c>
      <c r="H207" s="13" t="s">
        <v>3913</v>
      </c>
      <c r="I207" s="16" t="s">
        <v>82</v>
      </c>
      <c r="J207" s="17"/>
      <c r="K207" s="17"/>
      <c r="L207" s="17"/>
      <c r="M207" s="17"/>
      <c r="N207" s="18"/>
      <c r="O207" s="16" t="s">
        <v>83</v>
      </c>
      <c r="P207" s="18"/>
    </row>
    <row r="208" spans="1:16" ht="16.5" customHeight="1">
      <c r="A208" s="10">
        <v>207</v>
      </c>
      <c r="B208" s="10">
        <v>43</v>
      </c>
      <c r="C208" s="10">
        <v>16</v>
      </c>
      <c r="D208" s="11" t="s">
        <v>3911</v>
      </c>
      <c r="E208" s="12" t="s">
        <v>3912</v>
      </c>
      <c r="F208" s="11" t="s">
        <v>3914</v>
      </c>
      <c r="G208" s="10"/>
      <c r="H208" s="13" t="s">
        <v>3899</v>
      </c>
      <c r="I208" s="16" t="s">
        <v>82</v>
      </c>
      <c r="J208" s="17"/>
      <c r="K208" s="17"/>
      <c r="L208" s="17"/>
      <c r="M208" s="17"/>
      <c r="N208" s="18"/>
      <c r="O208" s="16" t="s">
        <v>83</v>
      </c>
      <c r="P208" s="18"/>
    </row>
    <row r="209" spans="1:16" ht="16.5" customHeight="1">
      <c r="A209" s="10">
        <v>208</v>
      </c>
      <c r="B209" s="10">
        <v>43</v>
      </c>
      <c r="C209" s="10">
        <v>18</v>
      </c>
      <c r="D209" s="11" t="s">
        <v>3914</v>
      </c>
      <c r="E209" s="12" t="s">
        <v>3915</v>
      </c>
      <c r="F209" s="11" t="s">
        <v>3916</v>
      </c>
      <c r="G209" s="10"/>
      <c r="H209" s="13" t="s">
        <v>3899</v>
      </c>
      <c r="I209" s="16" t="s">
        <v>82</v>
      </c>
      <c r="J209" s="17"/>
      <c r="K209" s="17"/>
      <c r="L209" s="17"/>
      <c r="M209" s="17"/>
      <c r="N209" s="18"/>
      <c r="O209" s="16" t="s">
        <v>83</v>
      </c>
      <c r="P209" s="18"/>
    </row>
    <row r="210" spans="1:16" ht="16.5" customHeight="1">
      <c r="A210" s="10">
        <v>209</v>
      </c>
      <c r="B210" s="10">
        <v>43</v>
      </c>
      <c r="C210" s="10">
        <v>19</v>
      </c>
      <c r="D210" s="11" t="s">
        <v>3915</v>
      </c>
      <c r="E210" s="19" t="s">
        <v>3916</v>
      </c>
      <c r="F210" s="11" t="s">
        <v>3917</v>
      </c>
      <c r="G210" s="10" t="s">
        <v>106</v>
      </c>
      <c r="H210" s="13" t="s">
        <v>3918</v>
      </c>
      <c r="I210" s="16" t="s">
        <v>82</v>
      </c>
      <c r="J210" s="17"/>
      <c r="K210" s="17"/>
      <c r="L210" s="17"/>
      <c r="M210" s="17"/>
      <c r="N210" s="18"/>
      <c r="O210" s="16" t="s">
        <v>83</v>
      </c>
      <c r="P210" s="18"/>
    </row>
    <row r="211" spans="1:16" ht="16.5" customHeight="1">
      <c r="A211" s="10">
        <v>210</v>
      </c>
      <c r="B211" s="10">
        <v>43</v>
      </c>
      <c r="C211" s="10">
        <v>20</v>
      </c>
      <c r="D211" s="11" t="s">
        <v>3916</v>
      </c>
      <c r="E211" s="12" t="s">
        <v>3917</v>
      </c>
      <c r="F211" s="11" t="s">
        <v>3919</v>
      </c>
      <c r="G211" s="10"/>
      <c r="H211" s="13" t="s">
        <v>3920</v>
      </c>
      <c r="I211" s="16" t="s">
        <v>82</v>
      </c>
      <c r="J211" s="17"/>
      <c r="K211" s="17"/>
      <c r="L211" s="17"/>
      <c r="M211" s="17"/>
      <c r="N211" s="18"/>
      <c r="O211" s="16" t="s">
        <v>83</v>
      </c>
      <c r="P211" s="18"/>
    </row>
    <row r="212" spans="1:16" ht="16.5" customHeight="1">
      <c r="A212" s="10">
        <v>211</v>
      </c>
      <c r="B212" s="10">
        <v>43</v>
      </c>
      <c r="C212" s="10">
        <v>21</v>
      </c>
      <c r="D212" s="11" t="s">
        <v>3917</v>
      </c>
      <c r="E212" s="19" t="s">
        <v>3919</v>
      </c>
      <c r="F212" s="11" t="s">
        <v>3921</v>
      </c>
      <c r="G212" s="10" t="s">
        <v>106</v>
      </c>
      <c r="H212" s="13" t="s">
        <v>3908</v>
      </c>
      <c r="I212" s="16" t="s">
        <v>82</v>
      </c>
      <c r="J212" s="17"/>
      <c r="K212" s="17"/>
      <c r="L212" s="17"/>
      <c r="M212" s="17"/>
      <c r="N212" s="18"/>
      <c r="O212" s="16" t="s">
        <v>83</v>
      </c>
      <c r="P212" s="18"/>
    </row>
    <row r="213" spans="1:16" ht="16.5" customHeight="1">
      <c r="A213" s="10">
        <v>212</v>
      </c>
      <c r="B213" s="10">
        <v>43</v>
      </c>
      <c r="C213" s="10">
        <v>22</v>
      </c>
      <c r="D213" s="11" t="s">
        <v>3919</v>
      </c>
      <c r="E213" s="12" t="s">
        <v>3921</v>
      </c>
      <c r="F213" s="11" t="s">
        <v>3922</v>
      </c>
      <c r="G213" s="10"/>
      <c r="H213" s="13" t="s">
        <v>3899</v>
      </c>
      <c r="I213" s="16" t="s">
        <v>82</v>
      </c>
      <c r="J213" s="17"/>
      <c r="K213" s="17"/>
      <c r="L213" s="17"/>
      <c r="M213" s="17"/>
      <c r="N213" s="18"/>
      <c r="O213" s="16" t="s">
        <v>83</v>
      </c>
      <c r="P213" s="18"/>
    </row>
    <row r="214" spans="1:16" ht="16.5" customHeight="1">
      <c r="A214" s="10">
        <v>213</v>
      </c>
      <c r="B214" s="10">
        <v>43</v>
      </c>
      <c r="C214" s="10">
        <v>35</v>
      </c>
      <c r="D214" s="11" t="s">
        <v>3923</v>
      </c>
      <c r="E214" s="12" t="s">
        <v>3924</v>
      </c>
      <c r="F214" s="11" t="s">
        <v>3925</v>
      </c>
      <c r="G214" s="10"/>
      <c r="H214" s="13"/>
      <c r="I214" s="16" t="s">
        <v>82</v>
      </c>
      <c r="J214" s="17"/>
      <c r="K214" s="17"/>
      <c r="L214" s="17"/>
      <c r="M214" s="17"/>
      <c r="N214" s="18"/>
      <c r="O214" s="16" t="s">
        <v>83</v>
      </c>
      <c r="P214" s="18"/>
    </row>
    <row r="215" spans="1:16" ht="16.5" customHeight="1">
      <c r="A215" s="10">
        <v>214</v>
      </c>
      <c r="B215" s="10">
        <v>43</v>
      </c>
      <c r="C215" s="10">
        <v>36</v>
      </c>
      <c r="D215" s="11" t="s">
        <v>3924</v>
      </c>
      <c r="E215" s="19" t="s">
        <v>3925</v>
      </c>
      <c r="F215" s="11" t="s">
        <v>3926</v>
      </c>
      <c r="G215" s="10" t="s">
        <v>106</v>
      </c>
      <c r="H215" s="13" t="s">
        <v>3927</v>
      </c>
      <c r="I215" s="16" t="s">
        <v>82</v>
      </c>
      <c r="J215" s="17"/>
      <c r="K215" s="17"/>
      <c r="L215" s="17"/>
      <c r="M215" s="17"/>
      <c r="N215" s="18"/>
      <c r="O215" s="16" t="s">
        <v>83</v>
      </c>
      <c r="P215" s="18"/>
    </row>
    <row r="216" spans="1:16" ht="16.5" customHeight="1">
      <c r="A216" s="10">
        <v>215</v>
      </c>
      <c r="B216" s="10">
        <v>43</v>
      </c>
      <c r="C216" s="10">
        <v>37</v>
      </c>
      <c r="D216" s="11" t="s">
        <v>3925</v>
      </c>
      <c r="E216" s="12" t="s">
        <v>3926</v>
      </c>
      <c r="F216" s="11" t="s">
        <v>3928</v>
      </c>
      <c r="G216" s="10"/>
      <c r="H216" s="13" t="s">
        <v>3701</v>
      </c>
      <c r="I216" s="16" t="s">
        <v>82</v>
      </c>
      <c r="J216" s="17"/>
      <c r="K216" s="17"/>
      <c r="L216" s="17"/>
      <c r="M216" s="17"/>
      <c r="N216" s="18"/>
      <c r="O216" s="16" t="s">
        <v>83</v>
      </c>
      <c r="P216" s="18"/>
    </row>
    <row r="217" spans="1:16" ht="16.5" customHeight="1">
      <c r="A217" s="10">
        <v>216</v>
      </c>
      <c r="B217" s="10">
        <v>43</v>
      </c>
      <c r="C217" s="10">
        <v>38</v>
      </c>
      <c r="D217" s="11" t="s">
        <v>3926</v>
      </c>
      <c r="E217" s="19" t="s">
        <v>3928</v>
      </c>
      <c r="F217" s="11" t="s">
        <v>3929</v>
      </c>
      <c r="G217" s="10" t="s">
        <v>106</v>
      </c>
      <c r="H217" s="13" t="s">
        <v>3927</v>
      </c>
      <c r="I217" s="16" t="s">
        <v>82</v>
      </c>
      <c r="J217" s="17"/>
      <c r="K217" s="17"/>
      <c r="L217" s="17"/>
      <c r="M217" s="17"/>
      <c r="N217" s="18"/>
      <c r="O217" s="16" t="s">
        <v>83</v>
      </c>
      <c r="P217" s="18"/>
    </row>
    <row r="218" spans="1:16" ht="16.5" customHeight="1">
      <c r="A218" s="10">
        <v>217</v>
      </c>
      <c r="B218" s="10">
        <v>43</v>
      </c>
      <c r="C218" s="10">
        <v>39</v>
      </c>
      <c r="D218" s="11" t="s">
        <v>3928</v>
      </c>
      <c r="E218" s="12" t="s">
        <v>3929</v>
      </c>
      <c r="F218" s="11" t="s">
        <v>3930</v>
      </c>
      <c r="G218" s="10"/>
      <c r="H218" s="13" t="s">
        <v>3701</v>
      </c>
      <c r="I218" s="16" t="s">
        <v>82</v>
      </c>
      <c r="J218" s="17"/>
      <c r="K218" s="17"/>
      <c r="L218" s="17"/>
      <c r="M218" s="17"/>
      <c r="N218" s="18"/>
      <c r="O218" s="16" t="s">
        <v>83</v>
      </c>
      <c r="P218" s="18"/>
    </row>
    <row r="219" spans="1:16" ht="16.5" customHeight="1">
      <c r="A219" s="10">
        <v>218</v>
      </c>
      <c r="B219" s="10">
        <v>44</v>
      </c>
      <c r="C219" s="10">
        <v>12</v>
      </c>
      <c r="D219" s="11" t="s">
        <v>3931</v>
      </c>
      <c r="E219" s="12" t="s">
        <v>3932</v>
      </c>
      <c r="F219" s="11" t="s">
        <v>3933</v>
      </c>
      <c r="G219" s="10"/>
      <c r="H219" s="13" t="s">
        <v>3934</v>
      </c>
      <c r="I219" s="16" t="s">
        <v>82</v>
      </c>
      <c r="J219" s="17"/>
      <c r="K219" s="17"/>
      <c r="L219" s="17"/>
      <c r="M219" s="17"/>
      <c r="N219" s="18"/>
      <c r="O219" s="16" t="s">
        <v>83</v>
      </c>
      <c r="P219" s="18"/>
    </row>
    <row r="220" spans="1:16" ht="16.5" customHeight="1">
      <c r="A220" s="10">
        <v>219</v>
      </c>
      <c r="B220" s="10">
        <v>44</v>
      </c>
      <c r="C220" s="10">
        <v>13</v>
      </c>
      <c r="D220" s="11" t="s">
        <v>3932</v>
      </c>
      <c r="E220" s="19" t="s">
        <v>3933</v>
      </c>
      <c r="F220" s="11" t="s">
        <v>3935</v>
      </c>
      <c r="G220" s="10" t="s">
        <v>2920</v>
      </c>
      <c r="H220" s="13" t="s">
        <v>3936</v>
      </c>
      <c r="I220" s="16" t="s">
        <v>89</v>
      </c>
      <c r="J220" s="17" t="s">
        <v>155</v>
      </c>
      <c r="K220" s="17" t="s">
        <v>91</v>
      </c>
      <c r="L220" s="17" t="s">
        <v>3937</v>
      </c>
      <c r="M220" s="17" t="s">
        <v>3938</v>
      </c>
      <c r="N220" s="18" t="s">
        <v>3939</v>
      </c>
      <c r="O220" s="16" t="s">
        <v>113</v>
      </c>
      <c r="P220" s="18"/>
    </row>
    <row r="221" spans="1:16" ht="16.5" customHeight="1">
      <c r="A221" s="10">
        <v>220</v>
      </c>
      <c r="B221" s="10">
        <v>44</v>
      </c>
      <c r="C221" s="10">
        <v>14</v>
      </c>
      <c r="D221" s="11" t="s">
        <v>3933</v>
      </c>
      <c r="E221" s="19" t="s">
        <v>3935</v>
      </c>
      <c r="F221" s="11" t="s">
        <v>3940</v>
      </c>
      <c r="G221" s="10" t="s">
        <v>569</v>
      </c>
      <c r="H221" s="13" t="s">
        <v>3941</v>
      </c>
      <c r="I221" s="16" t="s">
        <v>89</v>
      </c>
      <c r="J221" s="17" t="s">
        <v>342</v>
      </c>
      <c r="K221" s="17" t="s">
        <v>91</v>
      </c>
      <c r="L221" s="17" t="s">
        <v>3935</v>
      </c>
      <c r="M221" s="17" t="s">
        <v>3470</v>
      </c>
      <c r="N221" s="18" t="s">
        <v>3942</v>
      </c>
      <c r="O221" s="16" t="s">
        <v>83</v>
      </c>
      <c r="P221" s="18"/>
    </row>
    <row r="222" spans="1:16" ht="16.5" customHeight="1">
      <c r="A222" s="10">
        <v>221</v>
      </c>
      <c r="B222" s="10">
        <v>44</v>
      </c>
      <c r="C222" s="10">
        <v>15</v>
      </c>
      <c r="D222" s="11" t="s">
        <v>3935</v>
      </c>
      <c r="E222" s="19" t="s">
        <v>3940</v>
      </c>
      <c r="F222" s="11" t="s">
        <v>3943</v>
      </c>
      <c r="G222" s="10" t="s">
        <v>85</v>
      </c>
      <c r="H222" s="13" t="s">
        <v>3944</v>
      </c>
      <c r="I222" s="16" t="s">
        <v>89</v>
      </c>
      <c r="J222" s="17" t="s">
        <v>368</v>
      </c>
      <c r="K222" s="17" t="s">
        <v>1145</v>
      </c>
      <c r="L222" s="17" t="s">
        <v>3945</v>
      </c>
      <c r="M222" s="17" t="s">
        <v>3946</v>
      </c>
      <c r="N222" s="18" t="s">
        <v>3947</v>
      </c>
      <c r="O222" s="16" t="s">
        <v>83</v>
      </c>
      <c r="P222" s="18"/>
    </row>
    <row r="223" spans="1:16" ht="16.5" customHeight="1">
      <c r="A223" s="10">
        <v>222</v>
      </c>
      <c r="B223" s="10">
        <v>44</v>
      </c>
      <c r="C223" s="10">
        <v>16</v>
      </c>
      <c r="D223" s="11" t="s">
        <v>3940</v>
      </c>
      <c r="E223" s="12" t="s">
        <v>3943</v>
      </c>
      <c r="F223" s="11" t="s">
        <v>3948</v>
      </c>
      <c r="G223" s="10"/>
      <c r="H223" s="13" t="s">
        <v>3949</v>
      </c>
      <c r="I223" s="16" t="s">
        <v>89</v>
      </c>
      <c r="J223" s="17" t="s">
        <v>155</v>
      </c>
      <c r="K223" s="17" t="s">
        <v>1961</v>
      </c>
      <c r="L223" s="17" t="s">
        <v>3943</v>
      </c>
      <c r="M223" s="17" t="s">
        <v>3950</v>
      </c>
      <c r="N223" s="18" t="s">
        <v>3951</v>
      </c>
      <c r="O223" s="16" t="s">
        <v>113</v>
      </c>
      <c r="P223" s="18"/>
    </row>
    <row r="224" spans="1:16" ht="16.5" customHeight="1">
      <c r="A224" s="10">
        <v>223</v>
      </c>
      <c r="B224" s="10">
        <v>44</v>
      </c>
      <c r="C224" s="10">
        <v>35</v>
      </c>
      <c r="D224" s="11" t="s">
        <v>3952</v>
      </c>
      <c r="E224" s="12" t="s">
        <v>3953</v>
      </c>
      <c r="F224" s="11" t="s">
        <v>3954</v>
      </c>
      <c r="G224" s="10"/>
      <c r="H224" s="13" t="s">
        <v>3955</v>
      </c>
      <c r="I224" s="16" t="s">
        <v>82</v>
      </c>
      <c r="J224" s="17"/>
      <c r="K224" s="17"/>
      <c r="L224" s="17"/>
      <c r="M224" s="17"/>
      <c r="N224" s="18"/>
      <c r="O224" s="16" t="s">
        <v>83</v>
      </c>
      <c r="P224" s="18"/>
    </row>
    <row r="225" spans="1:16" ht="16.5" customHeight="1">
      <c r="A225" s="10">
        <v>224</v>
      </c>
      <c r="B225" s="10">
        <v>44</v>
      </c>
      <c r="C225" s="10">
        <v>36</v>
      </c>
      <c r="D225" s="11" t="s">
        <v>3953</v>
      </c>
      <c r="E225" s="19" t="s">
        <v>3954</v>
      </c>
      <c r="F225" s="11" t="s">
        <v>3956</v>
      </c>
      <c r="G225" s="10" t="s">
        <v>3253</v>
      </c>
      <c r="H225" s="13" t="s">
        <v>3957</v>
      </c>
      <c r="I225" s="16" t="s">
        <v>89</v>
      </c>
      <c r="J225" s="17" t="s">
        <v>128</v>
      </c>
      <c r="K225" s="17" t="s">
        <v>1145</v>
      </c>
      <c r="L225" s="17" t="s">
        <v>3958</v>
      </c>
      <c r="M225" s="17" t="s">
        <v>3959</v>
      </c>
      <c r="N225" s="18" t="s">
        <v>3960</v>
      </c>
      <c r="O225" s="16" t="s">
        <v>83</v>
      </c>
      <c r="P225" s="18"/>
    </row>
    <row r="226" spans="1:16" ht="16.5" customHeight="1">
      <c r="A226" s="10">
        <v>225</v>
      </c>
      <c r="B226" s="10">
        <v>44</v>
      </c>
      <c r="C226" s="10">
        <v>37</v>
      </c>
      <c r="D226" s="11" t="s">
        <v>3954</v>
      </c>
      <c r="E226" s="19" t="s">
        <v>3956</v>
      </c>
      <c r="F226" s="11" t="s">
        <v>3961</v>
      </c>
      <c r="G226" s="10" t="s">
        <v>85</v>
      </c>
      <c r="H226" s="13" t="s">
        <v>3962</v>
      </c>
      <c r="I226" s="16" t="s">
        <v>89</v>
      </c>
      <c r="J226" s="17" t="s">
        <v>128</v>
      </c>
      <c r="K226" s="17" t="s">
        <v>209</v>
      </c>
      <c r="L226" s="17" t="s">
        <v>3963</v>
      </c>
      <c r="M226" s="17" t="s">
        <v>3964</v>
      </c>
      <c r="N226" s="18" t="s">
        <v>3965</v>
      </c>
      <c r="O226" s="16" t="s">
        <v>113</v>
      </c>
      <c r="P226" s="18"/>
    </row>
    <row r="227" spans="1:16" ht="16.5" customHeight="1">
      <c r="A227" s="10">
        <v>226</v>
      </c>
      <c r="B227" s="10">
        <v>44</v>
      </c>
      <c r="C227" s="10">
        <v>38</v>
      </c>
      <c r="D227" s="11" t="s">
        <v>3956</v>
      </c>
      <c r="E227" s="12" t="s">
        <v>3961</v>
      </c>
      <c r="F227" s="11" t="s">
        <v>3966</v>
      </c>
      <c r="G227" s="10"/>
      <c r="H227" s="13" t="s">
        <v>3967</v>
      </c>
      <c r="I227" s="16" t="s">
        <v>82</v>
      </c>
      <c r="J227" s="17"/>
      <c r="K227" s="17"/>
      <c r="L227" s="17"/>
      <c r="M227" s="17"/>
      <c r="N227" s="18"/>
      <c r="O227" s="16" t="s">
        <v>83</v>
      </c>
      <c r="P227" s="18"/>
    </row>
    <row r="228" spans="1:16" ht="16.5" customHeight="1">
      <c r="A228" s="10">
        <v>227</v>
      </c>
      <c r="B228" s="10">
        <v>44</v>
      </c>
      <c r="C228" s="10">
        <v>39</v>
      </c>
      <c r="D228" s="11" t="s">
        <v>3961</v>
      </c>
      <c r="E228" s="19" t="s">
        <v>3966</v>
      </c>
      <c r="F228" s="11" t="s">
        <v>3968</v>
      </c>
      <c r="G228" s="10" t="s">
        <v>540</v>
      </c>
      <c r="H228" s="13" t="s">
        <v>3969</v>
      </c>
      <c r="I228" s="16" t="s">
        <v>82</v>
      </c>
      <c r="J228" s="17"/>
      <c r="K228" s="17"/>
      <c r="L228" s="17"/>
      <c r="M228" s="17"/>
      <c r="N228" s="18"/>
      <c r="O228" s="16" t="s">
        <v>83</v>
      </c>
      <c r="P228" s="18"/>
    </row>
    <row r="229" spans="1:16" ht="16.5" customHeight="1">
      <c r="A229" s="10">
        <v>228</v>
      </c>
      <c r="B229" s="10">
        <v>44</v>
      </c>
      <c r="C229" s="10">
        <v>40</v>
      </c>
      <c r="D229" s="11" t="s">
        <v>3966</v>
      </c>
      <c r="E229" s="12" t="s">
        <v>3968</v>
      </c>
      <c r="F229" s="11" t="s">
        <v>3970</v>
      </c>
      <c r="G229" s="10"/>
      <c r="H229" s="13" t="s">
        <v>3971</v>
      </c>
      <c r="I229" s="16" t="s">
        <v>82</v>
      </c>
      <c r="J229" s="17"/>
      <c r="K229" s="17"/>
      <c r="L229" s="17"/>
      <c r="M229" s="17"/>
      <c r="N229" s="18"/>
      <c r="O229" s="16" t="s">
        <v>83</v>
      </c>
      <c r="P229" s="18"/>
    </row>
    <row r="230" spans="1:16" ht="16.5" customHeight="1">
      <c r="A230" s="10">
        <v>229</v>
      </c>
      <c r="B230" s="10">
        <v>44</v>
      </c>
      <c r="C230" s="10">
        <v>79</v>
      </c>
      <c r="D230" s="11" t="s">
        <v>3972</v>
      </c>
      <c r="E230" s="12" t="s">
        <v>3973</v>
      </c>
      <c r="F230" s="11" t="s">
        <v>3974</v>
      </c>
      <c r="G230" s="10"/>
      <c r="H230" s="13" t="s">
        <v>3975</v>
      </c>
      <c r="I230" s="16" t="s">
        <v>82</v>
      </c>
      <c r="J230" s="17"/>
      <c r="K230" s="17"/>
      <c r="L230" s="17"/>
      <c r="M230" s="17"/>
      <c r="N230" s="18"/>
      <c r="O230" s="16" t="s">
        <v>83</v>
      </c>
      <c r="P230" s="18"/>
    </row>
    <row r="231" spans="1:16" ht="16.5" customHeight="1">
      <c r="A231" s="10">
        <v>230</v>
      </c>
      <c r="B231" s="10">
        <v>44</v>
      </c>
      <c r="C231" s="10">
        <v>80</v>
      </c>
      <c r="D231" s="11" t="s">
        <v>3973</v>
      </c>
      <c r="E231" s="19" t="s">
        <v>3974</v>
      </c>
      <c r="F231" s="11" t="s">
        <v>3976</v>
      </c>
      <c r="G231" s="10" t="s">
        <v>2753</v>
      </c>
      <c r="H231" s="13" t="s">
        <v>3977</v>
      </c>
      <c r="I231" s="16" t="s">
        <v>82</v>
      </c>
      <c r="J231" s="17"/>
      <c r="K231" s="17"/>
      <c r="L231" s="17"/>
      <c r="M231" s="17"/>
      <c r="N231" s="18"/>
      <c r="O231" s="16" t="s">
        <v>83</v>
      </c>
      <c r="P231" s="18"/>
    </row>
    <row r="232" spans="1:16" ht="16.5" customHeight="1">
      <c r="A232" s="10">
        <v>231</v>
      </c>
      <c r="B232" s="10">
        <v>44</v>
      </c>
      <c r="C232" s="10">
        <v>81</v>
      </c>
      <c r="D232" s="11" t="s">
        <v>3974</v>
      </c>
      <c r="E232" s="12" t="s">
        <v>3976</v>
      </c>
      <c r="F232" s="11" t="s">
        <v>3978</v>
      </c>
      <c r="G232" s="10"/>
      <c r="H232" s="13" t="s">
        <v>3979</v>
      </c>
      <c r="I232" s="16" t="s">
        <v>82</v>
      </c>
      <c r="J232" s="17"/>
      <c r="K232" s="17"/>
      <c r="L232" s="17"/>
      <c r="M232" s="17"/>
      <c r="N232" s="18"/>
      <c r="O232" s="16" t="s">
        <v>83</v>
      </c>
      <c r="P232" s="18"/>
    </row>
    <row r="233" spans="1:16" ht="16.5" customHeight="1">
      <c r="A233" s="10">
        <v>232</v>
      </c>
      <c r="B233" s="10">
        <v>45</v>
      </c>
      <c r="C233" s="10">
        <v>32</v>
      </c>
      <c r="D233" s="11" t="s">
        <v>3980</v>
      </c>
      <c r="E233" s="12" t="s">
        <v>3981</v>
      </c>
      <c r="F233" s="11" t="s">
        <v>3982</v>
      </c>
      <c r="G233" s="10"/>
      <c r="H233" s="13" t="s">
        <v>3983</v>
      </c>
      <c r="I233" s="16" t="s">
        <v>82</v>
      </c>
      <c r="J233" s="17"/>
      <c r="K233" s="17"/>
      <c r="L233" s="17"/>
      <c r="M233" s="17"/>
      <c r="N233" s="18"/>
      <c r="O233" s="16" t="s">
        <v>83</v>
      </c>
      <c r="P233" s="18"/>
    </row>
    <row r="234" spans="1:16" ht="16.5" customHeight="1">
      <c r="A234" s="10">
        <v>233</v>
      </c>
      <c r="B234" s="10">
        <v>45</v>
      </c>
      <c r="C234" s="10">
        <v>33</v>
      </c>
      <c r="D234" s="11" t="s">
        <v>3981</v>
      </c>
      <c r="E234" s="19" t="s">
        <v>3982</v>
      </c>
      <c r="F234" s="11" t="s">
        <v>3984</v>
      </c>
      <c r="G234" s="10" t="s">
        <v>1957</v>
      </c>
      <c r="H234" s="13" t="s">
        <v>3985</v>
      </c>
      <c r="I234" s="16" t="s">
        <v>89</v>
      </c>
      <c r="J234" s="17" t="s">
        <v>155</v>
      </c>
      <c r="K234" s="17" t="s">
        <v>1961</v>
      </c>
      <c r="L234" s="17" t="s">
        <v>3986</v>
      </c>
      <c r="M234" s="17" t="s">
        <v>3987</v>
      </c>
      <c r="N234" s="18" t="s">
        <v>3988</v>
      </c>
      <c r="O234" s="16" t="s">
        <v>113</v>
      </c>
      <c r="P234" s="18"/>
    </row>
    <row r="235" spans="1:16" ht="16.5" customHeight="1">
      <c r="A235" s="10">
        <v>234</v>
      </c>
      <c r="B235" s="10">
        <v>45</v>
      </c>
      <c r="C235" s="10">
        <v>34</v>
      </c>
      <c r="D235" s="11" t="s">
        <v>3982</v>
      </c>
      <c r="E235" s="12" t="s">
        <v>3984</v>
      </c>
      <c r="F235" s="11" t="s">
        <v>3989</v>
      </c>
      <c r="G235" s="10"/>
      <c r="H235" s="13" t="s">
        <v>3990</v>
      </c>
      <c r="I235" s="16" t="s">
        <v>82</v>
      </c>
      <c r="J235" s="17"/>
      <c r="K235" s="17"/>
      <c r="L235" s="17"/>
      <c r="M235" s="17"/>
      <c r="N235" s="18"/>
      <c r="O235" s="16" t="s">
        <v>83</v>
      </c>
      <c r="P235" s="18"/>
    </row>
    <row r="236" spans="1:16" ht="26.25" customHeight="1">
      <c r="A236" s="10">
        <v>235</v>
      </c>
      <c r="B236" s="10">
        <v>45</v>
      </c>
      <c r="C236" s="10">
        <v>35</v>
      </c>
      <c r="D236" s="11" t="s">
        <v>3984</v>
      </c>
      <c r="E236" s="19" t="s">
        <v>3989</v>
      </c>
      <c r="F236" s="11" t="s">
        <v>3991</v>
      </c>
      <c r="G236" s="10" t="s">
        <v>106</v>
      </c>
      <c r="H236" s="13" t="s">
        <v>3992</v>
      </c>
      <c r="I236" s="16" t="s">
        <v>82</v>
      </c>
      <c r="J236" s="17"/>
      <c r="K236" s="17"/>
      <c r="L236" s="17"/>
      <c r="M236" s="17"/>
      <c r="N236" s="18"/>
      <c r="O236" s="16" t="s">
        <v>83</v>
      </c>
      <c r="P236" s="18"/>
    </row>
    <row r="237" spans="1:16" ht="16.5" customHeight="1">
      <c r="A237" s="10">
        <v>236</v>
      </c>
      <c r="B237" s="10">
        <v>45</v>
      </c>
      <c r="C237" s="10">
        <v>36</v>
      </c>
      <c r="D237" s="11" t="s">
        <v>3989</v>
      </c>
      <c r="E237" s="12" t="s">
        <v>3991</v>
      </c>
      <c r="F237" s="11" t="s">
        <v>3993</v>
      </c>
      <c r="G237" s="10"/>
      <c r="H237" s="13" t="s">
        <v>3994</v>
      </c>
      <c r="I237" s="16" t="s">
        <v>82</v>
      </c>
      <c r="J237" s="17"/>
      <c r="K237" s="17"/>
      <c r="L237" s="17"/>
      <c r="M237" s="17"/>
      <c r="N237" s="18"/>
      <c r="O237" s="16" t="s">
        <v>83</v>
      </c>
      <c r="P237" s="18"/>
    </row>
    <row r="238" spans="1:16" ht="16.5" customHeight="1">
      <c r="A238" s="10">
        <v>237</v>
      </c>
      <c r="B238" s="10">
        <v>45</v>
      </c>
      <c r="C238" s="10">
        <v>64</v>
      </c>
      <c r="D238" s="11" t="s">
        <v>3995</v>
      </c>
      <c r="E238" s="12" t="s">
        <v>3996</v>
      </c>
      <c r="F238" s="11" t="s">
        <v>3997</v>
      </c>
      <c r="G238" s="10"/>
      <c r="H238" s="13" t="s">
        <v>3998</v>
      </c>
      <c r="I238" s="16" t="s">
        <v>82</v>
      </c>
      <c r="J238" s="17"/>
      <c r="K238" s="17"/>
      <c r="L238" s="17"/>
      <c r="M238" s="17"/>
      <c r="N238" s="18"/>
      <c r="O238" s="16" t="s">
        <v>83</v>
      </c>
      <c r="P238" s="18"/>
    </row>
    <row r="239" spans="1:16" ht="16.5" customHeight="1">
      <c r="A239" s="10">
        <v>238</v>
      </c>
      <c r="B239" s="10">
        <v>45</v>
      </c>
      <c r="C239" s="10">
        <v>65</v>
      </c>
      <c r="D239" s="11" t="s">
        <v>3996</v>
      </c>
      <c r="E239" s="19" t="s">
        <v>3997</v>
      </c>
      <c r="F239" s="11" t="s">
        <v>3999</v>
      </c>
      <c r="G239" s="10" t="s">
        <v>2795</v>
      </c>
      <c r="H239" s="13" t="s">
        <v>4000</v>
      </c>
      <c r="I239" s="16" t="s">
        <v>82</v>
      </c>
      <c r="J239" s="17"/>
      <c r="K239" s="17"/>
      <c r="L239" s="17"/>
      <c r="M239" s="17"/>
      <c r="N239" s="18"/>
      <c r="O239" s="16" t="s">
        <v>83</v>
      </c>
      <c r="P239" s="18"/>
    </row>
    <row r="240" spans="1:16" ht="16.5" customHeight="1">
      <c r="A240" s="10">
        <v>239</v>
      </c>
      <c r="B240" s="10">
        <v>45</v>
      </c>
      <c r="C240" s="10">
        <v>66</v>
      </c>
      <c r="D240" s="11" t="s">
        <v>3997</v>
      </c>
      <c r="E240" s="12" t="s">
        <v>3999</v>
      </c>
      <c r="F240" s="11" t="s">
        <v>4001</v>
      </c>
      <c r="G240" s="10"/>
      <c r="H240" s="13"/>
      <c r="I240" s="16" t="s">
        <v>82</v>
      </c>
      <c r="J240" s="17"/>
      <c r="K240" s="17"/>
      <c r="L240" s="17"/>
      <c r="M240" s="17"/>
      <c r="N240" s="18"/>
      <c r="O240" s="16" t="s">
        <v>83</v>
      </c>
      <c r="P240" s="18"/>
    </row>
    <row r="241" spans="1:16" ht="26.25" customHeight="1">
      <c r="A241" s="10">
        <v>240</v>
      </c>
      <c r="B241" s="10">
        <v>45</v>
      </c>
      <c r="C241" s="10">
        <v>100</v>
      </c>
      <c r="D241" s="11" t="s">
        <v>4002</v>
      </c>
      <c r="E241" s="12" t="s">
        <v>4003</v>
      </c>
      <c r="F241" s="11" t="s">
        <v>4004</v>
      </c>
      <c r="G241" s="10"/>
      <c r="H241" s="13" t="s">
        <v>4005</v>
      </c>
      <c r="I241" s="16" t="s">
        <v>82</v>
      </c>
      <c r="J241" s="17"/>
      <c r="K241" s="17"/>
      <c r="L241" s="17"/>
      <c r="M241" s="17"/>
      <c r="N241" s="18"/>
      <c r="O241" s="16" t="s">
        <v>83</v>
      </c>
      <c r="P241" s="18"/>
    </row>
    <row r="242" spans="1:16" ht="16.5" customHeight="1">
      <c r="A242" s="10">
        <v>241</v>
      </c>
      <c r="B242" s="10">
        <v>45</v>
      </c>
      <c r="C242" s="10">
        <v>101</v>
      </c>
      <c r="D242" s="11" t="s">
        <v>4003</v>
      </c>
      <c r="E242" s="19" t="s">
        <v>4004</v>
      </c>
      <c r="F242" s="11" t="s">
        <v>4006</v>
      </c>
      <c r="G242" s="10" t="s">
        <v>2496</v>
      </c>
      <c r="H242" s="13" t="s">
        <v>4007</v>
      </c>
      <c r="I242" s="16" t="s">
        <v>82</v>
      </c>
      <c r="J242" s="17"/>
      <c r="K242" s="17"/>
      <c r="L242" s="17"/>
      <c r="M242" s="17"/>
      <c r="N242" s="18"/>
      <c r="O242" s="16" t="s">
        <v>83</v>
      </c>
      <c r="P242" s="18"/>
    </row>
    <row r="243" spans="1:16" ht="16.5" customHeight="1">
      <c r="A243" s="10">
        <v>242</v>
      </c>
      <c r="B243" s="10">
        <v>45</v>
      </c>
      <c r="C243" s="10">
        <v>102</v>
      </c>
      <c r="D243" s="11" t="s">
        <v>4004</v>
      </c>
      <c r="E243" s="12" t="s">
        <v>4006</v>
      </c>
      <c r="F243" s="11" t="s">
        <v>4008</v>
      </c>
      <c r="G243" s="10"/>
      <c r="H243" s="13" t="s">
        <v>4009</v>
      </c>
      <c r="I243" s="16" t="s">
        <v>82</v>
      </c>
      <c r="J243" s="17"/>
      <c r="K243" s="17"/>
      <c r="L243" s="17"/>
      <c r="M243" s="17"/>
      <c r="N243" s="18"/>
      <c r="O243" s="16" t="s">
        <v>83</v>
      </c>
      <c r="P243" s="18" t="s">
        <v>4010</v>
      </c>
    </row>
    <row r="244" spans="1:16" ht="16.5" customHeight="1">
      <c r="A244" s="10">
        <v>243</v>
      </c>
      <c r="B244" s="10">
        <v>45</v>
      </c>
      <c r="C244" s="10">
        <v>146</v>
      </c>
      <c r="D244" s="11" t="s">
        <v>4011</v>
      </c>
      <c r="E244" s="12" t="s">
        <v>4012</v>
      </c>
      <c r="F244" s="11" t="s">
        <v>4013</v>
      </c>
      <c r="G244" s="10"/>
      <c r="H244" s="13" t="s">
        <v>4014</v>
      </c>
      <c r="I244" s="16" t="s">
        <v>82</v>
      </c>
      <c r="J244" s="17"/>
      <c r="K244" s="17"/>
      <c r="L244" s="17"/>
      <c r="M244" s="17"/>
      <c r="N244" s="18"/>
      <c r="O244" s="16" t="s">
        <v>83</v>
      </c>
      <c r="P244" s="18"/>
    </row>
    <row r="245" spans="1:16" ht="16.5" customHeight="1">
      <c r="A245" s="10">
        <v>244</v>
      </c>
      <c r="B245" s="10">
        <v>45</v>
      </c>
      <c r="C245" s="10">
        <v>147</v>
      </c>
      <c r="D245" s="11" t="s">
        <v>4012</v>
      </c>
      <c r="E245" s="19" t="s">
        <v>4013</v>
      </c>
      <c r="F245" s="11" t="s">
        <v>4015</v>
      </c>
      <c r="G245" s="10" t="s">
        <v>2496</v>
      </c>
      <c r="H245" s="13" t="s">
        <v>4016</v>
      </c>
      <c r="I245" s="16" t="s">
        <v>82</v>
      </c>
      <c r="J245" s="17"/>
      <c r="K245" s="17"/>
      <c r="L245" s="17"/>
      <c r="M245" s="17"/>
      <c r="N245" s="18"/>
      <c r="O245" s="16" t="s">
        <v>83</v>
      </c>
      <c r="P245" s="18"/>
    </row>
    <row r="246" spans="1:16" ht="16.5" customHeight="1">
      <c r="A246" s="10">
        <v>245</v>
      </c>
      <c r="B246" s="10">
        <v>45</v>
      </c>
      <c r="C246" s="10">
        <v>148</v>
      </c>
      <c r="D246" s="11" t="s">
        <v>4013</v>
      </c>
      <c r="E246" s="12" t="s">
        <v>4015</v>
      </c>
      <c r="F246" s="11" t="s">
        <v>4017</v>
      </c>
      <c r="G246" s="10"/>
      <c r="H246" s="13" t="s">
        <v>4018</v>
      </c>
      <c r="I246" s="16" t="s">
        <v>82</v>
      </c>
      <c r="J246" s="17"/>
      <c r="K246" s="17"/>
      <c r="L246" s="17"/>
      <c r="M246" s="17"/>
      <c r="N246" s="18"/>
      <c r="O246" s="16" t="s">
        <v>83</v>
      </c>
      <c r="P246" s="18"/>
    </row>
    <row r="247" spans="1:16" ht="16.5" customHeight="1">
      <c r="A247" s="10">
        <v>246</v>
      </c>
      <c r="B247" s="10">
        <v>45</v>
      </c>
      <c r="C247" s="10">
        <v>194</v>
      </c>
      <c r="D247" s="11" t="s">
        <v>4019</v>
      </c>
      <c r="E247" s="12" t="s">
        <v>3827</v>
      </c>
      <c r="F247" s="11" t="s">
        <v>4020</v>
      </c>
      <c r="G247" s="10"/>
      <c r="H247" s="13" t="s">
        <v>3832</v>
      </c>
      <c r="I247" s="16" t="s">
        <v>82</v>
      </c>
      <c r="J247" s="17"/>
      <c r="K247" s="17"/>
      <c r="L247" s="17"/>
      <c r="M247" s="17"/>
      <c r="N247" s="18"/>
      <c r="O247" s="16" t="s">
        <v>83</v>
      </c>
      <c r="P247" s="18"/>
    </row>
    <row r="248" spans="1:16" ht="16.5" customHeight="1">
      <c r="A248" s="10">
        <v>247</v>
      </c>
      <c r="B248" s="10">
        <v>45</v>
      </c>
      <c r="C248" s="10">
        <v>195</v>
      </c>
      <c r="D248" s="11" t="s">
        <v>3827</v>
      </c>
      <c r="E248" s="19" t="s">
        <v>4020</v>
      </c>
      <c r="F248" s="11" t="s">
        <v>4021</v>
      </c>
      <c r="G248" s="10" t="s">
        <v>2692</v>
      </c>
      <c r="H248" s="13" t="s">
        <v>4022</v>
      </c>
      <c r="I248" s="16" t="s">
        <v>82</v>
      </c>
      <c r="J248" s="17"/>
      <c r="K248" s="17"/>
      <c r="L248" s="17"/>
      <c r="M248" s="17"/>
      <c r="N248" s="18"/>
      <c r="O248" s="16" t="s">
        <v>83</v>
      </c>
      <c r="P248" s="18"/>
    </row>
    <row r="249" spans="1:16" ht="16.5" customHeight="1">
      <c r="A249" s="10">
        <v>248</v>
      </c>
      <c r="B249" s="10">
        <v>45</v>
      </c>
      <c r="C249" s="10">
        <v>196</v>
      </c>
      <c r="D249" s="11" t="s">
        <v>4020</v>
      </c>
      <c r="E249" s="12" t="s">
        <v>4021</v>
      </c>
      <c r="F249" s="11" t="s">
        <v>4023</v>
      </c>
      <c r="G249" s="10"/>
      <c r="H249" s="13" t="s">
        <v>4024</v>
      </c>
      <c r="I249" s="16" t="s">
        <v>82</v>
      </c>
      <c r="J249" s="17"/>
      <c r="K249" s="17"/>
      <c r="L249" s="17"/>
      <c r="M249" s="17"/>
      <c r="N249" s="18"/>
      <c r="O249" s="16" t="s">
        <v>83</v>
      </c>
      <c r="P249" s="18"/>
    </row>
    <row r="250" spans="1:16" ht="16.5" customHeight="1">
      <c r="A250" s="10">
        <v>249</v>
      </c>
      <c r="B250" s="10">
        <v>45</v>
      </c>
      <c r="C250" s="10">
        <v>206</v>
      </c>
      <c r="D250" s="11" t="s">
        <v>4025</v>
      </c>
      <c r="E250" s="12" t="s">
        <v>4026</v>
      </c>
      <c r="F250" s="11" t="s">
        <v>4027</v>
      </c>
      <c r="G250" s="10"/>
      <c r="H250" s="13" t="s">
        <v>4028</v>
      </c>
      <c r="I250" s="16" t="s">
        <v>82</v>
      </c>
      <c r="J250" s="17"/>
      <c r="K250" s="17"/>
      <c r="L250" s="17"/>
      <c r="M250" s="17"/>
      <c r="N250" s="18"/>
      <c r="O250" s="16" t="s">
        <v>83</v>
      </c>
      <c r="P250" s="18"/>
    </row>
    <row r="251" spans="1:16" ht="16.5" customHeight="1">
      <c r="A251" s="10">
        <v>250</v>
      </c>
      <c r="B251" s="10">
        <v>45</v>
      </c>
      <c r="C251" s="10">
        <v>207</v>
      </c>
      <c r="D251" s="11" t="s">
        <v>4026</v>
      </c>
      <c r="E251" s="19" t="s">
        <v>4027</v>
      </c>
      <c r="F251" s="11" t="s">
        <v>4029</v>
      </c>
      <c r="G251" s="10" t="s">
        <v>4030</v>
      </c>
      <c r="H251" s="13" t="s">
        <v>4031</v>
      </c>
      <c r="I251" s="16" t="s">
        <v>82</v>
      </c>
      <c r="J251" s="17"/>
      <c r="K251" s="17"/>
      <c r="L251" s="17"/>
      <c r="M251" s="17"/>
      <c r="N251" s="18"/>
      <c r="O251" s="16" t="s">
        <v>83</v>
      </c>
      <c r="P251" s="18"/>
    </row>
    <row r="252" spans="1:16" ht="16.5" customHeight="1">
      <c r="A252" s="10">
        <v>251</v>
      </c>
      <c r="B252" s="10">
        <v>45</v>
      </c>
      <c r="C252" s="10">
        <v>208</v>
      </c>
      <c r="D252" s="11" t="s">
        <v>4027</v>
      </c>
      <c r="E252" s="12" t="s">
        <v>4029</v>
      </c>
      <c r="F252" s="11" t="s">
        <v>4032</v>
      </c>
      <c r="G252" s="10"/>
      <c r="H252" s="13" t="s">
        <v>4033</v>
      </c>
      <c r="I252" s="16" t="s">
        <v>82</v>
      </c>
      <c r="J252" s="17"/>
      <c r="K252" s="17"/>
      <c r="L252" s="17"/>
      <c r="M252" s="17"/>
      <c r="N252" s="18"/>
      <c r="O252" s="16" t="s">
        <v>83</v>
      </c>
      <c r="P252" s="18"/>
    </row>
    <row r="253" spans="1:16" ht="16.5" customHeight="1">
      <c r="A253" s="10">
        <v>252</v>
      </c>
      <c r="B253" s="10">
        <v>45</v>
      </c>
      <c r="C253" s="10">
        <v>211</v>
      </c>
      <c r="D253" s="11" t="s">
        <v>4034</v>
      </c>
      <c r="E253" s="12" t="s">
        <v>4035</v>
      </c>
      <c r="F253" s="11" t="s">
        <v>4036</v>
      </c>
      <c r="G253" s="10"/>
      <c r="H253" s="13" t="s">
        <v>4037</v>
      </c>
      <c r="I253" s="16" t="s">
        <v>82</v>
      </c>
      <c r="J253" s="17"/>
      <c r="K253" s="17"/>
      <c r="L253" s="17"/>
      <c r="M253" s="17"/>
      <c r="N253" s="18"/>
      <c r="O253" s="16" t="s">
        <v>83</v>
      </c>
      <c r="P253" s="18"/>
    </row>
    <row r="254" spans="1:16" ht="16.5" customHeight="1">
      <c r="A254" s="10">
        <v>253</v>
      </c>
      <c r="B254" s="10">
        <v>45</v>
      </c>
      <c r="C254" s="10">
        <v>212</v>
      </c>
      <c r="D254" s="11" t="s">
        <v>4035</v>
      </c>
      <c r="E254" s="19" t="s">
        <v>4036</v>
      </c>
      <c r="F254" s="11" t="s">
        <v>4038</v>
      </c>
      <c r="G254" s="10" t="s">
        <v>4039</v>
      </c>
      <c r="H254" s="13" t="s">
        <v>4040</v>
      </c>
      <c r="I254" s="16" t="s">
        <v>82</v>
      </c>
      <c r="J254" s="17"/>
      <c r="K254" s="17"/>
      <c r="L254" s="17"/>
      <c r="M254" s="17"/>
      <c r="N254" s="18"/>
      <c r="O254" s="16" t="s">
        <v>83</v>
      </c>
      <c r="P254" s="18"/>
    </row>
    <row r="255" spans="1:16" ht="16.5" customHeight="1">
      <c r="A255" s="10">
        <v>254</v>
      </c>
      <c r="B255" s="10">
        <v>45</v>
      </c>
      <c r="C255" s="10">
        <v>213</v>
      </c>
      <c r="D255" s="11" t="s">
        <v>4036</v>
      </c>
      <c r="E255" s="12" t="s">
        <v>4038</v>
      </c>
      <c r="F255" s="11" t="s">
        <v>4041</v>
      </c>
      <c r="G255" s="10"/>
      <c r="H255" s="13" t="s">
        <v>4042</v>
      </c>
      <c r="I255" s="16" t="s">
        <v>82</v>
      </c>
      <c r="J255" s="17"/>
      <c r="K255" s="17"/>
      <c r="L255" s="17"/>
      <c r="M255" s="17"/>
      <c r="N255" s="18"/>
      <c r="O255" s="16" t="s">
        <v>83</v>
      </c>
      <c r="P255" s="18"/>
    </row>
    <row r="256" spans="1:16" ht="16.5" customHeight="1">
      <c r="A256" s="10">
        <v>255</v>
      </c>
      <c r="B256" s="10">
        <v>45</v>
      </c>
      <c r="C256" s="10">
        <v>233</v>
      </c>
      <c r="D256" s="11" t="s">
        <v>4043</v>
      </c>
      <c r="E256" s="12" t="s">
        <v>4044</v>
      </c>
      <c r="F256" s="11" t="s">
        <v>4045</v>
      </c>
      <c r="G256" s="10"/>
      <c r="H256" s="13" t="s">
        <v>4046</v>
      </c>
      <c r="I256" s="16" t="s">
        <v>82</v>
      </c>
      <c r="J256" s="17"/>
      <c r="K256" s="17"/>
      <c r="L256" s="17"/>
      <c r="M256" s="17"/>
      <c r="N256" s="18"/>
      <c r="O256" s="16" t="s">
        <v>83</v>
      </c>
      <c r="P256" s="18"/>
    </row>
    <row r="257" spans="1:16" ht="16.5" customHeight="1">
      <c r="A257" s="10">
        <v>256</v>
      </c>
      <c r="B257" s="10">
        <v>45</v>
      </c>
      <c r="C257" s="10">
        <v>234</v>
      </c>
      <c r="D257" s="11" t="s">
        <v>4044</v>
      </c>
      <c r="E257" s="19" t="s">
        <v>4045</v>
      </c>
      <c r="F257" s="11" t="s">
        <v>4047</v>
      </c>
      <c r="G257" s="10" t="s">
        <v>3253</v>
      </c>
      <c r="H257" s="13" t="s">
        <v>4048</v>
      </c>
      <c r="I257" s="16" t="s">
        <v>82</v>
      </c>
      <c r="J257" s="17"/>
      <c r="K257" s="17"/>
      <c r="L257" s="17"/>
      <c r="M257" s="17"/>
      <c r="N257" s="18"/>
      <c r="O257" s="16" t="s">
        <v>83</v>
      </c>
      <c r="P257" s="18"/>
    </row>
    <row r="258" spans="1:16" ht="16.5" customHeight="1">
      <c r="A258" s="10">
        <v>257</v>
      </c>
      <c r="B258" s="10">
        <v>45</v>
      </c>
      <c r="C258" s="10">
        <v>235</v>
      </c>
      <c r="D258" s="11" t="s">
        <v>4045</v>
      </c>
      <c r="E258" s="12" t="s">
        <v>4047</v>
      </c>
      <c r="F258" s="11" t="s">
        <v>4049</v>
      </c>
      <c r="G258" s="10"/>
      <c r="H258" s="13" t="s">
        <v>4050</v>
      </c>
      <c r="I258" s="16" t="s">
        <v>82</v>
      </c>
      <c r="J258" s="17"/>
      <c r="K258" s="17"/>
      <c r="L258" s="17"/>
      <c r="M258" s="17"/>
      <c r="N258" s="18"/>
      <c r="O258" s="16" t="s">
        <v>83</v>
      </c>
      <c r="P258" s="18"/>
    </row>
    <row r="259" spans="1:16" ht="16.5" customHeight="1">
      <c r="A259" s="10">
        <v>258</v>
      </c>
      <c r="B259" s="10">
        <v>45</v>
      </c>
      <c r="C259" s="10">
        <v>253</v>
      </c>
      <c r="D259" s="11" t="s">
        <v>4051</v>
      </c>
      <c r="E259" s="12" t="s">
        <v>4052</v>
      </c>
      <c r="F259" s="11" t="s">
        <v>4053</v>
      </c>
      <c r="G259" s="10"/>
      <c r="H259" s="13" t="s">
        <v>4054</v>
      </c>
      <c r="I259" s="16" t="s">
        <v>82</v>
      </c>
      <c r="J259" s="17"/>
      <c r="K259" s="17"/>
      <c r="L259" s="17"/>
      <c r="M259" s="17"/>
      <c r="N259" s="18"/>
      <c r="O259" s="16" t="s">
        <v>83</v>
      </c>
      <c r="P259" s="18"/>
    </row>
    <row r="260" spans="1:16" ht="16.5" customHeight="1">
      <c r="A260" s="10">
        <v>259</v>
      </c>
      <c r="B260" s="10">
        <v>45</v>
      </c>
      <c r="C260" s="10">
        <v>254</v>
      </c>
      <c r="D260" s="11" t="s">
        <v>4052</v>
      </c>
      <c r="E260" s="19" t="s">
        <v>4053</v>
      </c>
      <c r="F260" s="11" t="s">
        <v>4055</v>
      </c>
      <c r="G260" s="10" t="s">
        <v>633</v>
      </c>
      <c r="H260" s="13" t="s">
        <v>4056</v>
      </c>
      <c r="I260" s="16" t="s">
        <v>82</v>
      </c>
      <c r="J260" s="17"/>
      <c r="K260" s="17"/>
      <c r="L260" s="17"/>
      <c r="M260" s="17"/>
      <c r="N260" s="18"/>
      <c r="O260" s="16" t="s">
        <v>83</v>
      </c>
      <c r="P260" s="18"/>
    </row>
    <row r="261" spans="1:16" ht="16.5" customHeight="1">
      <c r="A261" s="10">
        <v>260</v>
      </c>
      <c r="B261" s="10">
        <v>45</v>
      </c>
      <c r="C261" s="10">
        <v>255</v>
      </c>
      <c r="D261" s="11" t="s">
        <v>4053</v>
      </c>
      <c r="E261" s="19" t="s">
        <v>4055</v>
      </c>
      <c r="F261" s="11" t="s">
        <v>4057</v>
      </c>
      <c r="G261" s="10" t="s">
        <v>2920</v>
      </c>
      <c r="H261" s="13" t="s">
        <v>4058</v>
      </c>
      <c r="I261" s="16" t="s">
        <v>89</v>
      </c>
      <c r="J261" s="17" t="s">
        <v>90</v>
      </c>
      <c r="K261" s="17" t="s">
        <v>91</v>
      </c>
      <c r="L261" s="17" t="s">
        <v>3335</v>
      </c>
      <c r="M261" s="17" t="s">
        <v>3189</v>
      </c>
      <c r="N261" s="18" t="s">
        <v>3336</v>
      </c>
      <c r="O261" s="16" t="s">
        <v>83</v>
      </c>
      <c r="P261" s="18"/>
    </row>
    <row r="262" spans="1:16" ht="16.5" customHeight="1">
      <c r="A262" s="10">
        <v>261</v>
      </c>
      <c r="B262" s="10">
        <v>45</v>
      </c>
      <c r="C262" s="10">
        <v>256</v>
      </c>
      <c r="D262" s="11" t="s">
        <v>4055</v>
      </c>
      <c r="E262" s="12" t="s">
        <v>4057</v>
      </c>
      <c r="F262" s="11" t="s">
        <v>4059</v>
      </c>
      <c r="G262" s="10"/>
      <c r="H262" s="13" t="s">
        <v>4060</v>
      </c>
      <c r="I262" s="16" t="s">
        <v>82</v>
      </c>
      <c r="J262" s="17"/>
      <c r="K262" s="17"/>
      <c r="L262" s="17"/>
      <c r="M262" s="17"/>
      <c r="N262" s="18"/>
      <c r="O262" s="16" t="s">
        <v>83</v>
      </c>
      <c r="P262" s="18"/>
    </row>
    <row r="263" spans="1:16" ht="26.25" customHeight="1">
      <c r="A263" s="10">
        <v>262</v>
      </c>
      <c r="B263" s="10">
        <v>45</v>
      </c>
      <c r="C263" s="10">
        <v>265</v>
      </c>
      <c r="D263" s="11" t="s">
        <v>4061</v>
      </c>
      <c r="E263" s="12" t="s">
        <v>4062</v>
      </c>
      <c r="F263" s="11" t="s">
        <v>4063</v>
      </c>
      <c r="G263" s="10"/>
      <c r="H263" s="13" t="s">
        <v>4064</v>
      </c>
      <c r="I263" s="16" t="s">
        <v>82</v>
      </c>
      <c r="J263" s="17"/>
      <c r="K263" s="17"/>
      <c r="L263" s="17"/>
      <c r="M263" s="17"/>
      <c r="N263" s="18"/>
      <c r="O263" s="16" t="s">
        <v>83</v>
      </c>
      <c r="P263" s="18"/>
    </row>
    <row r="264" spans="1:16" ht="16.5" customHeight="1">
      <c r="A264" s="10">
        <v>263</v>
      </c>
      <c r="B264" s="10">
        <v>45</v>
      </c>
      <c r="C264" s="10">
        <v>266</v>
      </c>
      <c r="D264" s="11" t="s">
        <v>4062</v>
      </c>
      <c r="E264" s="19" t="s">
        <v>4063</v>
      </c>
      <c r="F264" s="11" t="s">
        <v>4065</v>
      </c>
      <c r="G264" s="10" t="s">
        <v>633</v>
      </c>
      <c r="H264" s="13" t="s">
        <v>4066</v>
      </c>
      <c r="I264" s="16" t="s">
        <v>82</v>
      </c>
      <c r="J264" s="17"/>
      <c r="K264" s="17"/>
      <c r="L264" s="17"/>
      <c r="M264" s="17"/>
      <c r="N264" s="18"/>
      <c r="O264" s="16" t="s">
        <v>83</v>
      </c>
      <c r="P264" s="18"/>
    </row>
    <row r="265" spans="1:16" ht="16.5" customHeight="1">
      <c r="A265" s="10">
        <v>264</v>
      </c>
      <c r="B265" s="10">
        <v>45</v>
      </c>
      <c r="C265" s="10">
        <v>267</v>
      </c>
      <c r="D265" s="11" t="s">
        <v>4063</v>
      </c>
      <c r="E265" s="12" t="s">
        <v>4065</v>
      </c>
      <c r="F265" s="11" t="s">
        <v>4067</v>
      </c>
      <c r="G265" s="10"/>
      <c r="H265" s="13" t="s">
        <v>4068</v>
      </c>
      <c r="I265" s="16" t="s">
        <v>82</v>
      </c>
      <c r="J265" s="17"/>
      <c r="K265" s="17"/>
      <c r="L265" s="17"/>
      <c r="M265" s="17"/>
      <c r="N265" s="18"/>
      <c r="O265" s="16" t="s">
        <v>83</v>
      </c>
      <c r="P265" s="18"/>
    </row>
    <row r="266" spans="1:16" ht="16.5" customHeight="1">
      <c r="A266" s="10">
        <v>265</v>
      </c>
      <c r="B266" s="10">
        <v>45</v>
      </c>
      <c r="C266" s="10">
        <v>272</v>
      </c>
      <c r="D266" s="11" t="s">
        <v>4069</v>
      </c>
      <c r="E266" s="12" t="s">
        <v>4070</v>
      </c>
      <c r="F266" s="11" t="s">
        <v>4071</v>
      </c>
      <c r="G266" s="10"/>
      <c r="H266" s="13" t="s">
        <v>4072</v>
      </c>
      <c r="I266" s="16" t="s">
        <v>82</v>
      </c>
      <c r="J266" s="17"/>
      <c r="K266" s="17"/>
      <c r="L266" s="17"/>
      <c r="M266" s="17"/>
      <c r="N266" s="18"/>
      <c r="O266" s="16" t="s">
        <v>83</v>
      </c>
      <c r="P266" s="18"/>
    </row>
    <row r="267" spans="1:16" ht="16.5" customHeight="1">
      <c r="A267" s="10">
        <v>266</v>
      </c>
      <c r="B267" s="10">
        <v>45</v>
      </c>
      <c r="C267" s="10">
        <v>273</v>
      </c>
      <c r="D267" s="11" t="s">
        <v>4070</v>
      </c>
      <c r="E267" s="19" t="s">
        <v>4071</v>
      </c>
      <c r="F267" s="11" t="s">
        <v>4073</v>
      </c>
      <c r="G267" s="10" t="s">
        <v>633</v>
      </c>
      <c r="H267" s="13" t="s">
        <v>4074</v>
      </c>
      <c r="I267" s="16" t="s">
        <v>82</v>
      </c>
      <c r="J267" s="17"/>
      <c r="K267" s="17"/>
      <c r="L267" s="17"/>
      <c r="M267" s="17"/>
      <c r="N267" s="18"/>
      <c r="O267" s="16" t="s">
        <v>83</v>
      </c>
      <c r="P267" s="18"/>
    </row>
    <row r="268" spans="1:16" ht="16.5" customHeight="1">
      <c r="A268" s="10">
        <v>267</v>
      </c>
      <c r="B268" s="10">
        <v>45</v>
      </c>
      <c r="C268" s="10">
        <v>274</v>
      </c>
      <c r="D268" s="11" t="s">
        <v>4071</v>
      </c>
      <c r="E268" s="19" t="s">
        <v>4073</v>
      </c>
      <c r="F268" s="11" t="s">
        <v>4075</v>
      </c>
      <c r="G268" s="10" t="s">
        <v>633</v>
      </c>
      <c r="H268" s="13" t="s">
        <v>4076</v>
      </c>
      <c r="I268" s="16" t="s">
        <v>82</v>
      </c>
      <c r="J268" s="17"/>
      <c r="K268" s="17"/>
      <c r="L268" s="17"/>
      <c r="M268" s="17"/>
      <c r="N268" s="18"/>
      <c r="O268" s="16" t="s">
        <v>83</v>
      </c>
      <c r="P268" s="18"/>
    </row>
    <row r="269" spans="1:16" ht="16.5" customHeight="1">
      <c r="A269" s="10">
        <v>268</v>
      </c>
      <c r="B269" s="10">
        <v>45</v>
      </c>
      <c r="C269" s="10">
        <v>275</v>
      </c>
      <c r="D269" s="11" t="s">
        <v>4073</v>
      </c>
      <c r="E269" s="12" t="s">
        <v>4075</v>
      </c>
      <c r="F269" s="11" t="s">
        <v>4077</v>
      </c>
      <c r="G269" s="10"/>
      <c r="H269" s="13" t="s">
        <v>4060</v>
      </c>
      <c r="I269" s="16" t="s">
        <v>82</v>
      </c>
      <c r="J269" s="17"/>
      <c r="K269" s="17"/>
      <c r="L269" s="17"/>
      <c r="M269" s="17"/>
      <c r="N269" s="18"/>
      <c r="O269" s="16" t="s">
        <v>83</v>
      </c>
      <c r="P269" s="18"/>
    </row>
    <row r="270" spans="1:16" ht="16.5" customHeight="1">
      <c r="A270" s="10">
        <v>269</v>
      </c>
      <c r="B270" s="10">
        <v>46</v>
      </c>
      <c r="C270" s="10">
        <v>58</v>
      </c>
      <c r="D270" s="11" t="s">
        <v>4078</v>
      </c>
      <c r="E270" s="12" t="s">
        <v>4079</v>
      </c>
      <c r="F270" s="11" t="s">
        <v>4080</v>
      </c>
      <c r="G270" s="10"/>
      <c r="H270" s="13" t="s">
        <v>4081</v>
      </c>
      <c r="I270" s="16" t="s">
        <v>82</v>
      </c>
      <c r="J270" s="17"/>
      <c r="K270" s="17"/>
      <c r="L270" s="17"/>
      <c r="M270" s="17"/>
      <c r="N270" s="18"/>
      <c r="O270" s="16" t="s">
        <v>83</v>
      </c>
      <c r="P270" s="18"/>
    </row>
    <row r="271" spans="1:16" ht="16.5" customHeight="1">
      <c r="A271" s="10">
        <v>270</v>
      </c>
      <c r="B271" s="10">
        <v>46</v>
      </c>
      <c r="C271" s="10">
        <v>59</v>
      </c>
      <c r="D271" s="11" t="s">
        <v>4079</v>
      </c>
      <c r="E271" s="19" t="s">
        <v>4080</v>
      </c>
      <c r="F271" s="11" t="s">
        <v>4082</v>
      </c>
      <c r="G271" s="10" t="s">
        <v>774</v>
      </c>
      <c r="H271" s="13" t="s">
        <v>4083</v>
      </c>
      <c r="I271" s="16" t="s">
        <v>82</v>
      </c>
      <c r="J271" s="17"/>
      <c r="K271" s="17"/>
      <c r="L271" s="17"/>
      <c r="M271" s="17"/>
      <c r="N271" s="18"/>
      <c r="O271" s="16" t="s">
        <v>83</v>
      </c>
      <c r="P271" s="18"/>
    </row>
    <row r="272" spans="1:16" ht="16.5" customHeight="1">
      <c r="A272" s="10">
        <v>271</v>
      </c>
      <c r="B272" s="10">
        <v>46</v>
      </c>
      <c r="C272" s="10">
        <v>60</v>
      </c>
      <c r="D272" s="11" t="s">
        <v>4080</v>
      </c>
      <c r="E272" s="12" t="s">
        <v>4082</v>
      </c>
      <c r="F272" s="11" t="s">
        <v>4084</v>
      </c>
      <c r="G272" s="10"/>
      <c r="H272" s="13" t="s">
        <v>3451</v>
      </c>
      <c r="I272" s="16" t="s">
        <v>82</v>
      </c>
      <c r="J272" s="17"/>
      <c r="K272" s="17"/>
      <c r="L272" s="17"/>
      <c r="M272" s="17"/>
      <c r="N272" s="18"/>
      <c r="O272" s="16" t="s">
        <v>83</v>
      </c>
      <c r="P272" s="18"/>
    </row>
    <row r="273" spans="1:16" ht="16.5" customHeight="1">
      <c r="A273" s="10">
        <v>272</v>
      </c>
      <c r="B273" s="10">
        <v>46</v>
      </c>
      <c r="C273" s="10">
        <v>98</v>
      </c>
      <c r="D273" s="11" t="s">
        <v>4085</v>
      </c>
      <c r="E273" s="12" t="s">
        <v>4086</v>
      </c>
      <c r="F273" s="11" t="s">
        <v>4087</v>
      </c>
      <c r="G273" s="10"/>
      <c r="H273" s="13" t="s">
        <v>4088</v>
      </c>
      <c r="I273" s="16" t="s">
        <v>82</v>
      </c>
      <c r="J273" s="17"/>
      <c r="K273" s="17"/>
      <c r="L273" s="17"/>
      <c r="M273" s="17"/>
      <c r="N273" s="18"/>
      <c r="O273" s="16" t="s">
        <v>83</v>
      </c>
      <c r="P273" s="18"/>
    </row>
    <row r="274" spans="1:16" ht="16.5" customHeight="1">
      <c r="A274" s="10">
        <v>273</v>
      </c>
      <c r="B274" s="10">
        <v>46</v>
      </c>
      <c r="C274" s="10">
        <v>99</v>
      </c>
      <c r="D274" s="11" t="s">
        <v>4086</v>
      </c>
      <c r="E274" s="19" t="s">
        <v>4087</v>
      </c>
      <c r="F274" s="11" t="s">
        <v>4089</v>
      </c>
      <c r="G274" s="10" t="s">
        <v>160</v>
      </c>
      <c r="H274" s="13" t="s">
        <v>4090</v>
      </c>
      <c r="I274" s="16" t="s">
        <v>82</v>
      </c>
      <c r="J274" s="17"/>
      <c r="K274" s="17"/>
      <c r="L274" s="17"/>
      <c r="M274" s="17"/>
      <c r="N274" s="18"/>
      <c r="O274" s="16" t="s">
        <v>83</v>
      </c>
      <c r="P274" s="18"/>
    </row>
    <row r="275" spans="1:16" ht="16.5" customHeight="1">
      <c r="A275" s="10">
        <v>274</v>
      </c>
      <c r="B275" s="10">
        <v>46</v>
      </c>
      <c r="C275" s="10">
        <v>100</v>
      </c>
      <c r="D275" s="11" t="s">
        <v>4087</v>
      </c>
      <c r="E275" s="12" t="s">
        <v>4089</v>
      </c>
      <c r="F275" s="11" t="s">
        <v>4091</v>
      </c>
      <c r="G275" s="10"/>
      <c r="H275" s="13" t="s">
        <v>4092</v>
      </c>
      <c r="I275" s="16" t="s">
        <v>82</v>
      </c>
      <c r="J275" s="17"/>
      <c r="K275" s="17"/>
      <c r="L275" s="17"/>
      <c r="M275" s="17"/>
      <c r="N275" s="18"/>
      <c r="O275" s="16" t="s">
        <v>83</v>
      </c>
      <c r="P275" s="18"/>
    </row>
    <row r="276" spans="1:16" ht="16.5" customHeight="1">
      <c r="A276" s="10">
        <v>275</v>
      </c>
      <c r="B276" s="10">
        <v>46</v>
      </c>
      <c r="C276" s="10">
        <v>218</v>
      </c>
      <c r="D276" s="11" t="s">
        <v>4093</v>
      </c>
      <c r="E276" s="12" t="s">
        <v>4094</v>
      </c>
      <c r="F276" s="11" t="s">
        <v>4095</v>
      </c>
      <c r="G276" s="10"/>
      <c r="H276" s="13" t="s">
        <v>4096</v>
      </c>
      <c r="I276" s="16" t="s">
        <v>82</v>
      </c>
      <c r="J276" s="17"/>
      <c r="K276" s="17"/>
      <c r="L276" s="17"/>
      <c r="M276" s="17"/>
      <c r="N276" s="18"/>
      <c r="O276" s="16" t="s">
        <v>83</v>
      </c>
      <c r="P276" s="18"/>
    </row>
    <row r="277" spans="1:16" ht="16.5" customHeight="1">
      <c r="A277" s="10">
        <v>276</v>
      </c>
      <c r="B277" s="10">
        <v>46</v>
      </c>
      <c r="C277" s="10">
        <v>219</v>
      </c>
      <c r="D277" s="11" t="s">
        <v>4094</v>
      </c>
      <c r="E277" s="19" t="s">
        <v>4095</v>
      </c>
      <c r="F277" s="11" t="s">
        <v>4097</v>
      </c>
      <c r="G277" s="10" t="s">
        <v>4098</v>
      </c>
      <c r="H277" s="13" t="s">
        <v>4099</v>
      </c>
      <c r="I277" s="16" t="s">
        <v>82</v>
      </c>
      <c r="J277" s="17"/>
      <c r="K277" s="17"/>
      <c r="L277" s="17"/>
      <c r="M277" s="17"/>
      <c r="N277" s="18"/>
      <c r="O277" s="16" t="s">
        <v>83</v>
      </c>
      <c r="P277" s="18"/>
    </row>
    <row r="278" spans="1:16" ht="16.5" customHeight="1">
      <c r="A278" s="10">
        <v>277</v>
      </c>
      <c r="B278" s="10">
        <v>46</v>
      </c>
      <c r="C278" s="10">
        <v>220</v>
      </c>
      <c r="D278" s="11" t="s">
        <v>4095</v>
      </c>
      <c r="E278" s="12" t="s">
        <v>4097</v>
      </c>
      <c r="F278" s="11" t="s">
        <v>4100</v>
      </c>
      <c r="G278" s="10"/>
      <c r="H278" s="13" t="s">
        <v>4101</v>
      </c>
      <c r="I278" s="16" t="s">
        <v>82</v>
      </c>
      <c r="J278" s="17"/>
      <c r="K278" s="17"/>
      <c r="L278" s="17"/>
      <c r="M278" s="17"/>
      <c r="N278" s="18"/>
      <c r="O278" s="16" t="s">
        <v>83</v>
      </c>
      <c r="P278" s="18"/>
    </row>
    <row r="279" spans="1:16" ht="26.25" customHeight="1">
      <c r="A279" s="10">
        <v>278</v>
      </c>
      <c r="B279" s="10">
        <v>46</v>
      </c>
      <c r="C279" s="10">
        <v>239</v>
      </c>
      <c r="D279" s="11" t="s">
        <v>4102</v>
      </c>
      <c r="E279" s="12" t="s">
        <v>4103</v>
      </c>
      <c r="F279" s="11" t="s">
        <v>4104</v>
      </c>
      <c r="G279" s="10"/>
      <c r="H279" s="13"/>
      <c r="I279" s="16" t="s">
        <v>82</v>
      </c>
      <c r="J279" s="17"/>
      <c r="K279" s="17"/>
      <c r="L279" s="17"/>
      <c r="M279" s="17"/>
      <c r="N279" s="18"/>
      <c r="O279" s="16" t="s">
        <v>83</v>
      </c>
      <c r="P279" s="18"/>
    </row>
    <row r="280" spans="1:16" ht="16.5" customHeight="1">
      <c r="A280" s="10">
        <v>279</v>
      </c>
      <c r="B280" s="10">
        <v>46</v>
      </c>
      <c r="C280" s="10">
        <v>240</v>
      </c>
      <c r="D280" s="11" t="s">
        <v>4103</v>
      </c>
      <c r="E280" s="19" t="s">
        <v>4104</v>
      </c>
      <c r="F280" s="11" t="s">
        <v>4105</v>
      </c>
      <c r="G280" s="10" t="s">
        <v>575</v>
      </c>
      <c r="H280" s="13" t="s">
        <v>4106</v>
      </c>
      <c r="I280" s="16" t="s">
        <v>82</v>
      </c>
      <c r="J280" s="17"/>
      <c r="K280" s="17"/>
      <c r="L280" s="17"/>
      <c r="M280" s="17"/>
      <c r="N280" s="18"/>
      <c r="O280" s="16" t="s">
        <v>83</v>
      </c>
      <c r="P280" s="18"/>
    </row>
    <row r="281" spans="1:16" ht="26.25" customHeight="1">
      <c r="A281" s="10">
        <v>280</v>
      </c>
      <c r="B281" s="10">
        <v>46</v>
      </c>
      <c r="C281" s="10">
        <v>241</v>
      </c>
      <c r="D281" s="11" t="s">
        <v>4104</v>
      </c>
      <c r="E281" s="12" t="s">
        <v>4105</v>
      </c>
      <c r="F281" s="11" t="s">
        <v>4107</v>
      </c>
      <c r="G281" s="10"/>
      <c r="H281" s="13" t="s">
        <v>4108</v>
      </c>
      <c r="I281" s="16" t="s">
        <v>82</v>
      </c>
      <c r="J281" s="17"/>
      <c r="K281" s="17"/>
      <c r="L281" s="17"/>
      <c r="M281" s="17"/>
      <c r="N281" s="18"/>
      <c r="O281" s="16" t="s">
        <v>83</v>
      </c>
      <c r="P281" s="18"/>
    </row>
    <row r="282" spans="1:16" ht="16.5" customHeight="1">
      <c r="A282" s="10">
        <v>281</v>
      </c>
      <c r="B282" s="10">
        <v>46</v>
      </c>
      <c r="C282" s="10">
        <v>261</v>
      </c>
      <c r="D282" s="11" t="s">
        <v>4109</v>
      </c>
      <c r="E282" s="12" t="s">
        <v>4110</v>
      </c>
      <c r="F282" s="11" t="s">
        <v>4111</v>
      </c>
      <c r="G282" s="10"/>
      <c r="H282" s="13" t="s">
        <v>4112</v>
      </c>
      <c r="I282" s="16" t="s">
        <v>82</v>
      </c>
      <c r="J282" s="17"/>
      <c r="K282" s="17"/>
      <c r="L282" s="17"/>
      <c r="M282" s="17"/>
      <c r="N282" s="18"/>
      <c r="O282" s="16" t="s">
        <v>83</v>
      </c>
      <c r="P282" s="18"/>
    </row>
    <row r="283" spans="1:16" ht="16.5" customHeight="1">
      <c r="A283" s="10">
        <v>282</v>
      </c>
      <c r="B283" s="10">
        <v>46</v>
      </c>
      <c r="C283" s="10">
        <v>262</v>
      </c>
      <c r="D283" s="11" t="s">
        <v>4110</v>
      </c>
      <c r="E283" s="19" t="s">
        <v>4111</v>
      </c>
      <c r="F283" s="11" t="s">
        <v>4113</v>
      </c>
      <c r="G283" s="10" t="s">
        <v>106</v>
      </c>
      <c r="H283" s="13" t="s">
        <v>4114</v>
      </c>
      <c r="I283" s="16" t="s">
        <v>82</v>
      </c>
      <c r="J283" s="17"/>
      <c r="K283" s="17"/>
      <c r="L283" s="17"/>
      <c r="M283" s="17"/>
      <c r="N283" s="18"/>
      <c r="O283" s="16" t="s">
        <v>83</v>
      </c>
      <c r="P283" s="18"/>
    </row>
    <row r="284" spans="1:16" ht="16.5" customHeight="1">
      <c r="A284" s="10">
        <v>283</v>
      </c>
      <c r="B284" s="10">
        <v>46</v>
      </c>
      <c r="C284" s="10">
        <v>263</v>
      </c>
      <c r="D284" s="11" t="s">
        <v>4111</v>
      </c>
      <c r="E284" s="12" t="s">
        <v>4113</v>
      </c>
      <c r="F284" s="11" t="s">
        <v>4115</v>
      </c>
      <c r="G284" s="10"/>
      <c r="H284" s="13" t="s">
        <v>4116</v>
      </c>
      <c r="I284" s="16" t="s">
        <v>82</v>
      </c>
      <c r="J284" s="17"/>
      <c r="K284" s="17"/>
      <c r="L284" s="17"/>
      <c r="M284" s="17"/>
      <c r="N284" s="18"/>
      <c r="O284" s="16" t="s">
        <v>83</v>
      </c>
      <c r="P284" s="18"/>
    </row>
    <row r="285" spans="1:16" ht="16.5" customHeight="1">
      <c r="A285" s="10">
        <v>284</v>
      </c>
      <c r="B285" s="10">
        <v>46</v>
      </c>
      <c r="C285" s="10">
        <v>369</v>
      </c>
      <c r="D285" s="11" t="s">
        <v>4117</v>
      </c>
      <c r="E285" s="12" t="s">
        <v>4118</v>
      </c>
      <c r="F285" s="11" t="s">
        <v>4119</v>
      </c>
      <c r="G285" s="10"/>
      <c r="H285" s="13" t="s">
        <v>3510</v>
      </c>
      <c r="I285" s="16" t="s">
        <v>82</v>
      </c>
      <c r="J285" s="17"/>
      <c r="K285" s="17"/>
      <c r="L285" s="17"/>
      <c r="M285" s="17"/>
      <c r="N285" s="18"/>
      <c r="O285" s="16" t="s">
        <v>83</v>
      </c>
      <c r="P285" s="18"/>
    </row>
    <row r="286" spans="1:16" ht="16.5" customHeight="1">
      <c r="A286" s="10">
        <v>285</v>
      </c>
      <c r="B286" s="10">
        <v>46</v>
      </c>
      <c r="C286" s="10">
        <v>370</v>
      </c>
      <c r="D286" s="11" t="s">
        <v>4118</v>
      </c>
      <c r="E286" s="19" t="s">
        <v>4119</v>
      </c>
      <c r="F286" s="11" t="s">
        <v>4120</v>
      </c>
      <c r="G286" s="10" t="s">
        <v>3253</v>
      </c>
      <c r="H286" s="13" t="s">
        <v>4121</v>
      </c>
      <c r="I286" s="16" t="s">
        <v>82</v>
      </c>
      <c r="J286" s="17"/>
      <c r="K286" s="17"/>
      <c r="L286" s="17"/>
      <c r="M286" s="17"/>
      <c r="N286" s="18"/>
      <c r="O286" s="16" t="s">
        <v>83</v>
      </c>
      <c r="P286" s="18"/>
    </row>
    <row r="287" spans="1:16" ht="16.5" customHeight="1">
      <c r="A287" s="10">
        <v>286</v>
      </c>
      <c r="B287" s="10">
        <v>46</v>
      </c>
      <c r="C287" s="10">
        <v>371</v>
      </c>
      <c r="D287" s="11" t="s">
        <v>4119</v>
      </c>
      <c r="E287" s="12" t="s">
        <v>4120</v>
      </c>
      <c r="F287" s="11" t="s">
        <v>4122</v>
      </c>
      <c r="G287" s="10"/>
      <c r="H287" s="13" t="s">
        <v>3163</v>
      </c>
      <c r="I287" s="16" t="s">
        <v>82</v>
      </c>
      <c r="J287" s="17"/>
      <c r="K287" s="17"/>
      <c r="L287" s="17"/>
      <c r="M287" s="17"/>
      <c r="N287" s="18"/>
      <c r="O287" s="16" t="s">
        <v>83</v>
      </c>
      <c r="P287" s="18"/>
    </row>
    <row r="288" spans="1:16" ht="16.5" customHeight="1">
      <c r="A288" s="10">
        <v>287</v>
      </c>
      <c r="B288" s="10">
        <v>46</v>
      </c>
      <c r="C288" s="10">
        <v>475</v>
      </c>
      <c r="D288" s="11" t="s">
        <v>4123</v>
      </c>
      <c r="E288" s="12" t="s">
        <v>4124</v>
      </c>
      <c r="F288" s="11" t="s">
        <v>4125</v>
      </c>
      <c r="G288" s="10"/>
      <c r="H288" s="13" t="s">
        <v>3625</v>
      </c>
      <c r="I288" s="16" t="s">
        <v>82</v>
      </c>
      <c r="J288" s="17"/>
      <c r="K288" s="17"/>
      <c r="L288" s="17"/>
      <c r="M288" s="17"/>
      <c r="N288" s="18"/>
      <c r="O288" s="16" t="s">
        <v>83</v>
      </c>
      <c r="P288" s="18"/>
    </row>
    <row r="289" spans="1:16" ht="16.5" customHeight="1">
      <c r="A289" s="10">
        <v>288</v>
      </c>
      <c r="B289" s="10">
        <v>46</v>
      </c>
      <c r="C289" s="10">
        <v>476</v>
      </c>
      <c r="D289" s="11" t="s">
        <v>4124</v>
      </c>
      <c r="E289" s="19" t="s">
        <v>4125</v>
      </c>
      <c r="F289" s="11" t="s">
        <v>4126</v>
      </c>
      <c r="G289" s="10" t="s">
        <v>633</v>
      </c>
      <c r="H289" s="13" t="s">
        <v>4127</v>
      </c>
      <c r="I289" s="16" t="s">
        <v>82</v>
      </c>
      <c r="J289" s="17"/>
      <c r="K289" s="17"/>
      <c r="L289" s="17"/>
      <c r="M289" s="17"/>
      <c r="N289" s="18"/>
      <c r="O289" s="16" t="s">
        <v>83</v>
      </c>
      <c r="P289" s="18"/>
    </row>
    <row r="290" spans="1:16" ht="16.5" customHeight="1">
      <c r="A290" s="10">
        <v>289</v>
      </c>
      <c r="B290" s="10">
        <v>46</v>
      </c>
      <c r="C290" s="10">
        <v>477</v>
      </c>
      <c r="D290" s="11" t="s">
        <v>4125</v>
      </c>
      <c r="E290" s="12" t="s">
        <v>4126</v>
      </c>
      <c r="F290" s="11" t="s">
        <v>4128</v>
      </c>
      <c r="G290" s="10"/>
      <c r="H290" s="13" t="s">
        <v>4129</v>
      </c>
      <c r="I290" s="16" t="s">
        <v>82</v>
      </c>
      <c r="J290" s="17"/>
      <c r="K290" s="17"/>
      <c r="L290" s="17"/>
      <c r="M290" s="17"/>
      <c r="N290" s="18"/>
      <c r="O290" s="16" t="s">
        <v>83</v>
      </c>
      <c r="P290" s="18"/>
    </row>
    <row r="291" spans="1:16" ht="16.5" customHeight="1">
      <c r="A291" s="10">
        <v>290</v>
      </c>
      <c r="B291" s="10">
        <v>46</v>
      </c>
      <c r="C291" s="10">
        <v>491</v>
      </c>
      <c r="D291" s="11" t="s">
        <v>4130</v>
      </c>
      <c r="E291" s="12" t="s">
        <v>3048</v>
      </c>
      <c r="F291" s="11" t="s">
        <v>4131</v>
      </c>
      <c r="G291" s="10"/>
      <c r="H291" s="13" t="s">
        <v>3050</v>
      </c>
      <c r="I291" s="16" t="s">
        <v>82</v>
      </c>
      <c r="J291" s="17"/>
      <c r="K291" s="17"/>
      <c r="L291" s="17"/>
      <c r="M291" s="17"/>
      <c r="N291" s="18"/>
      <c r="O291" s="16" t="s">
        <v>83</v>
      </c>
      <c r="P291" s="18"/>
    </row>
    <row r="292" spans="1:16" ht="16.5" customHeight="1">
      <c r="A292" s="10">
        <v>291</v>
      </c>
      <c r="B292" s="10">
        <v>46</v>
      </c>
      <c r="C292" s="10">
        <v>492</v>
      </c>
      <c r="D292" s="11" t="s">
        <v>3048</v>
      </c>
      <c r="E292" s="19" t="s">
        <v>4131</v>
      </c>
      <c r="F292" s="11" t="s">
        <v>4132</v>
      </c>
      <c r="G292" s="10" t="s">
        <v>633</v>
      </c>
      <c r="H292" s="13" t="s">
        <v>4133</v>
      </c>
      <c r="I292" s="16" t="s">
        <v>82</v>
      </c>
      <c r="J292" s="17"/>
      <c r="K292" s="17"/>
      <c r="L292" s="17"/>
      <c r="M292" s="17"/>
      <c r="N292" s="18"/>
      <c r="O292" s="16" t="s">
        <v>83</v>
      </c>
      <c r="P292" s="18"/>
    </row>
    <row r="293" spans="1:16" ht="16.5" customHeight="1">
      <c r="A293" s="10">
        <v>292</v>
      </c>
      <c r="B293" s="10">
        <v>46</v>
      </c>
      <c r="C293" s="10">
        <v>493</v>
      </c>
      <c r="D293" s="11" t="s">
        <v>4131</v>
      </c>
      <c r="E293" s="12" t="s">
        <v>4132</v>
      </c>
      <c r="F293" s="11" t="s">
        <v>4134</v>
      </c>
      <c r="G293" s="10"/>
      <c r="H293" s="13" t="s">
        <v>4135</v>
      </c>
      <c r="I293" s="16" t="s">
        <v>82</v>
      </c>
      <c r="J293" s="17"/>
      <c r="K293" s="17"/>
      <c r="L293" s="17"/>
      <c r="M293" s="17"/>
      <c r="N293" s="18"/>
      <c r="O293" s="16" t="s">
        <v>83</v>
      </c>
      <c r="P293" s="18"/>
    </row>
    <row r="294" spans="1:16" ht="16.5" customHeight="1">
      <c r="A294" s="10">
        <v>293</v>
      </c>
      <c r="B294" s="10">
        <v>59</v>
      </c>
      <c r="C294" s="10">
        <v>3</v>
      </c>
      <c r="D294" s="11" t="s">
        <v>4136</v>
      </c>
      <c r="E294" s="12" t="s">
        <v>3459</v>
      </c>
      <c r="F294" s="11" t="s">
        <v>3458</v>
      </c>
      <c r="G294" s="10"/>
      <c r="H294" s="13" t="s">
        <v>3462</v>
      </c>
      <c r="I294" s="16" t="s">
        <v>82</v>
      </c>
      <c r="J294" s="17"/>
      <c r="K294" s="17"/>
      <c r="L294" s="17"/>
      <c r="M294" s="17"/>
      <c r="N294" s="18"/>
      <c r="O294" s="16" t="s">
        <v>83</v>
      </c>
      <c r="P294" s="18"/>
    </row>
    <row r="295" spans="1:16" ht="16.5" customHeight="1">
      <c r="A295" s="10">
        <v>294</v>
      </c>
      <c r="B295" s="10">
        <v>59</v>
      </c>
      <c r="C295" s="10">
        <v>4</v>
      </c>
      <c r="D295" s="11" t="s">
        <v>3459</v>
      </c>
      <c r="E295" s="19" t="s">
        <v>3458</v>
      </c>
      <c r="F295" s="11" t="s">
        <v>4137</v>
      </c>
      <c r="G295" s="10" t="s">
        <v>85</v>
      </c>
      <c r="H295" s="13" t="s">
        <v>3460</v>
      </c>
      <c r="I295" s="16" t="s">
        <v>82</v>
      </c>
      <c r="J295" s="17"/>
      <c r="K295" s="17"/>
      <c r="L295" s="17"/>
      <c r="M295" s="17"/>
      <c r="N295" s="18"/>
      <c r="O295" s="16" t="s">
        <v>83</v>
      </c>
      <c r="P295" s="18"/>
    </row>
    <row r="296" spans="1:16" ht="16.5" customHeight="1">
      <c r="A296" s="10">
        <v>295</v>
      </c>
      <c r="B296" s="10">
        <v>59</v>
      </c>
      <c r="C296" s="10">
        <v>5</v>
      </c>
      <c r="D296" s="11" t="s">
        <v>3458</v>
      </c>
      <c r="E296" s="12" t="s">
        <v>4137</v>
      </c>
      <c r="F296" s="11" t="s">
        <v>4138</v>
      </c>
      <c r="G296" s="10"/>
      <c r="H296" s="13" t="s">
        <v>4139</v>
      </c>
      <c r="I296" s="16" t="s">
        <v>82</v>
      </c>
      <c r="J296" s="17"/>
      <c r="K296" s="17"/>
      <c r="L296" s="17"/>
      <c r="M296" s="17"/>
      <c r="N296" s="18"/>
      <c r="O296" s="16" t="s">
        <v>83</v>
      </c>
      <c r="P296" s="18"/>
    </row>
  </sheetData>
  <phoneticPr fontId="9" type="noConversion"/>
  <dataValidations count="4">
    <dataValidation type="list" allowBlank="1" sqref="I2:I296" xr:uid="{00000000-0002-0000-0400-000000000000}">
      <formula1>"Y,N"</formula1>
      <formula2>0</formula2>
    </dataValidation>
    <dataValidation type="list" allowBlank="1" sqref="J2:J296" xr:uid="{00000000-0002-0000-0400-000001000000}">
      <formula1>"SD-1 자연·물질,SD-2 신체·감각,SD-3 공간·방위,SD-4 사냥·전쟁,SD-5 운동·시간,SD-6 문화·제도,(수사 기제)"</formula1>
      <formula2>0</formula2>
    </dataValidation>
    <dataValidation type="list" allowBlank="1" sqref="K2:K296" xr:uid="{00000000-0002-0000-0400-000002000000}">
      <formula1>"TD-1 축적·유통,TD-2 권력·지배,TD-3 인식·진위,TD-4 도덕·책무,TD-5 문명·제도,TD-7 경물·감각,TD-6 기타"</formula1>
      <formula2>0</formula2>
    </dataValidation>
    <dataValidation type="list" allowBlank="1" sqref="O2:O296" xr:uid="{00000000-0002-0000-0400-000003000000}">
      <formula1>"높음,보통,낮음"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274"/>
  <sheetViews>
    <sheetView zoomScaleNormal="100" workbookViewId="0">
      <pane xSplit="8" ySplit="1" topLeftCell="I2" activePane="bottomRight" state="frozen"/>
      <selection pane="topRight" activeCell="I1" sqref="I1"/>
      <selection pane="bottomLeft" activeCell="A2" sqref="A2"/>
      <selection pane="bottomRight"/>
    </sheetView>
  </sheetViews>
  <sheetFormatPr defaultColWidth="8.7109375" defaultRowHeight="15"/>
  <cols>
    <col min="1" max="1" width="5" style="4" customWidth="1"/>
    <col min="2" max="3" width="6" style="4" customWidth="1"/>
    <col min="4" max="4" width="20" style="4" customWidth="1"/>
    <col min="5" max="5" width="30" style="4" customWidth="1"/>
    <col min="6" max="6" width="20" style="4" customWidth="1"/>
    <col min="7" max="7" width="13" style="4" customWidth="1"/>
    <col min="8" max="8" width="58" style="4" customWidth="1"/>
    <col min="9" max="10" width="18" style="4" customWidth="1"/>
    <col min="11" max="11" width="12" style="4" customWidth="1"/>
    <col min="12" max="12" width="14" style="4" customWidth="1"/>
    <col min="13" max="13" width="26" style="4" customWidth="1"/>
    <col min="14" max="14" width="8" style="4" customWidth="1"/>
    <col min="15" max="15" width="16" style="4" customWidth="1"/>
  </cols>
  <sheetData>
    <row r="1" spans="1:16" ht="31.5" customHeight="1">
      <c r="A1" s="9" t="s">
        <v>58</v>
      </c>
      <c r="B1" s="9" t="s">
        <v>59</v>
      </c>
      <c r="C1" s="9" t="s">
        <v>60</v>
      </c>
      <c r="D1" s="9" t="s">
        <v>61</v>
      </c>
      <c r="E1" s="9" t="s">
        <v>62</v>
      </c>
      <c r="F1" s="9" t="s">
        <v>63</v>
      </c>
      <c r="G1" s="9" t="s">
        <v>64</v>
      </c>
      <c r="H1" s="9" t="s">
        <v>65</v>
      </c>
      <c r="I1" s="9" t="s">
        <v>68</v>
      </c>
      <c r="J1" s="9" t="s">
        <v>69</v>
      </c>
      <c r="K1" s="9" t="s">
        <v>70</v>
      </c>
      <c r="L1" s="9" t="s">
        <v>71</v>
      </c>
      <c r="M1" s="9" t="s">
        <v>72</v>
      </c>
      <c r="N1" s="9" t="s">
        <v>73</v>
      </c>
      <c r="O1" s="9" t="s">
        <v>74</v>
      </c>
      <c r="P1" s="9" t="s">
        <v>75</v>
      </c>
    </row>
    <row r="2" spans="1:16" ht="16.5" customHeight="1">
      <c r="A2" s="10">
        <v>1</v>
      </c>
      <c r="B2" s="10">
        <v>3</v>
      </c>
      <c r="C2" s="10">
        <v>20</v>
      </c>
      <c r="D2" s="11" t="s">
        <v>4140</v>
      </c>
      <c r="E2" s="12" t="s">
        <v>4141</v>
      </c>
      <c r="F2" s="11" t="s">
        <v>4142</v>
      </c>
      <c r="G2" s="10"/>
      <c r="H2" s="13" t="s">
        <v>4143</v>
      </c>
      <c r="I2" s="16" t="s">
        <v>82</v>
      </c>
      <c r="J2" s="17"/>
      <c r="K2" s="17"/>
      <c r="L2" s="17"/>
      <c r="M2" s="17"/>
      <c r="N2" s="18"/>
      <c r="O2" s="16" t="s">
        <v>83</v>
      </c>
      <c r="P2" s="18"/>
    </row>
    <row r="3" spans="1:16" ht="16.5" customHeight="1">
      <c r="A3" s="10">
        <v>2</v>
      </c>
      <c r="B3" s="10">
        <v>3</v>
      </c>
      <c r="C3" s="10">
        <v>21</v>
      </c>
      <c r="D3" s="11" t="s">
        <v>4141</v>
      </c>
      <c r="E3" s="19" t="s">
        <v>4142</v>
      </c>
      <c r="F3" s="11" t="s">
        <v>4144</v>
      </c>
      <c r="G3" s="10" t="s">
        <v>397</v>
      </c>
      <c r="H3" s="13" t="s">
        <v>4145</v>
      </c>
      <c r="I3" s="16" t="s">
        <v>89</v>
      </c>
      <c r="J3" s="17" t="s">
        <v>368</v>
      </c>
      <c r="K3" s="17" t="s">
        <v>1961</v>
      </c>
      <c r="L3" s="17" t="s">
        <v>4146</v>
      </c>
      <c r="M3" s="17" t="s">
        <v>4147</v>
      </c>
      <c r="N3" s="18" t="s">
        <v>4148</v>
      </c>
      <c r="O3" s="16" t="s">
        <v>113</v>
      </c>
      <c r="P3" s="18"/>
    </row>
    <row r="4" spans="1:16" ht="16.5" customHeight="1">
      <c r="A4" s="10">
        <v>3</v>
      </c>
      <c r="B4" s="10">
        <v>3</v>
      </c>
      <c r="C4" s="10">
        <v>22</v>
      </c>
      <c r="D4" s="11" t="s">
        <v>4142</v>
      </c>
      <c r="E4" s="19" t="s">
        <v>4144</v>
      </c>
      <c r="F4" s="11" t="s">
        <v>4149</v>
      </c>
      <c r="G4" s="10" t="s">
        <v>397</v>
      </c>
      <c r="H4" s="13" t="s">
        <v>4150</v>
      </c>
      <c r="I4" s="16" t="s">
        <v>89</v>
      </c>
      <c r="J4" s="17" t="s">
        <v>368</v>
      </c>
      <c r="K4" s="17" t="s">
        <v>1961</v>
      </c>
      <c r="L4" s="17" t="s">
        <v>4151</v>
      </c>
      <c r="M4" s="17" t="s">
        <v>4147</v>
      </c>
      <c r="N4" s="18" t="s">
        <v>4148</v>
      </c>
      <c r="O4" s="16" t="s">
        <v>113</v>
      </c>
      <c r="P4" s="18"/>
    </row>
    <row r="5" spans="1:16" ht="16.5" customHeight="1">
      <c r="A5" s="10">
        <v>4</v>
      </c>
      <c r="B5" s="10">
        <v>3</v>
      </c>
      <c r="C5" s="10">
        <v>23</v>
      </c>
      <c r="D5" s="11" t="s">
        <v>4144</v>
      </c>
      <c r="E5" s="12" t="s">
        <v>4149</v>
      </c>
      <c r="F5" s="11" t="s">
        <v>4152</v>
      </c>
      <c r="G5" s="10"/>
      <c r="H5" s="13" t="s">
        <v>4153</v>
      </c>
      <c r="I5" s="16" t="s">
        <v>82</v>
      </c>
      <c r="J5" s="17"/>
      <c r="K5" s="17"/>
      <c r="L5" s="17"/>
      <c r="M5" s="17"/>
      <c r="N5" s="18"/>
      <c r="O5" s="16" t="s">
        <v>83</v>
      </c>
      <c r="P5" s="18"/>
    </row>
    <row r="6" spans="1:16" ht="16.5" customHeight="1">
      <c r="A6" s="10">
        <v>5</v>
      </c>
      <c r="B6" s="10">
        <v>3</v>
      </c>
      <c r="C6" s="10">
        <v>25</v>
      </c>
      <c r="D6" s="11" t="s">
        <v>4152</v>
      </c>
      <c r="E6" s="12" t="s">
        <v>4154</v>
      </c>
      <c r="F6" s="11" t="s">
        <v>4155</v>
      </c>
      <c r="G6" s="10"/>
      <c r="H6" s="13" t="s">
        <v>4156</v>
      </c>
      <c r="I6" s="16" t="s">
        <v>89</v>
      </c>
      <c r="J6" s="17" t="s">
        <v>368</v>
      </c>
      <c r="K6" s="17" t="s">
        <v>1961</v>
      </c>
      <c r="L6" s="17" t="s">
        <v>4157</v>
      </c>
      <c r="M6" s="17" t="s">
        <v>4147</v>
      </c>
      <c r="N6" s="18" t="s">
        <v>4158</v>
      </c>
      <c r="O6" s="16" t="s">
        <v>83</v>
      </c>
      <c r="P6" s="18"/>
    </row>
    <row r="7" spans="1:16" ht="16.5" customHeight="1">
      <c r="A7" s="10">
        <v>6</v>
      </c>
      <c r="B7" s="10">
        <v>3</v>
      </c>
      <c r="C7" s="10">
        <v>26</v>
      </c>
      <c r="D7" s="11" t="s">
        <v>4154</v>
      </c>
      <c r="E7" s="19" t="s">
        <v>4155</v>
      </c>
      <c r="F7" s="11" t="s">
        <v>4159</v>
      </c>
      <c r="G7" s="10" t="s">
        <v>397</v>
      </c>
      <c r="H7" s="13" t="s">
        <v>4160</v>
      </c>
      <c r="I7" s="16" t="s">
        <v>82</v>
      </c>
      <c r="J7" s="17"/>
      <c r="K7" s="17"/>
      <c r="L7" s="17"/>
      <c r="M7" s="17"/>
      <c r="N7" s="18"/>
      <c r="O7" s="16" t="s">
        <v>83</v>
      </c>
      <c r="P7" s="18"/>
    </row>
    <row r="8" spans="1:16" ht="26.25" customHeight="1">
      <c r="A8" s="10">
        <v>7</v>
      </c>
      <c r="B8" s="10">
        <v>3</v>
      </c>
      <c r="C8" s="10">
        <v>27</v>
      </c>
      <c r="D8" s="11" t="s">
        <v>4155</v>
      </c>
      <c r="E8" s="12" t="s">
        <v>4159</v>
      </c>
      <c r="F8" s="11" t="s">
        <v>4161</v>
      </c>
      <c r="G8" s="10"/>
      <c r="H8" s="13" t="s">
        <v>4162</v>
      </c>
      <c r="I8" s="16" t="s">
        <v>82</v>
      </c>
      <c r="J8" s="17"/>
      <c r="K8" s="17"/>
      <c r="L8" s="17"/>
      <c r="M8" s="17"/>
      <c r="N8" s="18"/>
      <c r="O8" s="16" t="s">
        <v>83</v>
      </c>
      <c r="P8" s="18"/>
    </row>
    <row r="9" spans="1:16" ht="16.5" customHeight="1">
      <c r="A9" s="10">
        <v>8</v>
      </c>
      <c r="B9" s="10">
        <v>3</v>
      </c>
      <c r="C9" s="10">
        <v>35</v>
      </c>
      <c r="D9" s="11" t="s">
        <v>4163</v>
      </c>
      <c r="E9" s="12" t="s">
        <v>4164</v>
      </c>
      <c r="F9" s="11" t="s">
        <v>4165</v>
      </c>
      <c r="G9" s="10"/>
      <c r="H9" s="13" t="s">
        <v>4166</v>
      </c>
      <c r="I9" s="16" t="s">
        <v>82</v>
      </c>
      <c r="J9" s="17"/>
      <c r="K9" s="17"/>
      <c r="L9" s="17"/>
      <c r="M9" s="17"/>
      <c r="N9" s="18"/>
      <c r="O9" s="16" t="s">
        <v>83</v>
      </c>
      <c r="P9" s="18"/>
    </row>
    <row r="10" spans="1:16" ht="16.5" customHeight="1">
      <c r="A10" s="10">
        <v>9</v>
      </c>
      <c r="B10" s="10">
        <v>3</v>
      </c>
      <c r="C10" s="10">
        <v>36</v>
      </c>
      <c r="D10" s="11" t="s">
        <v>4164</v>
      </c>
      <c r="E10" s="19" t="s">
        <v>4165</v>
      </c>
      <c r="F10" s="11" t="s">
        <v>4167</v>
      </c>
      <c r="G10" s="10" t="s">
        <v>1957</v>
      </c>
      <c r="H10" s="13" t="s">
        <v>4168</v>
      </c>
      <c r="I10" s="16" t="s">
        <v>89</v>
      </c>
      <c r="J10" s="17" t="s">
        <v>155</v>
      </c>
      <c r="K10" s="17" t="s">
        <v>1961</v>
      </c>
      <c r="L10" s="17" t="s">
        <v>4165</v>
      </c>
      <c r="M10" s="17" t="s">
        <v>4169</v>
      </c>
      <c r="N10" s="18" t="s">
        <v>4170</v>
      </c>
      <c r="O10" s="16" t="s">
        <v>113</v>
      </c>
      <c r="P10" s="18"/>
    </row>
    <row r="11" spans="1:16" ht="16.5" customHeight="1">
      <c r="A11" s="10">
        <v>10</v>
      </c>
      <c r="B11" s="10">
        <v>3</v>
      </c>
      <c r="C11" s="10">
        <v>37</v>
      </c>
      <c r="D11" s="11" t="s">
        <v>4165</v>
      </c>
      <c r="E11" s="12" t="s">
        <v>4167</v>
      </c>
      <c r="F11" s="11" t="s">
        <v>4171</v>
      </c>
      <c r="G11" s="10"/>
      <c r="H11" s="13" t="s">
        <v>4172</v>
      </c>
      <c r="I11" s="16" t="s">
        <v>89</v>
      </c>
      <c r="J11" s="17" t="s">
        <v>368</v>
      </c>
      <c r="K11" s="17" t="s">
        <v>1961</v>
      </c>
      <c r="L11" s="17" t="s">
        <v>4173</v>
      </c>
      <c r="M11" s="17" t="s">
        <v>4174</v>
      </c>
      <c r="N11" s="18" t="s">
        <v>4175</v>
      </c>
      <c r="O11" s="16" t="s">
        <v>113</v>
      </c>
      <c r="P11" s="18"/>
    </row>
    <row r="12" spans="1:16" ht="16.5" customHeight="1">
      <c r="A12" s="10">
        <v>11</v>
      </c>
      <c r="B12" s="10">
        <v>4</v>
      </c>
      <c r="C12" s="10">
        <v>60</v>
      </c>
      <c r="D12" s="11" t="s">
        <v>4176</v>
      </c>
      <c r="E12" s="12" t="s">
        <v>4177</v>
      </c>
      <c r="F12" s="11" t="s">
        <v>4178</v>
      </c>
      <c r="G12" s="10"/>
      <c r="H12" s="13" t="s">
        <v>4179</v>
      </c>
      <c r="I12" s="16" t="s">
        <v>82</v>
      </c>
      <c r="J12" s="17"/>
      <c r="K12" s="17"/>
      <c r="L12" s="17"/>
      <c r="M12" s="17"/>
      <c r="N12" s="18"/>
      <c r="O12" s="16" t="s">
        <v>83</v>
      </c>
      <c r="P12" s="18"/>
    </row>
    <row r="13" spans="1:16" ht="16.5" customHeight="1">
      <c r="A13" s="10">
        <v>12</v>
      </c>
      <c r="B13" s="10">
        <v>4</v>
      </c>
      <c r="C13" s="10">
        <v>61</v>
      </c>
      <c r="D13" s="11" t="s">
        <v>4177</v>
      </c>
      <c r="E13" s="19" t="s">
        <v>4178</v>
      </c>
      <c r="F13" s="11" t="s">
        <v>4180</v>
      </c>
      <c r="G13" s="10" t="s">
        <v>160</v>
      </c>
      <c r="H13" s="13" t="s">
        <v>4181</v>
      </c>
      <c r="I13" s="16" t="s">
        <v>89</v>
      </c>
      <c r="J13" s="17" t="s">
        <v>222</v>
      </c>
      <c r="K13" s="17" t="s">
        <v>447</v>
      </c>
      <c r="L13" s="17" t="s">
        <v>4182</v>
      </c>
      <c r="M13" s="17" t="s">
        <v>4183</v>
      </c>
      <c r="N13" s="18" t="s">
        <v>4184</v>
      </c>
      <c r="O13" s="16" t="s">
        <v>83</v>
      </c>
      <c r="P13" s="18"/>
    </row>
    <row r="14" spans="1:16" ht="16.5" customHeight="1">
      <c r="A14" s="10">
        <v>13</v>
      </c>
      <c r="B14" s="10">
        <v>4</v>
      </c>
      <c r="C14" s="10">
        <v>62</v>
      </c>
      <c r="D14" s="11" t="s">
        <v>4178</v>
      </c>
      <c r="E14" s="12" t="s">
        <v>4180</v>
      </c>
      <c r="F14" s="11" t="s">
        <v>4185</v>
      </c>
      <c r="G14" s="10"/>
      <c r="H14" s="13" t="s">
        <v>4186</v>
      </c>
      <c r="I14" s="16" t="s">
        <v>82</v>
      </c>
      <c r="J14" s="17"/>
      <c r="K14" s="17"/>
      <c r="L14" s="17"/>
      <c r="M14" s="17"/>
      <c r="N14" s="18"/>
      <c r="O14" s="16" t="s">
        <v>83</v>
      </c>
      <c r="P14" s="18"/>
    </row>
    <row r="15" spans="1:16" ht="16.5" customHeight="1">
      <c r="A15" s="10">
        <v>14</v>
      </c>
      <c r="B15" s="10">
        <v>4</v>
      </c>
      <c r="C15" s="10">
        <v>136</v>
      </c>
      <c r="D15" s="11" t="s">
        <v>4187</v>
      </c>
      <c r="E15" s="12" t="s">
        <v>4188</v>
      </c>
      <c r="F15" s="11" t="s">
        <v>4189</v>
      </c>
      <c r="G15" s="10"/>
      <c r="H15" s="13" t="s">
        <v>4190</v>
      </c>
      <c r="I15" s="16" t="s">
        <v>82</v>
      </c>
      <c r="J15" s="17"/>
      <c r="K15" s="17"/>
      <c r="L15" s="17"/>
      <c r="M15" s="17"/>
      <c r="N15" s="18"/>
      <c r="O15" s="16" t="s">
        <v>83</v>
      </c>
      <c r="P15" s="18"/>
    </row>
    <row r="16" spans="1:16" ht="26.25" customHeight="1">
      <c r="A16" s="10">
        <v>15</v>
      </c>
      <c r="B16" s="10">
        <v>4</v>
      </c>
      <c r="C16" s="10">
        <v>137</v>
      </c>
      <c r="D16" s="11" t="s">
        <v>4188</v>
      </c>
      <c r="E16" s="19" t="s">
        <v>4189</v>
      </c>
      <c r="F16" s="11" t="s">
        <v>4191</v>
      </c>
      <c r="G16" s="10" t="s">
        <v>85</v>
      </c>
      <c r="H16" s="13" t="s">
        <v>4192</v>
      </c>
      <c r="I16" s="16" t="s">
        <v>82</v>
      </c>
      <c r="J16" s="17"/>
      <c r="K16" s="17"/>
      <c r="L16" s="17"/>
      <c r="M16" s="17"/>
      <c r="N16" s="18"/>
      <c r="O16" s="16" t="s">
        <v>83</v>
      </c>
      <c r="P16" s="18"/>
    </row>
    <row r="17" spans="1:16" ht="16.5" customHeight="1">
      <c r="A17" s="10">
        <v>16</v>
      </c>
      <c r="B17" s="10">
        <v>4</v>
      </c>
      <c r="C17" s="10">
        <v>138</v>
      </c>
      <c r="D17" s="11" t="s">
        <v>4189</v>
      </c>
      <c r="E17" s="12" t="s">
        <v>4191</v>
      </c>
      <c r="F17" s="11" t="s">
        <v>4193</v>
      </c>
      <c r="G17" s="10"/>
      <c r="H17" s="13" t="s">
        <v>4194</v>
      </c>
      <c r="I17" s="16" t="s">
        <v>82</v>
      </c>
      <c r="J17" s="17"/>
      <c r="K17" s="17"/>
      <c r="L17" s="17"/>
      <c r="M17" s="17"/>
      <c r="N17" s="18"/>
      <c r="O17" s="16" t="s">
        <v>83</v>
      </c>
      <c r="P17" s="18"/>
    </row>
    <row r="18" spans="1:16" ht="16.5" customHeight="1">
      <c r="A18" s="10">
        <v>17</v>
      </c>
      <c r="B18" s="10">
        <v>4</v>
      </c>
      <c r="C18" s="10">
        <v>145</v>
      </c>
      <c r="D18" s="11" t="s">
        <v>4195</v>
      </c>
      <c r="E18" s="12" t="s">
        <v>4196</v>
      </c>
      <c r="F18" s="11" t="s">
        <v>4197</v>
      </c>
      <c r="G18" s="10"/>
      <c r="H18" s="13" t="s">
        <v>4198</v>
      </c>
      <c r="I18" s="16" t="s">
        <v>82</v>
      </c>
      <c r="J18" s="17"/>
      <c r="K18" s="17"/>
      <c r="L18" s="17"/>
      <c r="M18" s="17"/>
      <c r="N18" s="18"/>
      <c r="O18" s="16" t="s">
        <v>83</v>
      </c>
      <c r="P18" s="18"/>
    </row>
    <row r="19" spans="1:16" ht="26.25" customHeight="1">
      <c r="A19" s="10">
        <v>18</v>
      </c>
      <c r="B19" s="10">
        <v>4</v>
      </c>
      <c r="C19" s="10">
        <v>146</v>
      </c>
      <c r="D19" s="11" t="s">
        <v>4196</v>
      </c>
      <c r="E19" s="19" t="s">
        <v>4197</v>
      </c>
      <c r="F19" s="11" t="s">
        <v>4199</v>
      </c>
      <c r="G19" s="10" t="s">
        <v>85</v>
      </c>
      <c r="H19" s="13" t="s">
        <v>4200</v>
      </c>
      <c r="I19" s="16" t="s">
        <v>82</v>
      </c>
      <c r="J19" s="17"/>
      <c r="K19" s="17"/>
      <c r="L19" s="17"/>
      <c r="M19" s="17"/>
      <c r="N19" s="18"/>
      <c r="O19" s="16" t="s">
        <v>83</v>
      </c>
      <c r="P19" s="18"/>
    </row>
    <row r="20" spans="1:16" ht="16.5" customHeight="1">
      <c r="A20" s="10">
        <v>19</v>
      </c>
      <c r="B20" s="10">
        <v>4</v>
      </c>
      <c r="C20" s="10">
        <v>147</v>
      </c>
      <c r="D20" s="11" t="s">
        <v>4197</v>
      </c>
      <c r="E20" s="12" t="s">
        <v>4199</v>
      </c>
      <c r="F20" s="11" t="s">
        <v>4201</v>
      </c>
      <c r="G20" s="10"/>
      <c r="H20" s="13" t="s">
        <v>4202</v>
      </c>
      <c r="I20" s="16" t="s">
        <v>82</v>
      </c>
      <c r="J20" s="17"/>
      <c r="K20" s="17"/>
      <c r="L20" s="17"/>
      <c r="M20" s="17"/>
      <c r="N20" s="18"/>
      <c r="O20" s="16" t="s">
        <v>83</v>
      </c>
      <c r="P20" s="18"/>
    </row>
    <row r="21" spans="1:16" ht="16.5" customHeight="1">
      <c r="A21" s="10">
        <v>20</v>
      </c>
      <c r="B21" s="10">
        <v>4</v>
      </c>
      <c r="C21" s="10">
        <v>151</v>
      </c>
      <c r="D21" s="11" t="s">
        <v>4203</v>
      </c>
      <c r="E21" s="12" t="s">
        <v>4204</v>
      </c>
      <c r="F21" s="11" t="s">
        <v>4205</v>
      </c>
      <c r="G21" s="10"/>
      <c r="H21" s="13" t="s">
        <v>4206</v>
      </c>
      <c r="I21" s="16" t="s">
        <v>82</v>
      </c>
      <c r="J21" s="17"/>
      <c r="K21" s="17"/>
      <c r="L21" s="17"/>
      <c r="M21" s="17"/>
      <c r="N21" s="18"/>
      <c r="O21" s="16" t="s">
        <v>83</v>
      </c>
      <c r="P21" s="18"/>
    </row>
    <row r="22" spans="1:16" ht="16.5" customHeight="1">
      <c r="A22" s="10">
        <v>21</v>
      </c>
      <c r="B22" s="10">
        <v>4</v>
      </c>
      <c r="C22" s="10">
        <v>152</v>
      </c>
      <c r="D22" s="11" t="s">
        <v>4204</v>
      </c>
      <c r="E22" s="19" t="s">
        <v>4205</v>
      </c>
      <c r="F22" s="11" t="s">
        <v>4207</v>
      </c>
      <c r="G22" s="10" t="s">
        <v>85</v>
      </c>
      <c r="H22" s="13" t="s">
        <v>4208</v>
      </c>
      <c r="I22" s="16" t="s">
        <v>89</v>
      </c>
      <c r="J22" s="17" t="s">
        <v>90</v>
      </c>
      <c r="K22" s="17" t="s">
        <v>447</v>
      </c>
      <c r="L22" s="17" t="s">
        <v>4209</v>
      </c>
      <c r="M22" s="17" t="s">
        <v>4210</v>
      </c>
      <c r="N22" s="18" t="s">
        <v>4211</v>
      </c>
      <c r="O22" s="16" t="s">
        <v>83</v>
      </c>
      <c r="P22" s="18"/>
    </row>
    <row r="23" spans="1:16" ht="26.25" customHeight="1">
      <c r="A23" s="10">
        <v>22</v>
      </c>
      <c r="B23" s="10">
        <v>4</v>
      </c>
      <c r="C23" s="10">
        <v>153</v>
      </c>
      <c r="D23" s="11" t="s">
        <v>4205</v>
      </c>
      <c r="E23" s="12" t="s">
        <v>4207</v>
      </c>
      <c r="F23" s="11" t="s">
        <v>4212</v>
      </c>
      <c r="G23" s="10"/>
      <c r="H23" s="13" t="s">
        <v>4213</v>
      </c>
      <c r="I23" s="16" t="s">
        <v>82</v>
      </c>
      <c r="J23" s="17"/>
      <c r="K23" s="17"/>
      <c r="L23" s="17"/>
      <c r="M23" s="17"/>
      <c r="N23" s="18"/>
      <c r="O23" s="16" t="s">
        <v>83</v>
      </c>
      <c r="P23" s="18"/>
    </row>
    <row r="24" spans="1:16" ht="16.5" customHeight="1">
      <c r="A24" s="10">
        <v>23</v>
      </c>
      <c r="B24" s="10">
        <v>4</v>
      </c>
      <c r="C24" s="10">
        <v>166</v>
      </c>
      <c r="D24" s="11" t="s">
        <v>4214</v>
      </c>
      <c r="E24" s="12" t="s">
        <v>4215</v>
      </c>
      <c r="F24" s="11" t="s">
        <v>4216</v>
      </c>
      <c r="G24" s="10"/>
      <c r="H24" s="13" t="s">
        <v>4217</v>
      </c>
      <c r="I24" s="16" t="s">
        <v>82</v>
      </c>
      <c r="J24" s="17"/>
      <c r="K24" s="17"/>
      <c r="L24" s="17"/>
      <c r="M24" s="17"/>
      <c r="N24" s="18"/>
      <c r="O24" s="16" t="s">
        <v>83</v>
      </c>
      <c r="P24" s="18"/>
    </row>
    <row r="25" spans="1:16" ht="16.5" customHeight="1">
      <c r="A25" s="10">
        <v>24</v>
      </c>
      <c r="B25" s="10">
        <v>4</v>
      </c>
      <c r="C25" s="10">
        <v>167</v>
      </c>
      <c r="D25" s="11" t="s">
        <v>4215</v>
      </c>
      <c r="E25" s="19" t="s">
        <v>4216</v>
      </c>
      <c r="F25" s="11" t="s">
        <v>4218</v>
      </c>
      <c r="G25" s="10" t="s">
        <v>106</v>
      </c>
      <c r="H25" s="13" t="s">
        <v>4219</v>
      </c>
      <c r="I25" s="16" t="s">
        <v>82</v>
      </c>
      <c r="J25" s="17"/>
      <c r="K25" s="17"/>
      <c r="L25" s="17"/>
      <c r="M25" s="17"/>
      <c r="N25" s="18"/>
      <c r="O25" s="16" t="s">
        <v>83</v>
      </c>
      <c r="P25" s="18"/>
    </row>
    <row r="26" spans="1:16" ht="16.5" customHeight="1">
      <c r="A26" s="10">
        <v>25</v>
      </c>
      <c r="B26" s="10">
        <v>4</v>
      </c>
      <c r="C26" s="10">
        <v>168</v>
      </c>
      <c r="D26" s="11" t="s">
        <v>4216</v>
      </c>
      <c r="E26" s="12" t="s">
        <v>4218</v>
      </c>
      <c r="F26" s="11" t="s">
        <v>4220</v>
      </c>
      <c r="G26" s="10"/>
      <c r="H26" s="13" t="s">
        <v>4221</v>
      </c>
      <c r="I26" s="16" t="s">
        <v>82</v>
      </c>
      <c r="J26" s="17"/>
      <c r="K26" s="17"/>
      <c r="L26" s="17"/>
      <c r="M26" s="17"/>
      <c r="N26" s="18"/>
      <c r="O26" s="16" t="s">
        <v>83</v>
      </c>
      <c r="P26" s="18"/>
    </row>
    <row r="27" spans="1:16" ht="16.5" customHeight="1">
      <c r="A27" s="10">
        <v>26</v>
      </c>
      <c r="B27" s="10">
        <v>4</v>
      </c>
      <c r="C27" s="10">
        <v>169</v>
      </c>
      <c r="D27" s="11" t="s">
        <v>4218</v>
      </c>
      <c r="E27" s="12" t="s">
        <v>4220</v>
      </c>
      <c r="F27" s="11" t="s">
        <v>4222</v>
      </c>
      <c r="G27" s="10"/>
      <c r="H27" s="13" t="s">
        <v>4223</v>
      </c>
      <c r="I27" s="16" t="s">
        <v>82</v>
      </c>
      <c r="J27" s="17"/>
      <c r="K27" s="17"/>
      <c r="L27" s="17"/>
      <c r="M27" s="17"/>
      <c r="N27" s="18"/>
      <c r="O27" s="16" t="s">
        <v>83</v>
      </c>
      <c r="P27" s="18"/>
    </row>
    <row r="28" spans="1:16" ht="16.5" customHeight="1">
      <c r="A28" s="10">
        <v>27</v>
      </c>
      <c r="B28" s="10">
        <v>4</v>
      </c>
      <c r="C28" s="10">
        <v>170</v>
      </c>
      <c r="D28" s="11" t="s">
        <v>4220</v>
      </c>
      <c r="E28" s="19" t="s">
        <v>4222</v>
      </c>
      <c r="F28" s="11" t="s">
        <v>4224</v>
      </c>
      <c r="G28" s="10" t="s">
        <v>85</v>
      </c>
      <c r="H28" s="13" t="s">
        <v>4225</v>
      </c>
      <c r="I28" s="16" t="s">
        <v>82</v>
      </c>
      <c r="J28" s="17"/>
      <c r="K28" s="17"/>
      <c r="L28" s="17"/>
      <c r="M28" s="17"/>
      <c r="N28" s="18"/>
      <c r="O28" s="16" t="s">
        <v>83</v>
      </c>
      <c r="P28" s="18"/>
    </row>
    <row r="29" spans="1:16" ht="16.5" customHeight="1">
      <c r="A29" s="10">
        <v>28</v>
      </c>
      <c r="B29" s="10">
        <v>4</v>
      </c>
      <c r="C29" s="10">
        <v>171</v>
      </c>
      <c r="D29" s="11" t="s">
        <v>4222</v>
      </c>
      <c r="E29" s="12" t="s">
        <v>4224</v>
      </c>
      <c r="F29" s="11" t="s">
        <v>4226</v>
      </c>
      <c r="G29" s="10"/>
      <c r="H29" s="13" t="s">
        <v>4227</v>
      </c>
      <c r="I29" s="16" t="s">
        <v>82</v>
      </c>
      <c r="J29" s="17"/>
      <c r="K29" s="17"/>
      <c r="L29" s="17"/>
      <c r="M29" s="17"/>
      <c r="N29" s="18"/>
      <c r="O29" s="16" t="s">
        <v>83</v>
      </c>
      <c r="P29" s="18"/>
    </row>
    <row r="30" spans="1:16" ht="26.25" customHeight="1">
      <c r="A30" s="10">
        <v>29</v>
      </c>
      <c r="B30" s="10">
        <v>4</v>
      </c>
      <c r="C30" s="10">
        <v>172</v>
      </c>
      <c r="D30" s="11" t="s">
        <v>4224</v>
      </c>
      <c r="E30" s="19" t="s">
        <v>4226</v>
      </c>
      <c r="F30" s="11" t="s">
        <v>4228</v>
      </c>
      <c r="G30" s="10" t="s">
        <v>85</v>
      </c>
      <c r="H30" s="13" t="s">
        <v>4229</v>
      </c>
      <c r="I30" s="16" t="s">
        <v>82</v>
      </c>
      <c r="J30" s="17"/>
      <c r="K30" s="17"/>
      <c r="L30" s="17"/>
      <c r="M30" s="17"/>
      <c r="N30" s="18"/>
      <c r="O30" s="16" t="s">
        <v>83</v>
      </c>
      <c r="P30" s="18"/>
    </row>
    <row r="31" spans="1:16" ht="26.25" customHeight="1">
      <c r="A31" s="10">
        <v>30</v>
      </c>
      <c r="B31" s="10">
        <v>4</v>
      </c>
      <c r="C31" s="10">
        <v>173</v>
      </c>
      <c r="D31" s="11" t="s">
        <v>4226</v>
      </c>
      <c r="E31" s="12" t="s">
        <v>4228</v>
      </c>
      <c r="F31" s="11" t="s">
        <v>349</v>
      </c>
      <c r="G31" s="10"/>
      <c r="H31" s="13" t="s">
        <v>4230</v>
      </c>
      <c r="I31" s="16" t="s">
        <v>82</v>
      </c>
      <c r="J31" s="17"/>
      <c r="K31" s="17"/>
      <c r="L31" s="17"/>
      <c r="M31" s="17"/>
      <c r="N31" s="18"/>
      <c r="O31" s="16" t="s">
        <v>83</v>
      </c>
      <c r="P31" s="18"/>
    </row>
    <row r="32" spans="1:16" ht="16.5" customHeight="1">
      <c r="A32" s="10">
        <v>31</v>
      </c>
      <c r="B32" s="10">
        <v>4</v>
      </c>
      <c r="C32" s="10">
        <v>184</v>
      </c>
      <c r="D32" s="11" t="s">
        <v>4231</v>
      </c>
      <c r="E32" s="12" t="s">
        <v>4232</v>
      </c>
      <c r="F32" s="11" t="s">
        <v>4233</v>
      </c>
      <c r="G32" s="10"/>
      <c r="H32" s="13" t="s">
        <v>4234</v>
      </c>
      <c r="I32" s="16" t="s">
        <v>82</v>
      </c>
      <c r="J32" s="17"/>
      <c r="K32" s="17"/>
      <c r="L32" s="17"/>
      <c r="M32" s="17"/>
      <c r="N32" s="18"/>
      <c r="O32" s="16" t="s">
        <v>83</v>
      </c>
      <c r="P32" s="18"/>
    </row>
    <row r="33" spans="1:16" ht="16.5" customHeight="1">
      <c r="A33" s="10">
        <v>32</v>
      </c>
      <c r="B33" s="10">
        <v>4</v>
      </c>
      <c r="C33" s="10">
        <v>185</v>
      </c>
      <c r="D33" s="11" t="s">
        <v>4232</v>
      </c>
      <c r="E33" s="19" t="s">
        <v>4233</v>
      </c>
      <c r="F33" s="11" t="s">
        <v>4235</v>
      </c>
      <c r="G33" s="10" t="s">
        <v>575</v>
      </c>
      <c r="H33" s="13" t="s">
        <v>4236</v>
      </c>
      <c r="I33" s="16" t="s">
        <v>82</v>
      </c>
      <c r="J33" s="17"/>
      <c r="K33" s="17"/>
      <c r="L33" s="17"/>
      <c r="M33" s="17"/>
      <c r="N33" s="18"/>
      <c r="O33" s="16" t="s">
        <v>83</v>
      </c>
      <c r="P33" s="18"/>
    </row>
    <row r="34" spans="1:16" ht="16.5" customHeight="1">
      <c r="A34" s="10">
        <v>33</v>
      </c>
      <c r="B34" s="10">
        <v>4</v>
      </c>
      <c r="C34" s="10">
        <v>186</v>
      </c>
      <c r="D34" s="11" t="s">
        <v>4233</v>
      </c>
      <c r="E34" s="12" t="s">
        <v>4235</v>
      </c>
      <c r="F34" s="11" t="s">
        <v>4237</v>
      </c>
      <c r="G34" s="10"/>
      <c r="H34" s="13"/>
      <c r="I34" s="16" t="s">
        <v>82</v>
      </c>
      <c r="J34" s="17"/>
      <c r="K34" s="17"/>
      <c r="L34" s="17"/>
      <c r="M34" s="17"/>
      <c r="N34" s="18"/>
      <c r="O34" s="16" t="s">
        <v>83</v>
      </c>
      <c r="P34" s="18"/>
    </row>
    <row r="35" spans="1:16" ht="16.5" customHeight="1">
      <c r="A35" s="10">
        <v>34</v>
      </c>
      <c r="B35" s="10">
        <v>4</v>
      </c>
      <c r="C35" s="10">
        <v>191</v>
      </c>
      <c r="D35" s="11" t="s">
        <v>4238</v>
      </c>
      <c r="E35" s="12" t="s">
        <v>4239</v>
      </c>
      <c r="F35" s="11" t="s">
        <v>4240</v>
      </c>
      <c r="G35" s="10"/>
      <c r="H35" s="13" t="s">
        <v>4241</v>
      </c>
      <c r="I35" s="16" t="s">
        <v>82</v>
      </c>
      <c r="J35" s="17"/>
      <c r="K35" s="17"/>
      <c r="L35" s="17"/>
      <c r="M35" s="17"/>
      <c r="N35" s="18"/>
      <c r="O35" s="16" t="s">
        <v>83</v>
      </c>
      <c r="P35" s="18"/>
    </row>
    <row r="36" spans="1:16" ht="26.25" customHeight="1">
      <c r="A36" s="10">
        <v>35</v>
      </c>
      <c r="B36" s="10">
        <v>4</v>
      </c>
      <c r="C36" s="10">
        <v>192</v>
      </c>
      <c r="D36" s="11" t="s">
        <v>4239</v>
      </c>
      <c r="E36" s="19" t="s">
        <v>4240</v>
      </c>
      <c r="F36" s="11" t="s">
        <v>4242</v>
      </c>
      <c r="G36" s="10" t="s">
        <v>305</v>
      </c>
      <c r="H36" s="13" t="s">
        <v>4243</v>
      </c>
      <c r="I36" s="16" t="s">
        <v>82</v>
      </c>
      <c r="J36" s="17"/>
      <c r="K36" s="17"/>
      <c r="L36" s="17"/>
      <c r="M36" s="17"/>
      <c r="N36" s="18"/>
      <c r="O36" s="16" t="s">
        <v>83</v>
      </c>
      <c r="P36" s="18"/>
    </row>
    <row r="37" spans="1:16" ht="32.25" customHeight="1">
      <c r="A37" s="10">
        <v>36</v>
      </c>
      <c r="B37" s="10">
        <v>4</v>
      </c>
      <c r="C37" s="10">
        <v>193</v>
      </c>
      <c r="D37" s="11" t="s">
        <v>4240</v>
      </c>
      <c r="E37" s="12" t="s">
        <v>4242</v>
      </c>
      <c r="F37" s="11" t="s">
        <v>4244</v>
      </c>
      <c r="G37" s="10"/>
      <c r="H37" s="13" t="s">
        <v>4245</v>
      </c>
      <c r="I37" s="16" t="s">
        <v>82</v>
      </c>
      <c r="J37" s="17"/>
      <c r="K37" s="17"/>
      <c r="L37" s="17"/>
      <c r="M37" s="17"/>
      <c r="N37" s="18"/>
      <c r="O37" s="16" t="s">
        <v>83</v>
      </c>
      <c r="P37" s="18"/>
    </row>
    <row r="38" spans="1:16" ht="16.5" customHeight="1">
      <c r="A38" s="10">
        <v>37</v>
      </c>
      <c r="B38" s="10">
        <v>6</v>
      </c>
      <c r="C38" s="10">
        <v>41</v>
      </c>
      <c r="D38" s="11" t="s">
        <v>4246</v>
      </c>
      <c r="E38" s="12" t="s">
        <v>4247</v>
      </c>
      <c r="F38" s="11" t="s">
        <v>4248</v>
      </c>
      <c r="G38" s="10"/>
      <c r="H38" s="13" t="s">
        <v>4249</v>
      </c>
      <c r="I38" s="16" t="s">
        <v>82</v>
      </c>
      <c r="J38" s="17"/>
      <c r="K38" s="17"/>
      <c r="L38" s="17"/>
      <c r="M38" s="17"/>
      <c r="N38" s="18"/>
      <c r="O38" s="16" t="s">
        <v>83</v>
      </c>
      <c r="P38" s="18"/>
    </row>
    <row r="39" spans="1:16" ht="16.5" customHeight="1">
      <c r="A39" s="10">
        <v>38</v>
      </c>
      <c r="B39" s="10">
        <v>6</v>
      </c>
      <c r="C39" s="10">
        <v>42</v>
      </c>
      <c r="D39" s="11" t="s">
        <v>4247</v>
      </c>
      <c r="E39" s="19" t="s">
        <v>4248</v>
      </c>
      <c r="F39" s="11" t="s">
        <v>4250</v>
      </c>
      <c r="G39" s="10" t="s">
        <v>106</v>
      </c>
      <c r="H39" s="13" t="s">
        <v>4251</v>
      </c>
      <c r="I39" s="16" t="s">
        <v>82</v>
      </c>
      <c r="J39" s="17"/>
      <c r="K39" s="17"/>
      <c r="L39" s="17"/>
      <c r="M39" s="17"/>
      <c r="N39" s="18"/>
      <c r="O39" s="16" t="s">
        <v>83</v>
      </c>
      <c r="P39" s="18"/>
    </row>
    <row r="40" spans="1:16" ht="16.5" customHeight="1">
      <c r="A40" s="10">
        <v>39</v>
      </c>
      <c r="B40" s="10">
        <v>6</v>
      </c>
      <c r="C40" s="10">
        <v>43</v>
      </c>
      <c r="D40" s="11" t="s">
        <v>4248</v>
      </c>
      <c r="E40" s="12" t="s">
        <v>4250</v>
      </c>
      <c r="F40" s="11" t="s">
        <v>4252</v>
      </c>
      <c r="G40" s="10"/>
      <c r="H40" s="13" t="s">
        <v>4253</v>
      </c>
      <c r="I40" s="16" t="s">
        <v>82</v>
      </c>
      <c r="J40" s="17"/>
      <c r="K40" s="17"/>
      <c r="L40" s="17"/>
      <c r="M40" s="17"/>
      <c r="N40" s="18"/>
      <c r="O40" s="16" t="s">
        <v>83</v>
      </c>
      <c r="P40" s="18"/>
    </row>
    <row r="41" spans="1:16" ht="16.5" customHeight="1">
      <c r="A41" s="10">
        <v>40</v>
      </c>
      <c r="B41" s="10">
        <v>6</v>
      </c>
      <c r="C41" s="10">
        <v>73</v>
      </c>
      <c r="D41" s="11" t="s">
        <v>4254</v>
      </c>
      <c r="E41" s="12" t="s">
        <v>4255</v>
      </c>
      <c r="F41" s="11" t="s">
        <v>4256</v>
      </c>
      <c r="G41" s="10"/>
      <c r="H41" s="13" t="s">
        <v>3163</v>
      </c>
      <c r="I41" s="16" t="s">
        <v>82</v>
      </c>
      <c r="J41" s="17"/>
      <c r="K41" s="17"/>
      <c r="L41" s="17"/>
      <c r="M41" s="17"/>
      <c r="N41" s="18"/>
      <c r="O41" s="16" t="s">
        <v>83</v>
      </c>
      <c r="P41" s="18"/>
    </row>
    <row r="42" spans="1:16" ht="16.5" customHeight="1">
      <c r="A42" s="10">
        <v>41</v>
      </c>
      <c r="B42" s="10">
        <v>6</v>
      </c>
      <c r="C42" s="10">
        <v>74</v>
      </c>
      <c r="D42" s="11" t="s">
        <v>4255</v>
      </c>
      <c r="E42" s="19" t="s">
        <v>4256</v>
      </c>
      <c r="F42" s="11" t="s">
        <v>4257</v>
      </c>
      <c r="G42" s="10" t="s">
        <v>338</v>
      </c>
      <c r="H42" s="13" t="s">
        <v>4258</v>
      </c>
      <c r="I42" s="16" t="s">
        <v>82</v>
      </c>
      <c r="J42" s="17"/>
      <c r="K42" s="17"/>
      <c r="L42" s="17"/>
      <c r="M42" s="17"/>
      <c r="N42" s="18"/>
      <c r="O42" s="16" t="s">
        <v>83</v>
      </c>
      <c r="P42" s="18"/>
    </row>
    <row r="43" spans="1:16" ht="16.5" customHeight="1">
      <c r="A43" s="10">
        <v>42</v>
      </c>
      <c r="B43" s="10">
        <v>6</v>
      </c>
      <c r="C43" s="10">
        <v>75</v>
      </c>
      <c r="D43" s="11" t="s">
        <v>4256</v>
      </c>
      <c r="E43" s="12" t="s">
        <v>4257</v>
      </c>
      <c r="F43" s="11" t="s">
        <v>4259</v>
      </c>
      <c r="G43" s="10"/>
      <c r="H43" s="13"/>
      <c r="I43" s="16" t="s">
        <v>82</v>
      </c>
      <c r="J43" s="17"/>
      <c r="K43" s="17"/>
      <c r="L43" s="17"/>
      <c r="M43" s="17"/>
      <c r="N43" s="18"/>
      <c r="O43" s="16" t="s">
        <v>83</v>
      </c>
      <c r="P43" s="18"/>
    </row>
    <row r="44" spans="1:16" ht="16.5" customHeight="1">
      <c r="A44" s="10">
        <v>43</v>
      </c>
      <c r="B44" s="10">
        <v>8</v>
      </c>
      <c r="C44" s="10">
        <v>12</v>
      </c>
      <c r="D44" s="11" t="s">
        <v>4260</v>
      </c>
      <c r="E44" s="12" t="s">
        <v>4261</v>
      </c>
      <c r="F44" s="11" t="s">
        <v>4262</v>
      </c>
      <c r="G44" s="10"/>
      <c r="H44" s="13" t="s">
        <v>4263</v>
      </c>
      <c r="I44" s="16" t="s">
        <v>82</v>
      </c>
      <c r="J44" s="17"/>
      <c r="K44" s="17"/>
      <c r="L44" s="17"/>
      <c r="M44" s="17"/>
      <c r="N44" s="18"/>
      <c r="O44" s="16" t="s">
        <v>83</v>
      </c>
      <c r="P44" s="18"/>
    </row>
    <row r="45" spans="1:16" ht="16.5" customHeight="1">
      <c r="A45" s="10">
        <v>44</v>
      </c>
      <c r="B45" s="10">
        <v>8</v>
      </c>
      <c r="C45" s="10">
        <v>13</v>
      </c>
      <c r="D45" s="11" t="s">
        <v>4261</v>
      </c>
      <c r="E45" s="19" t="s">
        <v>4262</v>
      </c>
      <c r="F45" s="11" t="s">
        <v>4264</v>
      </c>
      <c r="G45" s="10" t="s">
        <v>1957</v>
      </c>
      <c r="H45" s="13" t="s">
        <v>4265</v>
      </c>
      <c r="I45" s="16" t="s">
        <v>82</v>
      </c>
      <c r="J45" s="17"/>
      <c r="K45" s="17"/>
      <c r="L45" s="17"/>
      <c r="M45" s="17"/>
      <c r="N45" s="18"/>
      <c r="O45" s="16" t="s">
        <v>83</v>
      </c>
      <c r="P45" s="18"/>
    </row>
    <row r="46" spans="1:16" ht="16.5" customHeight="1">
      <c r="A46" s="10">
        <v>45</v>
      </c>
      <c r="B46" s="10">
        <v>8</v>
      </c>
      <c r="C46" s="10">
        <v>14</v>
      </c>
      <c r="D46" s="11" t="s">
        <v>4262</v>
      </c>
      <c r="E46" s="12" t="s">
        <v>4264</v>
      </c>
      <c r="F46" s="11" t="s">
        <v>4266</v>
      </c>
      <c r="G46" s="10"/>
      <c r="H46" s="13" t="s">
        <v>4267</v>
      </c>
      <c r="I46" s="16" t="s">
        <v>82</v>
      </c>
      <c r="J46" s="17"/>
      <c r="K46" s="17"/>
      <c r="L46" s="17"/>
      <c r="M46" s="17"/>
      <c r="N46" s="18"/>
      <c r="O46" s="16" t="s">
        <v>83</v>
      </c>
      <c r="P46" s="18"/>
    </row>
    <row r="47" spans="1:16" ht="16.5" customHeight="1">
      <c r="A47" s="10">
        <v>46</v>
      </c>
      <c r="B47" s="10">
        <v>10</v>
      </c>
      <c r="C47" s="10">
        <v>17</v>
      </c>
      <c r="D47" s="11" t="s">
        <v>4268</v>
      </c>
      <c r="E47" s="12" t="s">
        <v>4269</v>
      </c>
      <c r="F47" s="11" t="s">
        <v>4270</v>
      </c>
      <c r="G47" s="10"/>
      <c r="H47" s="13" t="s">
        <v>4271</v>
      </c>
      <c r="I47" s="16" t="s">
        <v>82</v>
      </c>
      <c r="J47" s="17"/>
      <c r="K47" s="17"/>
      <c r="L47" s="17"/>
      <c r="M47" s="17"/>
      <c r="N47" s="18"/>
      <c r="O47" s="16" t="s">
        <v>83</v>
      </c>
      <c r="P47" s="18"/>
    </row>
    <row r="48" spans="1:16" ht="16.5" customHeight="1">
      <c r="A48" s="10">
        <v>47</v>
      </c>
      <c r="B48" s="10">
        <v>10</v>
      </c>
      <c r="C48" s="10">
        <v>18</v>
      </c>
      <c r="D48" s="11" t="s">
        <v>4269</v>
      </c>
      <c r="E48" s="19" t="s">
        <v>4270</v>
      </c>
      <c r="F48" s="11" t="s">
        <v>4272</v>
      </c>
      <c r="G48" s="10" t="s">
        <v>633</v>
      </c>
      <c r="H48" s="13" t="s">
        <v>4273</v>
      </c>
      <c r="I48" s="16" t="s">
        <v>82</v>
      </c>
      <c r="J48" s="17"/>
      <c r="K48" s="17"/>
      <c r="L48" s="17"/>
      <c r="M48" s="17"/>
      <c r="N48" s="18"/>
      <c r="O48" s="16" t="s">
        <v>83</v>
      </c>
      <c r="P48" s="18"/>
    </row>
    <row r="49" spans="1:16" ht="16.5" customHeight="1">
      <c r="A49" s="10">
        <v>48</v>
      </c>
      <c r="B49" s="10">
        <v>10</v>
      </c>
      <c r="C49" s="10">
        <v>19</v>
      </c>
      <c r="D49" s="11" t="s">
        <v>4270</v>
      </c>
      <c r="E49" s="12" t="s">
        <v>4272</v>
      </c>
      <c r="F49" s="11" t="s">
        <v>4274</v>
      </c>
      <c r="G49" s="10"/>
      <c r="H49" s="13" t="s">
        <v>4275</v>
      </c>
      <c r="I49" s="16" t="s">
        <v>82</v>
      </c>
      <c r="J49" s="17"/>
      <c r="K49" s="17"/>
      <c r="L49" s="17"/>
      <c r="M49" s="17"/>
      <c r="N49" s="18"/>
      <c r="O49" s="16" t="s">
        <v>83</v>
      </c>
      <c r="P49" s="18"/>
    </row>
    <row r="50" spans="1:16" ht="26.25" customHeight="1">
      <c r="A50" s="10">
        <v>49</v>
      </c>
      <c r="B50" s="10">
        <v>11</v>
      </c>
      <c r="C50" s="10">
        <v>4</v>
      </c>
      <c r="D50" s="11" t="s">
        <v>4276</v>
      </c>
      <c r="E50" s="12" t="s">
        <v>4277</v>
      </c>
      <c r="F50" s="11" t="s">
        <v>4278</v>
      </c>
      <c r="G50" s="10"/>
      <c r="H50" s="13" t="s">
        <v>4279</v>
      </c>
      <c r="I50" s="16" t="s">
        <v>82</v>
      </c>
      <c r="J50" s="17"/>
      <c r="K50" s="17"/>
      <c r="L50" s="17"/>
      <c r="M50" s="17"/>
      <c r="N50" s="18"/>
      <c r="O50" s="16" t="s">
        <v>83</v>
      </c>
      <c r="P50" s="18"/>
    </row>
    <row r="51" spans="1:16" ht="26.25" customHeight="1">
      <c r="A51" s="10">
        <v>50</v>
      </c>
      <c r="B51" s="10">
        <v>11</v>
      </c>
      <c r="C51" s="10">
        <v>5</v>
      </c>
      <c r="D51" s="11" t="s">
        <v>4277</v>
      </c>
      <c r="E51" s="19" t="s">
        <v>4278</v>
      </c>
      <c r="F51" s="11" t="s">
        <v>4280</v>
      </c>
      <c r="G51" s="10" t="s">
        <v>160</v>
      </c>
      <c r="H51" s="13" t="s">
        <v>4281</v>
      </c>
      <c r="I51" s="16" t="s">
        <v>82</v>
      </c>
      <c r="J51" s="17"/>
      <c r="K51" s="17"/>
      <c r="L51" s="17"/>
      <c r="M51" s="17"/>
      <c r="N51" s="18"/>
      <c r="O51" s="16" t="s">
        <v>83</v>
      </c>
      <c r="P51" s="18"/>
    </row>
    <row r="52" spans="1:16" ht="16.5" customHeight="1">
      <c r="A52" s="10">
        <v>51</v>
      </c>
      <c r="B52" s="10">
        <v>11</v>
      </c>
      <c r="C52" s="10">
        <v>6</v>
      </c>
      <c r="D52" s="11" t="s">
        <v>4278</v>
      </c>
      <c r="E52" s="12" t="s">
        <v>4280</v>
      </c>
      <c r="F52" s="11" t="s">
        <v>4282</v>
      </c>
      <c r="G52" s="10"/>
      <c r="H52" s="13" t="s">
        <v>4283</v>
      </c>
      <c r="I52" s="16" t="s">
        <v>82</v>
      </c>
      <c r="J52" s="17"/>
      <c r="K52" s="17"/>
      <c r="L52" s="17"/>
      <c r="M52" s="17"/>
      <c r="N52" s="18"/>
      <c r="O52" s="16" t="s">
        <v>83</v>
      </c>
      <c r="P52" s="18"/>
    </row>
    <row r="53" spans="1:16" ht="26.25" customHeight="1">
      <c r="A53" s="10">
        <v>52</v>
      </c>
      <c r="B53" s="10">
        <v>11</v>
      </c>
      <c r="C53" s="10">
        <v>61</v>
      </c>
      <c r="D53" s="11" t="s">
        <v>4284</v>
      </c>
      <c r="E53" s="12" t="s">
        <v>4285</v>
      </c>
      <c r="F53" s="11" t="s">
        <v>4286</v>
      </c>
      <c r="G53" s="10"/>
      <c r="H53" s="13" t="s">
        <v>4287</v>
      </c>
      <c r="I53" s="16" t="s">
        <v>82</v>
      </c>
      <c r="J53" s="17"/>
      <c r="K53" s="17"/>
      <c r="L53" s="17"/>
      <c r="M53" s="17"/>
      <c r="N53" s="18"/>
      <c r="O53" s="16" t="s">
        <v>83</v>
      </c>
      <c r="P53" s="18"/>
    </row>
    <row r="54" spans="1:16" ht="26.25" customHeight="1">
      <c r="A54" s="10">
        <v>53</v>
      </c>
      <c r="B54" s="10">
        <v>11</v>
      </c>
      <c r="C54" s="10">
        <v>62</v>
      </c>
      <c r="D54" s="11" t="s">
        <v>4285</v>
      </c>
      <c r="E54" s="19" t="s">
        <v>4286</v>
      </c>
      <c r="F54" s="11" t="s">
        <v>1968</v>
      </c>
      <c r="G54" s="10" t="s">
        <v>1067</v>
      </c>
      <c r="H54" s="13" t="s">
        <v>4288</v>
      </c>
      <c r="I54" s="16" t="s">
        <v>82</v>
      </c>
      <c r="J54" s="17"/>
      <c r="K54" s="17"/>
      <c r="L54" s="17"/>
      <c r="M54" s="17"/>
      <c r="N54" s="18"/>
      <c r="O54" s="16" t="s">
        <v>83</v>
      </c>
      <c r="P54" s="18"/>
    </row>
    <row r="55" spans="1:16" ht="16.5" customHeight="1">
      <c r="A55" s="10">
        <v>54</v>
      </c>
      <c r="B55" s="10">
        <v>11</v>
      </c>
      <c r="C55" s="10">
        <v>63</v>
      </c>
      <c r="D55" s="11" t="s">
        <v>4286</v>
      </c>
      <c r="E55" s="12" t="s">
        <v>1968</v>
      </c>
      <c r="F55" s="11" t="s">
        <v>4289</v>
      </c>
      <c r="G55" s="10"/>
      <c r="H55" s="13" t="s">
        <v>4290</v>
      </c>
      <c r="I55" s="16" t="s">
        <v>82</v>
      </c>
      <c r="J55" s="17"/>
      <c r="K55" s="17"/>
      <c r="L55" s="17"/>
      <c r="M55" s="17"/>
      <c r="N55" s="18"/>
      <c r="O55" s="16" t="s">
        <v>83</v>
      </c>
      <c r="P55" s="18"/>
    </row>
    <row r="56" spans="1:16" ht="26.25" customHeight="1">
      <c r="A56" s="10">
        <v>55</v>
      </c>
      <c r="B56" s="10">
        <v>11</v>
      </c>
      <c r="C56" s="10">
        <v>74</v>
      </c>
      <c r="D56" s="11" t="s">
        <v>4291</v>
      </c>
      <c r="E56" s="12" t="s">
        <v>4292</v>
      </c>
      <c r="F56" s="11" t="s">
        <v>4293</v>
      </c>
      <c r="G56" s="10"/>
      <c r="H56" s="13" t="s">
        <v>4294</v>
      </c>
      <c r="I56" s="16" t="s">
        <v>82</v>
      </c>
      <c r="J56" s="17"/>
      <c r="K56" s="17"/>
      <c r="L56" s="17"/>
      <c r="M56" s="17"/>
      <c r="N56" s="18"/>
      <c r="O56" s="16" t="s">
        <v>83</v>
      </c>
      <c r="P56" s="18"/>
    </row>
    <row r="57" spans="1:16" ht="16.5" customHeight="1">
      <c r="A57" s="10">
        <v>56</v>
      </c>
      <c r="B57" s="10">
        <v>11</v>
      </c>
      <c r="C57" s="10">
        <v>75</v>
      </c>
      <c r="D57" s="11" t="s">
        <v>4292</v>
      </c>
      <c r="E57" s="19" t="s">
        <v>4293</v>
      </c>
      <c r="F57" s="11" t="s">
        <v>4295</v>
      </c>
      <c r="G57" s="10" t="s">
        <v>4296</v>
      </c>
      <c r="H57" s="13" t="s">
        <v>4297</v>
      </c>
      <c r="I57" s="16" t="s">
        <v>82</v>
      </c>
      <c r="J57" s="17"/>
      <c r="K57" s="17"/>
      <c r="L57" s="17"/>
      <c r="M57" s="17"/>
      <c r="N57" s="18"/>
      <c r="O57" s="16" t="s">
        <v>83</v>
      </c>
      <c r="P57" s="18"/>
    </row>
    <row r="58" spans="1:16" ht="16.5" customHeight="1">
      <c r="A58" s="10">
        <v>57</v>
      </c>
      <c r="B58" s="10">
        <v>11</v>
      </c>
      <c r="C58" s="10">
        <v>76</v>
      </c>
      <c r="D58" s="11" t="s">
        <v>4293</v>
      </c>
      <c r="E58" s="12" t="s">
        <v>4295</v>
      </c>
      <c r="F58" s="11" t="s">
        <v>4298</v>
      </c>
      <c r="G58" s="10"/>
      <c r="H58" s="13" t="s">
        <v>4299</v>
      </c>
      <c r="I58" s="16" t="s">
        <v>89</v>
      </c>
      <c r="J58" s="17" t="s">
        <v>155</v>
      </c>
      <c r="K58" s="17" t="s">
        <v>91</v>
      </c>
      <c r="L58" s="17" t="s">
        <v>4295</v>
      </c>
      <c r="M58" s="17" t="s">
        <v>111</v>
      </c>
      <c r="N58" s="18" t="s">
        <v>4300</v>
      </c>
      <c r="O58" s="16" t="s">
        <v>113</v>
      </c>
      <c r="P58" s="18"/>
    </row>
    <row r="59" spans="1:16" ht="16.5" customHeight="1">
      <c r="A59" s="10">
        <v>58</v>
      </c>
      <c r="B59" s="10">
        <v>11</v>
      </c>
      <c r="C59" s="10">
        <v>78</v>
      </c>
      <c r="D59" s="11" t="s">
        <v>4298</v>
      </c>
      <c r="E59" s="12" t="s">
        <v>4301</v>
      </c>
      <c r="F59" s="11" t="s">
        <v>4302</v>
      </c>
      <c r="G59" s="10"/>
      <c r="H59" s="13" t="s">
        <v>4303</v>
      </c>
      <c r="I59" s="16" t="s">
        <v>82</v>
      </c>
      <c r="J59" s="17"/>
      <c r="K59" s="17"/>
      <c r="L59" s="17"/>
      <c r="M59" s="17"/>
      <c r="N59" s="18"/>
      <c r="O59" s="16" t="s">
        <v>83</v>
      </c>
      <c r="P59" s="18"/>
    </row>
    <row r="60" spans="1:16" ht="26.25" customHeight="1">
      <c r="A60" s="10">
        <v>59</v>
      </c>
      <c r="B60" s="10">
        <v>11</v>
      </c>
      <c r="C60" s="10">
        <v>79</v>
      </c>
      <c r="D60" s="11" t="s">
        <v>4301</v>
      </c>
      <c r="E60" s="19" t="s">
        <v>4302</v>
      </c>
      <c r="F60" s="11" t="s">
        <v>4304</v>
      </c>
      <c r="G60" s="10" t="s">
        <v>85</v>
      </c>
      <c r="H60" s="13" t="s">
        <v>4305</v>
      </c>
      <c r="I60" s="16" t="s">
        <v>82</v>
      </c>
      <c r="J60" s="17"/>
      <c r="K60" s="17"/>
      <c r="L60" s="17"/>
      <c r="M60" s="17"/>
      <c r="N60" s="18"/>
      <c r="O60" s="16" t="s">
        <v>83</v>
      </c>
      <c r="P60" s="18"/>
    </row>
    <row r="61" spans="1:16" ht="16.5" customHeight="1">
      <c r="A61" s="10">
        <v>60</v>
      </c>
      <c r="B61" s="10">
        <v>11</v>
      </c>
      <c r="C61" s="10">
        <v>80</v>
      </c>
      <c r="D61" s="11" t="s">
        <v>4302</v>
      </c>
      <c r="E61" s="12" t="s">
        <v>4304</v>
      </c>
      <c r="F61" s="11" t="s">
        <v>4306</v>
      </c>
      <c r="G61" s="10"/>
      <c r="H61" s="13" t="s">
        <v>4307</v>
      </c>
      <c r="I61" s="16" t="s">
        <v>82</v>
      </c>
      <c r="J61" s="17"/>
      <c r="K61" s="17"/>
      <c r="L61" s="17"/>
      <c r="M61" s="17"/>
      <c r="N61" s="18"/>
      <c r="O61" s="16" t="s">
        <v>83</v>
      </c>
      <c r="P61" s="18"/>
    </row>
    <row r="62" spans="1:16" ht="16.5" customHeight="1">
      <c r="A62" s="10">
        <v>61</v>
      </c>
      <c r="B62" s="10">
        <v>11</v>
      </c>
      <c r="C62" s="10">
        <v>112</v>
      </c>
      <c r="D62" s="11" t="s">
        <v>4308</v>
      </c>
      <c r="E62" s="12" t="s">
        <v>4309</v>
      </c>
      <c r="F62" s="11" t="s">
        <v>4310</v>
      </c>
      <c r="G62" s="10"/>
      <c r="H62" s="13" t="s">
        <v>4311</v>
      </c>
      <c r="I62" s="16" t="s">
        <v>82</v>
      </c>
      <c r="J62" s="17"/>
      <c r="K62" s="17"/>
      <c r="L62" s="17"/>
      <c r="M62" s="17"/>
      <c r="N62" s="18"/>
      <c r="O62" s="16" t="s">
        <v>83</v>
      </c>
      <c r="P62" s="18"/>
    </row>
    <row r="63" spans="1:16" ht="26.25" customHeight="1">
      <c r="A63" s="10">
        <v>62</v>
      </c>
      <c r="B63" s="10">
        <v>11</v>
      </c>
      <c r="C63" s="10">
        <v>113</v>
      </c>
      <c r="D63" s="11" t="s">
        <v>4309</v>
      </c>
      <c r="E63" s="19" t="s">
        <v>4310</v>
      </c>
      <c r="F63" s="11" t="s">
        <v>4312</v>
      </c>
      <c r="G63" s="10" t="s">
        <v>338</v>
      </c>
      <c r="H63" s="13" t="s">
        <v>4313</v>
      </c>
      <c r="I63" s="16" t="s">
        <v>82</v>
      </c>
      <c r="J63" s="17"/>
      <c r="K63" s="17"/>
      <c r="L63" s="17"/>
      <c r="M63" s="17"/>
      <c r="N63" s="18"/>
      <c r="O63" s="16" t="s">
        <v>83</v>
      </c>
      <c r="P63" s="18"/>
    </row>
    <row r="64" spans="1:16" ht="16.5" customHeight="1">
      <c r="A64" s="10">
        <v>63</v>
      </c>
      <c r="B64" s="10">
        <v>11</v>
      </c>
      <c r="C64" s="10">
        <v>114</v>
      </c>
      <c r="D64" s="11" t="s">
        <v>4310</v>
      </c>
      <c r="E64" s="12" t="s">
        <v>4312</v>
      </c>
      <c r="F64" s="11" t="s">
        <v>4314</v>
      </c>
      <c r="G64" s="10"/>
      <c r="H64" s="13" t="s">
        <v>4315</v>
      </c>
      <c r="I64" s="16" t="s">
        <v>82</v>
      </c>
      <c r="J64" s="17"/>
      <c r="K64" s="17"/>
      <c r="L64" s="17"/>
      <c r="M64" s="17"/>
      <c r="N64" s="18"/>
      <c r="O64" s="16" t="s">
        <v>83</v>
      </c>
      <c r="P64" s="18"/>
    </row>
    <row r="65" spans="1:16" ht="16.5" customHeight="1">
      <c r="A65" s="10">
        <v>64</v>
      </c>
      <c r="B65" s="10">
        <v>11</v>
      </c>
      <c r="C65" s="10">
        <v>119</v>
      </c>
      <c r="D65" s="11" t="s">
        <v>4316</v>
      </c>
      <c r="E65" s="12" t="s">
        <v>4317</v>
      </c>
      <c r="F65" s="11" t="s">
        <v>4318</v>
      </c>
      <c r="G65" s="10"/>
      <c r="H65" s="13" t="s">
        <v>4319</v>
      </c>
      <c r="I65" s="16" t="s">
        <v>82</v>
      </c>
      <c r="J65" s="17"/>
      <c r="K65" s="17"/>
      <c r="L65" s="17"/>
      <c r="M65" s="17"/>
      <c r="N65" s="18"/>
      <c r="O65" s="16" t="s">
        <v>83</v>
      </c>
      <c r="P65" s="18"/>
    </row>
    <row r="66" spans="1:16" ht="16.5" customHeight="1">
      <c r="A66" s="10">
        <v>65</v>
      </c>
      <c r="B66" s="10">
        <v>11</v>
      </c>
      <c r="C66" s="10">
        <v>120</v>
      </c>
      <c r="D66" s="11" t="s">
        <v>4317</v>
      </c>
      <c r="E66" s="19" t="s">
        <v>4318</v>
      </c>
      <c r="F66" s="11" t="s">
        <v>4320</v>
      </c>
      <c r="G66" s="10" t="s">
        <v>462</v>
      </c>
      <c r="H66" s="13" t="s">
        <v>4321</v>
      </c>
      <c r="I66" s="16" t="s">
        <v>89</v>
      </c>
      <c r="J66" s="17" t="s">
        <v>155</v>
      </c>
      <c r="K66" s="17" t="s">
        <v>164</v>
      </c>
      <c r="L66" s="17" t="s">
        <v>4322</v>
      </c>
      <c r="M66" s="17" t="s">
        <v>4323</v>
      </c>
      <c r="N66" s="18" t="s">
        <v>4324</v>
      </c>
      <c r="O66" s="16" t="s">
        <v>83</v>
      </c>
      <c r="P66" s="18"/>
    </row>
    <row r="67" spans="1:16" ht="16.5" customHeight="1">
      <c r="A67" s="10">
        <v>66</v>
      </c>
      <c r="B67" s="10">
        <v>11</v>
      </c>
      <c r="C67" s="10">
        <v>121</v>
      </c>
      <c r="D67" s="11" t="s">
        <v>4318</v>
      </c>
      <c r="E67" s="19" t="s">
        <v>4320</v>
      </c>
      <c r="F67" s="11" t="s">
        <v>4325</v>
      </c>
      <c r="G67" s="10" t="s">
        <v>305</v>
      </c>
      <c r="H67" s="13" t="s">
        <v>4326</v>
      </c>
      <c r="I67" s="16" t="s">
        <v>82</v>
      </c>
      <c r="J67" s="17"/>
      <c r="K67" s="17"/>
      <c r="L67" s="17"/>
      <c r="M67" s="17"/>
      <c r="N67" s="18"/>
      <c r="O67" s="16" t="s">
        <v>83</v>
      </c>
      <c r="P67" s="18"/>
    </row>
    <row r="68" spans="1:16" ht="26.25" customHeight="1">
      <c r="A68" s="10">
        <v>67</v>
      </c>
      <c r="B68" s="10">
        <v>11</v>
      </c>
      <c r="C68" s="10">
        <v>122</v>
      </c>
      <c r="D68" s="11" t="s">
        <v>4320</v>
      </c>
      <c r="E68" s="12" t="s">
        <v>4325</v>
      </c>
      <c r="F68" s="11" t="s">
        <v>4327</v>
      </c>
      <c r="G68" s="10"/>
      <c r="H68" s="13" t="s">
        <v>4328</v>
      </c>
      <c r="I68" s="16" t="s">
        <v>82</v>
      </c>
      <c r="J68" s="17"/>
      <c r="K68" s="17"/>
      <c r="L68" s="17"/>
      <c r="M68" s="17"/>
      <c r="N68" s="18"/>
      <c r="O68" s="16" t="s">
        <v>83</v>
      </c>
      <c r="P68" s="18"/>
    </row>
    <row r="69" spans="1:16" ht="16.5" customHeight="1">
      <c r="A69" s="10">
        <v>68</v>
      </c>
      <c r="B69" s="10">
        <v>11</v>
      </c>
      <c r="C69" s="10">
        <v>142</v>
      </c>
      <c r="D69" s="11" t="s">
        <v>4329</v>
      </c>
      <c r="E69" s="12" t="s">
        <v>4330</v>
      </c>
      <c r="F69" s="11" t="s">
        <v>4331</v>
      </c>
      <c r="G69" s="10"/>
      <c r="H69" s="13" t="s">
        <v>4332</v>
      </c>
      <c r="I69" s="16" t="s">
        <v>82</v>
      </c>
      <c r="J69" s="17"/>
      <c r="K69" s="17"/>
      <c r="L69" s="17"/>
      <c r="M69" s="17"/>
      <c r="N69" s="18"/>
      <c r="O69" s="16" t="s">
        <v>83</v>
      </c>
      <c r="P69" s="18"/>
    </row>
    <row r="70" spans="1:16" ht="16.5" customHeight="1">
      <c r="A70" s="10">
        <v>69</v>
      </c>
      <c r="B70" s="10">
        <v>11</v>
      </c>
      <c r="C70" s="10">
        <v>143</v>
      </c>
      <c r="D70" s="11" t="s">
        <v>4330</v>
      </c>
      <c r="E70" s="19" t="s">
        <v>4331</v>
      </c>
      <c r="F70" s="11" t="s">
        <v>4333</v>
      </c>
      <c r="G70" s="10" t="s">
        <v>106</v>
      </c>
      <c r="H70" s="13" t="s">
        <v>4334</v>
      </c>
      <c r="I70" s="16" t="s">
        <v>82</v>
      </c>
      <c r="J70" s="17"/>
      <c r="K70" s="17"/>
      <c r="L70" s="17"/>
      <c r="M70" s="17"/>
      <c r="N70" s="18"/>
      <c r="O70" s="16" t="s">
        <v>83</v>
      </c>
      <c r="P70" s="18"/>
    </row>
    <row r="71" spans="1:16" ht="16.5" customHeight="1">
      <c r="A71" s="10">
        <v>70</v>
      </c>
      <c r="B71" s="10">
        <v>11</v>
      </c>
      <c r="C71" s="10">
        <v>144</v>
      </c>
      <c r="D71" s="11" t="s">
        <v>4331</v>
      </c>
      <c r="E71" s="12" t="s">
        <v>4333</v>
      </c>
      <c r="F71" s="11" t="s">
        <v>4335</v>
      </c>
      <c r="G71" s="10"/>
      <c r="H71" s="13" t="s">
        <v>4336</v>
      </c>
      <c r="I71" s="16" t="s">
        <v>82</v>
      </c>
      <c r="J71" s="17"/>
      <c r="K71" s="17"/>
      <c r="L71" s="17"/>
      <c r="M71" s="17"/>
      <c r="N71" s="18"/>
      <c r="O71" s="16" t="s">
        <v>83</v>
      </c>
      <c r="P71" s="18"/>
    </row>
    <row r="72" spans="1:16" ht="16.5" customHeight="1">
      <c r="A72" s="10">
        <v>71</v>
      </c>
      <c r="B72" s="10">
        <v>11</v>
      </c>
      <c r="C72" s="10">
        <v>149</v>
      </c>
      <c r="D72" s="11" t="s">
        <v>4337</v>
      </c>
      <c r="E72" s="12" t="s">
        <v>4338</v>
      </c>
      <c r="F72" s="11" t="s">
        <v>4339</v>
      </c>
      <c r="G72" s="10"/>
      <c r="H72" s="13" t="s">
        <v>866</v>
      </c>
      <c r="I72" s="16" t="s">
        <v>82</v>
      </c>
      <c r="J72" s="17"/>
      <c r="K72" s="17"/>
      <c r="L72" s="17"/>
      <c r="M72" s="17"/>
      <c r="N72" s="18"/>
      <c r="O72" s="16" t="s">
        <v>83</v>
      </c>
      <c r="P72" s="18"/>
    </row>
    <row r="73" spans="1:16" ht="26.25" customHeight="1">
      <c r="A73" s="10">
        <v>72</v>
      </c>
      <c r="B73" s="10">
        <v>11</v>
      </c>
      <c r="C73" s="10">
        <v>150</v>
      </c>
      <c r="D73" s="11" t="s">
        <v>4338</v>
      </c>
      <c r="E73" s="19" t="s">
        <v>4339</v>
      </c>
      <c r="F73" s="11" t="s">
        <v>4340</v>
      </c>
      <c r="G73" s="10" t="s">
        <v>85</v>
      </c>
      <c r="H73" s="13" t="s">
        <v>4341</v>
      </c>
      <c r="I73" s="16" t="s">
        <v>82</v>
      </c>
      <c r="J73" s="17"/>
      <c r="K73" s="17"/>
      <c r="L73" s="17"/>
      <c r="M73" s="17"/>
      <c r="N73" s="18"/>
      <c r="O73" s="16" t="s">
        <v>83</v>
      </c>
      <c r="P73" s="18"/>
    </row>
    <row r="74" spans="1:16" ht="16.5" customHeight="1">
      <c r="A74" s="10">
        <v>73</v>
      </c>
      <c r="B74" s="10">
        <v>11</v>
      </c>
      <c r="C74" s="10">
        <v>151</v>
      </c>
      <c r="D74" s="11" t="s">
        <v>4339</v>
      </c>
      <c r="E74" s="12" t="s">
        <v>4340</v>
      </c>
      <c r="F74" s="11" t="s">
        <v>4342</v>
      </c>
      <c r="G74" s="10"/>
      <c r="H74" s="13" t="s">
        <v>4343</v>
      </c>
      <c r="I74" s="16" t="s">
        <v>82</v>
      </c>
      <c r="J74" s="17"/>
      <c r="K74" s="17"/>
      <c r="L74" s="17"/>
      <c r="M74" s="17"/>
      <c r="N74" s="18"/>
      <c r="O74" s="16" t="s">
        <v>83</v>
      </c>
      <c r="P74" s="18"/>
    </row>
    <row r="75" spans="1:16" ht="26.25" customHeight="1">
      <c r="A75" s="10">
        <v>74</v>
      </c>
      <c r="B75" s="10">
        <v>12</v>
      </c>
      <c r="C75" s="10">
        <v>15</v>
      </c>
      <c r="D75" s="11" t="s">
        <v>4344</v>
      </c>
      <c r="E75" s="12" t="s">
        <v>4345</v>
      </c>
      <c r="F75" s="11" t="s">
        <v>4346</v>
      </c>
      <c r="G75" s="10"/>
      <c r="H75" s="13" t="s">
        <v>4347</v>
      </c>
      <c r="I75" s="16" t="s">
        <v>82</v>
      </c>
      <c r="J75" s="17"/>
      <c r="K75" s="17"/>
      <c r="L75" s="17"/>
      <c r="M75" s="17"/>
      <c r="N75" s="18"/>
      <c r="O75" s="16" t="s">
        <v>83</v>
      </c>
      <c r="P75" s="18"/>
    </row>
    <row r="76" spans="1:16" ht="26.25" customHeight="1">
      <c r="A76" s="10">
        <v>75</v>
      </c>
      <c r="B76" s="10">
        <v>12</v>
      </c>
      <c r="C76" s="10">
        <v>16</v>
      </c>
      <c r="D76" s="11" t="s">
        <v>4345</v>
      </c>
      <c r="E76" s="19" t="s">
        <v>4346</v>
      </c>
      <c r="F76" s="11" t="s">
        <v>4348</v>
      </c>
      <c r="G76" s="10" t="s">
        <v>305</v>
      </c>
      <c r="H76" s="13" t="s">
        <v>4349</v>
      </c>
      <c r="I76" s="16" t="s">
        <v>82</v>
      </c>
      <c r="J76" s="17"/>
      <c r="K76" s="17"/>
      <c r="L76" s="17"/>
      <c r="M76" s="17"/>
      <c r="N76" s="18"/>
      <c r="O76" s="16" t="s">
        <v>83</v>
      </c>
      <c r="P76" s="18"/>
    </row>
    <row r="77" spans="1:16" ht="16.5" customHeight="1">
      <c r="A77" s="10">
        <v>76</v>
      </c>
      <c r="B77" s="10">
        <v>12</v>
      </c>
      <c r="C77" s="10">
        <v>17</v>
      </c>
      <c r="D77" s="11" t="s">
        <v>4346</v>
      </c>
      <c r="E77" s="12" t="s">
        <v>4348</v>
      </c>
      <c r="F77" s="11" t="s">
        <v>4350</v>
      </c>
      <c r="G77" s="10"/>
      <c r="H77" s="13" t="s">
        <v>4351</v>
      </c>
      <c r="I77" s="16" t="s">
        <v>89</v>
      </c>
      <c r="J77" s="17" t="s">
        <v>368</v>
      </c>
      <c r="K77" s="17" t="s">
        <v>91</v>
      </c>
      <c r="L77" s="17" t="s">
        <v>4352</v>
      </c>
      <c r="M77" s="17" t="s">
        <v>4353</v>
      </c>
      <c r="N77" s="18" t="s">
        <v>4354</v>
      </c>
      <c r="O77" s="16" t="s">
        <v>83</v>
      </c>
      <c r="P77" s="18"/>
    </row>
    <row r="78" spans="1:16" ht="16.5" customHeight="1">
      <c r="A78" s="10">
        <v>77</v>
      </c>
      <c r="B78" s="10">
        <v>15</v>
      </c>
      <c r="C78" s="10">
        <v>6</v>
      </c>
      <c r="D78" s="11" t="s">
        <v>4355</v>
      </c>
      <c r="E78" s="12" t="s">
        <v>4356</v>
      </c>
      <c r="F78" s="11" t="s">
        <v>4357</v>
      </c>
      <c r="G78" s="10"/>
      <c r="H78" s="13" t="s">
        <v>4358</v>
      </c>
      <c r="I78" s="16" t="s">
        <v>82</v>
      </c>
      <c r="J78" s="17"/>
      <c r="K78" s="17"/>
      <c r="L78" s="17"/>
      <c r="M78" s="17"/>
      <c r="N78" s="18"/>
      <c r="O78" s="16" t="s">
        <v>83</v>
      </c>
      <c r="P78" s="18"/>
    </row>
    <row r="79" spans="1:16" ht="16.5" customHeight="1">
      <c r="A79" s="10">
        <v>78</v>
      </c>
      <c r="B79" s="10">
        <v>15</v>
      </c>
      <c r="C79" s="10">
        <v>7</v>
      </c>
      <c r="D79" s="11" t="s">
        <v>4356</v>
      </c>
      <c r="E79" s="19" t="s">
        <v>4357</v>
      </c>
      <c r="F79" s="11" t="s">
        <v>4359</v>
      </c>
      <c r="G79" s="10" t="s">
        <v>397</v>
      </c>
      <c r="H79" s="13" t="s">
        <v>4360</v>
      </c>
      <c r="I79" s="16" t="s">
        <v>89</v>
      </c>
      <c r="J79" s="17" t="s">
        <v>368</v>
      </c>
      <c r="K79" s="17" t="s">
        <v>1145</v>
      </c>
      <c r="L79" s="17" t="s">
        <v>4357</v>
      </c>
      <c r="M79" s="17" t="s">
        <v>4361</v>
      </c>
      <c r="N79" s="18" t="s">
        <v>4362</v>
      </c>
      <c r="O79" s="16" t="s">
        <v>83</v>
      </c>
      <c r="P79" s="18"/>
    </row>
    <row r="80" spans="1:16" ht="16.5" customHeight="1">
      <c r="A80" s="10">
        <v>79</v>
      </c>
      <c r="B80" s="10">
        <v>15</v>
      </c>
      <c r="C80" s="10">
        <v>8</v>
      </c>
      <c r="D80" s="11" t="s">
        <v>4357</v>
      </c>
      <c r="E80" s="12" t="s">
        <v>4359</v>
      </c>
      <c r="F80" s="11" t="s">
        <v>4363</v>
      </c>
      <c r="G80" s="10"/>
      <c r="H80" s="13" t="s">
        <v>4364</v>
      </c>
      <c r="I80" s="16" t="s">
        <v>82</v>
      </c>
      <c r="J80" s="17"/>
      <c r="K80" s="17"/>
      <c r="L80" s="17"/>
      <c r="M80" s="17"/>
      <c r="N80" s="18"/>
      <c r="O80" s="16" t="s">
        <v>83</v>
      </c>
      <c r="P80" s="18"/>
    </row>
    <row r="81" spans="1:16" ht="16.5" customHeight="1">
      <c r="A81" s="10">
        <v>80</v>
      </c>
      <c r="B81" s="10">
        <v>16</v>
      </c>
      <c r="C81" s="10">
        <v>8</v>
      </c>
      <c r="D81" s="11" t="s">
        <v>4365</v>
      </c>
      <c r="E81" s="12" t="s">
        <v>4366</v>
      </c>
      <c r="F81" s="11" t="s">
        <v>4367</v>
      </c>
      <c r="G81" s="10"/>
      <c r="H81" s="13"/>
      <c r="I81" s="16" t="s">
        <v>82</v>
      </c>
      <c r="J81" s="17"/>
      <c r="K81" s="17"/>
      <c r="L81" s="17"/>
      <c r="M81" s="17"/>
      <c r="N81" s="18"/>
      <c r="O81" s="16" t="s">
        <v>83</v>
      </c>
      <c r="P81" s="18"/>
    </row>
    <row r="82" spans="1:16" ht="16.5" customHeight="1">
      <c r="A82" s="10">
        <v>81</v>
      </c>
      <c r="B82" s="10">
        <v>16</v>
      </c>
      <c r="C82" s="10">
        <v>9</v>
      </c>
      <c r="D82" s="11" t="s">
        <v>4366</v>
      </c>
      <c r="E82" s="19" t="s">
        <v>4367</v>
      </c>
      <c r="F82" s="11" t="s">
        <v>4368</v>
      </c>
      <c r="G82" s="10" t="s">
        <v>1957</v>
      </c>
      <c r="H82" s="13" t="s">
        <v>4369</v>
      </c>
      <c r="I82" s="16" t="s">
        <v>82</v>
      </c>
      <c r="J82" s="17"/>
      <c r="K82" s="17"/>
      <c r="L82" s="17"/>
      <c r="M82" s="17"/>
      <c r="N82" s="18"/>
      <c r="O82" s="16" t="s">
        <v>83</v>
      </c>
      <c r="P82" s="18"/>
    </row>
    <row r="83" spans="1:16" ht="16.5" customHeight="1">
      <c r="A83" s="10">
        <v>82</v>
      </c>
      <c r="B83" s="10">
        <v>16</v>
      </c>
      <c r="C83" s="10">
        <v>10</v>
      </c>
      <c r="D83" s="11" t="s">
        <v>4367</v>
      </c>
      <c r="E83" s="12" t="s">
        <v>4368</v>
      </c>
      <c r="F83" s="11" t="s">
        <v>4370</v>
      </c>
      <c r="G83" s="10"/>
      <c r="H83" s="13" t="s">
        <v>4371</v>
      </c>
      <c r="I83" s="16" t="s">
        <v>82</v>
      </c>
      <c r="J83" s="17"/>
      <c r="K83" s="17"/>
      <c r="L83" s="17"/>
      <c r="M83" s="17"/>
      <c r="N83" s="18"/>
      <c r="O83" s="16" t="s">
        <v>83</v>
      </c>
      <c r="P83" s="18"/>
    </row>
    <row r="84" spans="1:16" ht="32.25" customHeight="1">
      <c r="A84" s="10">
        <v>83</v>
      </c>
      <c r="B84" s="10">
        <v>20</v>
      </c>
      <c r="C84" s="10">
        <v>2</v>
      </c>
      <c r="D84" s="11" t="s">
        <v>4372</v>
      </c>
      <c r="E84" s="12" t="s">
        <v>4373</v>
      </c>
      <c r="F84" s="11" t="s">
        <v>4374</v>
      </c>
      <c r="G84" s="10"/>
      <c r="H84" s="13" t="s">
        <v>4375</v>
      </c>
      <c r="I84" s="16" t="s">
        <v>82</v>
      </c>
      <c r="J84" s="17"/>
      <c r="K84" s="17"/>
      <c r="L84" s="17"/>
      <c r="M84" s="17"/>
      <c r="N84" s="18"/>
      <c r="O84" s="16" t="s">
        <v>83</v>
      </c>
      <c r="P84" s="18"/>
    </row>
    <row r="85" spans="1:16" ht="26.25" customHeight="1">
      <c r="A85" s="10">
        <v>84</v>
      </c>
      <c r="B85" s="10">
        <v>20</v>
      </c>
      <c r="C85" s="10">
        <v>3</v>
      </c>
      <c r="D85" s="11" t="s">
        <v>4373</v>
      </c>
      <c r="E85" s="19" t="s">
        <v>4374</v>
      </c>
      <c r="F85" s="11" t="s">
        <v>4376</v>
      </c>
      <c r="G85" s="10" t="s">
        <v>2692</v>
      </c>
      <c r="H85" s="13" t="s">
        <v>4377</v>
      </c>
      <c r="I85" s="16" t="s">
        <v>82</v>
      </c>
      <c r="J85" s="17"/>
      <c r="K85" s="17"/>
      <c r="L85" s="17"/>
      <c r="M85" s="17"/>
      <c r="N85" s="18"/>
      <c r="O85" s="16" t="s">
        <v>83</v>
      </c>
      <c r="P85" s="18"/>
    </row>
    <row r="86" spans="1:16" ht="16.5" customHeight="1">
      <c r="A86" s="10">
        <v>85</v>
      </c>
      <c r="B86" s="10">
        <v>20</v>
      </c>
      <c r="C86" s="10">
        <v>4</v>
      </c>
      <c r="D86" s="11" t="s">
        <v>4374</v>
      </c>
      <c r="E86" s="12" t="s">
        <v>4376</v>
      </c>
      <c r="F86" s="11" t="s">
        <v>4378</v>
      </c>
      <c r="G86" s="10"/>
      <c r="H86" s="13" t="s">
        <v>4379</v>
      </c>
      <c r="I86" s="16" t="s">
        <v>82</v>
      </c>
      <c r="J86" s="17"/>
      <c r="K86" s="17"/>
      <c r="L86" s="17"/>
      <c r="M86" s="17"/>
      <c r="N86" s="18"/>
      <c r="O86" s="16" t="s">
        <v>83</v>
      </c>
      <c r="P86" s="18"/>
    </row>
    <row r="87" spans="1:16" ht="26.25" customHeight="1">
      <c r="A87" s="10">
        <v>86</v>
      </c>
      <c r="B87" s="10">
        <v>20</v>
      </c>
      <c r="C87" s="10">
        <v>14</v>
      </c>
      <c r="D87" s="11" t="s">
        <v>2679</v>
      </c>
      <c r="E87" s="12" t="s">
        <v>4380</v>
      </c>
      <c r="F87" s="11" t="s">
        <v>4381</v>
      </c>
      <c r="G87" s="10"/>
      <c r="H87" s="13" t="s">
        <v>4382</v>
      </c>
      <c r="I87" s="16" t="s">
        <v>82</v>
      </c>
      <c r="J87" s="17"/>
      <c r="K87" s="17"/>
      <c r="L87" s="17"/>
      <c r="M87" s="17"/>
      <c r="N87" s="18"/>
      <c r="O87" s="16" t="s">
        <v>83</v>
      </c>
      <c r="P87" s="18"/>
    </row>
    <row r="88" spans="1:16" ht="16.5" customHeight="1">
      <c r="A88" s="10">
        <v>87</v>
      </c>
      <c r="B88" s="10">
        <v>20</v>
      </c>
      <c r="C88" s="10">
        <v>15</v>
      </c>
      <c r="D88" s="11" t="s">
        <v>4380</v>
      </c>
      <c r="E88" s="19" t="s">
        <v>4381</v>
      </c>
      <c r="F88" s="11" t="s">
        <v>4383</v>
      </c>
      <c r="G88" s="10" t="s">
        <v>802</v>
      </c>
      <c r="H88" s="13" t="s">
        <v>4384</v>
      </c>
      <c r="I88" s="16" t="s">
        <v>82</v>
      </c>
      <c r="J88" s="17"/>
      <c r="K88" s="17"/>
      <c r="L88" s="17"/>
      <c r="M88" s="17"/>
      <c r="N88" s="18"/>
      <c r="O88" s="16" t="s">
        <v>83</v>
      </c>
      <c r="P88" s="18"/>
    </row>
    <row r="89" spans="1:16" ht="26.25" customHeight="1">
      <c r="A89" s="10">
        <v>88</v>
      </c>
      <c r="B89" s="10">
        <v>20</v>
      </c>
      <c r="C89" s="10">
        <v>16</v>
      </c>
      <c r="D89" s="11" t="s">
        <v>4381</v>
      </c>
      <c r="E89" s="12" t="s">
        <v>4383</v>
      </c>
      <c r="F89" s="11" t="s">
        <v>4385</v>
      </c>
      <c r="G89" s="10"/>
      <c r="H89" s="13" t="s">
        <v>4386</v>
      </c>
      <c r="I89" s="16" t="s">
        <v>82</v>
      </c>
      <c r="J89" s="17"/>
      <c r="K89" s="17"/>
      <c r="L89" s="17"/>
      <c r="M89" s="17"/>
      <c r="N89" s="18"/>
      <c r="O89" s="16" t="s">
        <v>83</v>
      </c>
      <c r="P89" s="18"/>
    </row>
    <row r="90" spans="1:16" ht="16.5" customHeight="1">
      <c r="A90" s="10">
        <v>89</v>
      </c>
      <c r="B90" s="10">
        <v>20</v>
      </c>
      <c r="C90" s="10">
        <v>20</v>
      </c>
      <c r="D90" s="11" t="s">
        <v>4387</v>
      </c>
      <c r="E90" s="12" t="s">
        <v>4388</v>
      </c>
      <c r="F90" s="11" t="s">
        <v>4389</v>
      </c>
      <c r="G90" s="10"/>
      <c r="H90" s="13"/>
      <c r="I90" s="16" t="s">
        <v>82</v>
      </c>
      <c r="J90" s="17"/>
      <c r="K90" s="17"/>
      <c r="L90" s="17"/>
      <c r="M90" s="17"/>
      <c r="N90" s="18"/>
      <c r="O90" s="16" t="s">
        <v>83</v>
      </c>
      <c r="P90" s="18"/>
    </row>
    <row r="91" spans="1:16" ht="16.5" customHeight="1">
      <c r="A91" s="10">
        <v>90</v>
      </c>
      <c r="B91" s="10">
        <v>20</v>
      </c>
      <c r="C91" s="10">
        <v>21</v>
      </c>
      <c r="D91" s="11" t="s">
        <v>4388</v>
      </c>
      <c r="E91" s="19" t="s">
        <v>4389</v>
      </c>
      <c r="F91" s="11" t="s">
        <v>4390</v>
      </c>
      <c r="G91" s="10" t="s">
        <v>266</v>
      </c>
      <c r="H91" s="13" t="s">
        <v>4391</v>
      </c>
      <c r="I91" s="16" t="s">
        <v>89</v>
      </c>
      <c r="J91" s="17" t="s">
        <v>155</v>
      </c>
      <c r="K91" s="17" t="s">
        <v>91</v>
      </c>
      <c r="L91" s="17" t="s">
        <v>4392</v>
      </c>
      <c r="M91" s="17" t="s">
        <v>4393</v>
      </c>
      <c r="N91" s="18" t="s">
        <v>4394</v>
      </c>
      <c r="O91" s="16" t="s">
        <v>83</v>
      </c>
      <c r="P91" s="18"/>
    </row>
    <row r="92" spans="1:16" ht="16.5" customHeight="1">
      <c r="A92" s="10">
        <v>91</v>
      </c>
      <c r="B92" s="10">
        <v>20</v>
      </c>
      <c r="C92" s="10">
        <v>22</v>
      </c>
      <c r="D92" s="11" t="s">
        <v>4389</v>
      </c>
      <c r="E92" s="19" t="s">
        <v>4390</v>
      </c>
      <c r="F92" s="11" t="s">
        <v>4395</v>
      </c>
      <c r="G92" s="10" t="s">
        <v>2496</v>
      </c>
      <c r="H92" s="13" t="s">
        <v>4396</v>
      </c>
      <c r="I92" s="16" t="s">
        <v>89</v>
      </c>
      <c r="J92" s="17" t="s">
        <v>155</v>
      </c>
      <c r="K92" s="17" t="s">
        <v>91</v>
      </c>
      <c r="L92" s="17" t="s">
        <v>4397</v>
      </c>
      <c r="M92" s="17" t="s">
        <v>4398</v>
      </c>
      <c r="N92" s="18" t="s">
        <v>4399</v>
      </c>
      <c r="O92" s="16" t="s">
        <v>83</v>
      </c>
      <c r="P92" s="18"/>
    </row>
    <row r="93" spans="1:16" ht="16.5" customHeight="1">
      <c r="A93" s="10">
        <v>92</v>
      </c>
      <c r="B93" s="10">
        <v>20</v>
      </c>
      <c r="C93" s="10">
        <v>23</v>
      </c>
      <c r="D93" s="11" t="s">
        <v>4390</v>
      </c>
      <c r="E93" s="19" t="s">
        <v>4395</v>
      </c>
      <c r="F93" s="11" t="s">
        <v>4400</v>
      </c>
      <c r="G93" s="10" t="s">
        <v>133</v>
      </c>
      <c r="H93" s="13" t="s">
        <v>4401</v>
      </c>
      <c r="I93" s="16" t="s">
        <v>89</v>
      </c>
      <c r="J93" s="17" t="s">
        <v>128</v>
      </c>
      <c r="K93" s="17" t="s">
        <v>91</v>
      </c>
      <c r="L93" s="17" t="s">
        <v>4395</v>
      </c>
      <c r="M93" s="17" t="s">
        <v>4402</v>
      </c>
      <c r="N93" s="18" t="s">
        <v>4403</v>
      </c>
      <c r="O93" s="16" t="s">
        <v>113</v>
      </c>
      <c r="P93" s="18"/>
    </row>
    <row r="94" spans="1:16" ht="16.5" customHeight="1">
      <c r="A94" s="10">
        <v>93</v>
      </c>
      <c r="B94" s="10">
        <v>20</v>
      </c>
      <c r="C94" s="10">
        <v>24</v>
      </c>
      <c r="D94" s="11" t="s">
        <v>4395</v>
      </c>
      <c r="E94" s="19" t="s">
        <v>4400</v>
      </c>
      <c r="F94" s="11" t="s">
        <v>4404</v>
      </c>
      <c r="G94" s="10" t="s">
        <v>133</v>
      </c>
      <c r="H94" s="13" t="s">
        <v>4405</v>
      </c>
      <c r="I94" s="16" t="s">
        <v>82</v>
      </c>
      <c r="J94" s="17"/>
      <c r="K94" s="17"/>
      <c r="L94" s="17"/>
      <c r="M94" s="17"/>
      <c r="N94" s="18"/>
      <c r="O94" s="16" t="s">
        <v>83</v>
      </c>
      <c r="P94" s="18"/>
    </row>
    <row r="95" spans="1:16" ht="16.5" customHeight="1">
      <c r="A95" s="10">
        <v>94</v>
      </c>
      <c r="B95" s="10">
        <v>20</v>
      </c>
      <c r="C95" s="10">
        <v>25</v>
      </c>
      <c r="D95" s="11" t="s">
        <v>4400</v>
      </c>
      <c r="E95" s="12" t="s">
        <v>4404</v>
      </c>
      <c r="F95" s="11" t="s">
        <v>4406</v>
      </c>
      <c r="G95" s="10"/>
      <c r="H95" s="13" t="s">
        <v>4407</v>
      </c>
      <c r="I95" s="16" t="s">
        <v>82</v>
      </c>
      <c r="J95" s="17"/>
      <c r="K95" s="17"/>
      <c r="L95" s="17"/>
      <c r="M95" s="17"/>
      <c r="N95" s="18"/>
      <c r="O95" s="16" t="s">
        <v>83</v>
      </c>
      <c r="P95" s="18"/>
    </row>
    <row r="96" spans="1:16" ht="16.5" customHeight="1">
      <c r="A96" s="10">
        <v>95</v>
      </c>
      <c r="B96" s="10">
        <v>20</v>
      </c>
      <c r="C96" s="10">
        <v>31</v>
      </c>
      <c r="D96" s="11" t="s">
        <v>4408</v>
      </c>
      <c r="E96" s="12" t="s">
        <v>4409</v>
      </c>
      <c r="F96" s="11"/>
      <c r="G96" s="10"/>
      <c r="H96" s="13" t="s">
        <v>4410</v>
      </c>
      <c r="I96" s="16" t="s">
        <v>82</v>
      </c>
      <c r="J96" s="17"/>
      <c r="K96" s="17"/>
      <c r="L96" s="17"/>
      <c r="M96" s="17"/>
      <c r="N96" s="18"/>
      <c r="O96" s="16" t="s">
        <v>83</v>
      </c>
      <c r="P96" s="18"/>
    </row>
    <row r="97" spans="1:16" ht="26.25" customHeight="1">
      <c r="A97" s="10">
        <v>96</v>
      </c>
      <c r="B97" s="10">
        <v>21</v>
      </c>
      <c r="C97" s="10">
        <v>1</v>
      </c>
      <c r="D97" s="11"/>
      <c r="E97" s="19" t="s">
        <v>4411</v>
      </c>
      <c r="F97" s="11" t="s">
        <v>4412</v>
      </c>
      <c r="G97" s="10" t="s">
        <v>774</v>
      </c>
      <c r="H97" s="13" t="s">
        <v>4413</v>
      </c>
      <c r="I97" s="16" t="s">
        <v>82</v>
      </c>
      <c r="J97" s="17"/>
      <c r="K97" s="17"/>
      <c r="L97" s="17"/>
      <c r="M97" s="17"/>
      <c r="N97" s="18"/>
      <c r="O97" s="16" t="s">
        <v>83</v>
      </c>
      <c r="P97" s="18"/>
    </row>
    <row r="98" spans="1:16" ht="16.5" customHeight="1">
      <c r="A98" s="10">
        <v>97</v>
      </c>
      <c r="B98" s="10">
        <v>21</v>
      </c>
      <c r="C98" s="10">
        <v>2</v>
      </c>
      <c r="D98" s="11" t="s">
        <v>4411</v>
      </c>
      <c r="E98" s="19" t="s">
        <v>4412</v>
      </c>
      <c r="F98" s="11" t="s">
        <v>4414</v>
      </c>
      <c r="G98" s="10" t="s">
        <v>633</v>
      </c>
      <c r="H98" s="13" t="s">
        <v>4415</v>
      </c>
      <c r="I98" s="16" t="s">
        <v>82</v>
      </c>
      <c r="J98" s="17"/>
      <c r="K98" s="17"/>
      <c r="L98" s="17"/>
      <c r="M98" s="17"/>
      <c r="N98" s="18"/>
      <c r="O98" s="16" t="s">
        <v>83</v>
      </c>
      <c r="P98" s="18"/>
    </row>
    <row r="99" spans="1:16" ht="16.5" customHeight="1">
      <c r="A99" s="10">
        <v>98</v>
      </c>
      <c r="B99" s="10">
        <v>21</v>
      </c>
      <c r="C99" s="10">
        <v>3</v>
      </c>
      <c r="D99" s="11" t="s">
        <v>4412</v>
      </c>
      <c r="E99" s="19" t="s">
        <v>4414</v>
      </c>
      <c r="F99" s="11" t="s">
        <v>4416</v>
      </c>
      <c r="G99" s="10" t="s">
        <v>633</v>
      </c>
      <c r="H99" s="13" t="s">
        <v>4417</v>
      </c>
      <c r="I99" s="16" t="s">
        <v>82</v>
      </c>
      <c r="J99" s="17"/>
      <c r="K99" s="17"/>
      <c r="L99" s="17"/>
      <c r="M99" s="17"/>
      <c r="N99" s="18"/>
      <c r="O99" s="16" t="s">
        <v>83</v>
      </c>
      <c r="P99" s="18"/>
    </row>
    <row r="100" spans="1:16" ht="16.5" customHeight="1">
      <c r="A100" s="10">
        <v>99</v>
      </c>
      <c r="B100" s="10">
        <v>21</v>
      </c>
      <c r="C100" s="10">
        <v>4</v>
      </c>
      <c r="D100" s="11" t="s">
        <v>4414</v>
      </c>
      <c r="E100" s="12" t="s">
        <v>4416</v>
      </c>
      <c r="F100" s="11" t="s">
        <v>4418</v>
      </c>
      <c r="G100" s="10"/>
      <c r="H100" s="13" t="s">
        <v>4419</v>
      </c>
      <c r="I100" s="16" t="s">
        <v>82</v>
      </c>
      <c r="J100" s="17"/>
      <c r="K100" s="17"/>
      <c r="L100" s="17"/>
      <c r="M100" s="17"/>
      <c r="N100" s="18"/>
      <c r="O100" s="16" t="s">
        <v>83</v>
      </c>
      <c r="P100" s="18"/>
    </row>
    <row r="101" spans="1:16" ht="16.5" customHeight="1">
      <c r="A101" s="10">
        <v>100</v>
      </c>
      <c r="B101" s="10">
        <v>21</v>
      </c>
      <c r="C101" s="10">
        <v>6</v>
      </c>
      <c r="D101" s="11" t="s">
        <v>4418</v>
      </c>
      <c r="E101" s="12" t="s">
        <v>4420</v>
      </c>
      <c r="F101" s="11" t="s">
        <v>4421</v>
      </c>
      <c r="G101" s="10"/>
      <c r="H101" s="13" t="s">
        <v>4422</v>
      </c>
      <c r="I101" s="16" t="s">
        <v>82</v>
      </c>
      <c r="J101" s="17"/>
      <c r="K101" s="17"/>
      <c r="L101" s="17"/>
      <c r="M101" s="17"/>
      <c r="N101" s="18"/>
      <c r="O101" s="16" t="s">
        <v>83</v>
      </c>
      <c r="P101" s="18"/>
    </row>
    <row r="102" spans="1:16" ht="26.25" customHeight="1">
      <c r="A102" s="10">
        <v>101</v>
      </c>
      <c r="B102" s="10">
        <v>21</v>
      </c>
      <c r="C102" s="10">
        <v>7</v>
      </c>
      <c r="D102" s="11" t="s">
        <v>4420</v>
      </c>
      <c r="E102" s="19" t="s">
        <v>4421</v>
      </c>
      <c r="F102" s="11" t="s">
        <v>4423</v>
      </c>
      <c r="G102" s="10" t="s">
        <v>633</v>
      </c>
      <c r="H102" s="13" t="s">
        <v>4424</v>
      </c>
      <c r="I102" s="16" t="s">
        <v>82</v>
      </c>
      <c r="J102" s="17"/>
      <c r="K102" s="17"/>
      <c r="L102" s="17"/>
      <c r="M102" s="17"/>
      <c r="N102" s="18"/>
      <c r="O102" s="16" t="s">
        <v>83</v>
      </c>
      <c r="P102" s="18"/>
    </row>
    <row r="103" spans="1:16" ht="26.25" customHeight="1">
      <c r="A103" s="10">
        <v>102</v>
      </c>
      <c r="B103" s="10">
        <v>21</v>
      </c>
      <c r="C103" s="10">
        <v>8</v>
      </c>
      <c r="D103" s="11" t="s">
        <v>4421</v>
      </c>
      <c r="E103" s="12" t="s">
        <v>4423</v>
      </c>
      <c r="F103" s="11" t="s">
        <v>4425</v>
      </c>
      <c r="G103" s="10"/>
      <c r="H103" s="13" t="s">
        <v>4426</v>
      </c>
      <c r="I103" s="16" t="s">
        <v>82</v>
      </c>
      <c r="J103" s="17"/>
      <c r="K103" s="17"/>
      <c r="L103" s="17"/>
      <c r="M103" s="17"/>
      <c r="N103" s="18"/>
      <c r="O103" s="16" t="s">
        <v>83</v>
      </c>
      <c r="P103" s="18"/>
    </row>
    <row r="104" spans="1:16" ht="16.5" customHeight="1">
      <c r="A104" s="10">
        <v>103</v>
      </c>
      <c r="B104" s="10">
        <v>21</v>
      </c>
      <c r="C104" s="10">
        <v>12</v>
      </c>
      <c r="D104" s="11" t="s">
        <v>4427</v>
      </c>
      <c r="E104" s="12" t="s">
        <v>4428</v>
      </c>
      <c r="F104" s="11" t="s">
        <v>4429</v>
      </c>
      <c r="G104" s="10"/>
      <c r="H104" s="13" t="s">
        <v>4430</v>
      </c>
      <c r="I104" s="16" t="s">
        <v>82</v>
      </c>
      <c r="J104" s="17"/>
      <c r="K104" s="17"/>
      <c r="L104" s="17"/>
      <c r="M104" s="17"/>
      <c r="N104" s="18"/>
      <c r="O104" s="16" t="s">
        <v>83</v>
      </c>
      <c r="P104" s="18"/>
    </row>
    <row r="105" spans="1:16" ht="16.5" customHeight="1">
      <c r="A105" s="10">
        <v>104</v>
      </c>
      <c r="B105" s="10">
        <v>21</v>
      </c>
      <c r="C105" s="10">
        <v>13</v>
      </c>
      <c r="D105" s="11" t="s">
        <v>4428</v>
      </c>
      <c r="E105" s="19" t="s">
        <v>4429</v>
      </c>
      <c r="F105" s="11" t="s">
        <v>4431</v>
      </c>
      <c r="G105" s="10" t="s">
        <v>633</v>
      </c>
      <c r="H105" s="13" t="s">
        <v>4432</v>
      </c>
      <c r="I105" s="16" t="s">
        <v>82</v>
      </c>
      <c r="J105" s="17"/>
      <c r="K105" s="17"/>
      <c r="L105" s="17"/>
      <c r="M105" s="17"/>
      <c r="N105" s="18"/>
      <c r="O105" s="16" t="s">
        <v>83</v>
      </c>
      <c r="P105" s="18"/>
    </row>
    <row r="106" spans="1:16" ht="16.5" customHeight="1">
      <c r="A106" s="10">
        <v>105</v>
      </c>
      <c r="B106" s="10">
        <v>21</v>
      </c>
      <c r="C106" s="10">
        <v>14</v>
      </c>
      <c r="D106" s="11" t="s">
        <v>4429</v>
      </c>
      <c r="E106" s="12" t="s">
        <v>4431</v>
      </c>
      <c r="F106" s="11" t="s">
        <v>4433</v>
      </c>
      <c r="G106" s="10"/>
      <c r="H106" s="13" t="s">
        <v>4434</v>
      </c>
      <c r="I106" s="16" t="s">
        <v>82</v>
      </c>
      <c r="J106" s="17"/>
      <c r="K106" s="17"/>
      <c r="L106" s="17"/>
      <c r="M106" s="17"/>
      <c r="N106" s="18"/>
      <c r="O106" s="16" t="s">
        <v>83</v>
      </c>
      <c r="P106" s="18"/>
    </row>
    <row r="107" spans="1:16" ht="16.5" customHeight="1">
      <c r="A107" s="10">
        <v>106</v>
      </c>
      <c r="B107" s="10">
        <v>21</v>
      </c>
      <c r="C107" s="10">
        <v>15</v>
      </c>
      <c r="D107" s="11" t="s">
        <v>4431</v>
      </c>
      <c r="E107" s="19" t="s">
        <v>4433</v>
      </c>
      <c r="F107" s="11"/>
      <c r="G107" s="10" t="s">
        <v>320</v>
      </c>
      <c r="H107" s="13" t="s">
        <v>4435</v>
      </c>
      <c r="I107" s="16" t="s">
        <v>82</v>
      </c>
      <c r="J107" s="17"/>
      <c r="K107" s="17"/>
      <c r="L107" s="17"/>
      <c r="M107" s="17"/>
      <c r="N107" s="18"/>
      <c r="O107" s="16" t="s">
        <v>83</v>
      </c>
      <c r="P107" s="18"/>
    </row>
    <row r="108" spans="1:16" ht="16.5" customHeight="1">
      <c r="A108" s="10">
        <v>107</v>
      </c>
      <c r="B108" s="10">
        <v>23</v>
      </c>
      <c r="C108" s="10">
        <v>1</v>
      </c>
      <c r="D108" s="11"/>
      <c r="E108" s="12" t="s">
        <v>4436</v>
      </c>
      <c r="F108" s="11" t="s">
        <v>4437</v>
      </c>
      <c r="G108" s="10"/>
      <c r="H108" s="13" t="s">
        <v>4438</v>
      </c>
      <c r="I108" s="16" t="s">
        <v>82</v>
      </c>
      <c r="J108" s="17"/>
      <c r="K108" s="17"/>
      <c r="L108" s="17"/>
      <c r="M108" s="17"/>
      <c r="N108" s="18"/>
      <c r="O108" s="16" t="s">
        <v>83</v>
      </c>
      <c r="P108" s="18"/>
    </row>
    <row r="109" spans="1:16" ht="16.5" customHeight="1">
      <c r="A109" s="10">
        <v>108</v>
      </c>
      <c r="B109" s="10">
        <v>26</v>
      </c>
      <c r="C109" s="10">
        <v>29</v>
      </c>
      <c r="D109" s="11" t="s">
        <v>4439</v>
      </c>
      <c r="E109" s="12" t="s">
        <v>4440</v>
      </c>
      <c r="F109" s="11" t="s">
        <v>4441</v>
      </c>
      <c r="G109" s="10"/>
      <c r="H109" s="13"/>
      <c r="I109" s="16" t="s">
        <v>82</v>
      </c>
      <c r="J109" s="17"/>
      <c r="K109" s="17"/>
      <c r="L109" s="17"/>
      <c r="M109" s="17"/>
      <c r="N109" s="18"/>
      <c r="O109" s="16" t="s">
        <v>83</v>
      </c>
      <c r="P109" s="18"/>
    </row>
    <row r="110" spans="1:16" ht="16.5" customHeight="1">
      <c r="A110" s="10">
        <v>109</v>
      </c>
      <c r="B110" s="10">
        <v>26</v>
      </c>
      <c r="C110" s="10">
        <v>30</v>
      </c>
      <c r="D110" s="11" t="s">
        <v>4440</v>
      </c>
      <c r="E110" s="19" t="s">
        <v>4441</v>
      </c>
      <c r="F110" s="11" t="s">
        <v>4442</v>
      </c>
      <c r="G110" s="10" t="s">
        <v>1957</v>
      </c>
      <c r="H110" s="13" t="s">
        <v>4443</v>
      </c>
      <c r="I110" s="16" t="s">
        <v>89</v>
      </c>
      <c r="J110" s="17" t="s">
        <v>155</v>
      </c>
      <c r="K110" s="17" t="s">
        <v>1961</v>
      </c>
      <c r="L110" s="17" t="s">
        <v>4441</v>
      </c>
      <c r="M110" s="17" t="s">
        <v>4444</v>
      </c>
      <c r="N110" s="18" t="s">
        <v>4445</v>
      </c>
      <c r="O110" s="16" t="s">
        <v>83</v>
      </c>
      <c r="P110" s="18"/>
    </row>
    <row r="111" spans="1:16" ht="16.5" customHeight="1">
      <c r="A111" s="10">
        <v>110</v>
      </c>
      <c r="B111" s="10">
        <v>26</v>
      </c>
      <c r="C111" s="10">
        <v>31</v>
      </c>
      <c r="D111" s="11" t="s">
        <v>4441</v>
      </c>
      <c r="E111" s="12" t="s">
        <v>4442</v>
      </c>
      <c r="F111" s="11" t="s">
        <v>4446</v>
      </c>
      <c r="G111" s="10"/>
      <c r="H111" s="13" t="s">
        <v>4447</v>
      </c>
      <c r="I111" s="16" t="s">
        <v>82</v>
      </c>
      <c r="J111" s="17"/>
      <c r="K111" s="17"/>
      <c r="L111" s="17"/>
      <c r="M111" s="17"/>
      <c r="N111" s="18"/>
      <c r="O111" s="16" t="s">
        <v>83</v>
      </c>
      <c r="P111" s="18"/>
    </row>
    <row r="112" spans="1:16" ht="16.5" customHeight="1">
      <c r="A112" s="10">
        <v>111</v>
      </c>
      <c r="B112" s="10">
        <v>26</v>
      </c>
      <c r="C112" s="10">
        <v>86</v>
      </c>
      <c r="D112" s="11" t="s">
        <v>4448</v>
      </c>
      <c r="E112" s="12" t="s">
        <v>4449</v>
      </c>
      <c r="F112" s="11" t="s">
        <v>4450</v>
      </c>
      <c r="G112" s="10"/>
      <c r="H112" s="13" t="s">
        <v>4451</v>
      </c>
      <c r="I112" s="16" t="s">
        <v>82</v>
      </c>
      <c r="J112" s="17"/>
      <c r="K112" s="17"/>
      <c r="L112" s="17"/>
      <c r="M112" s="17"/>
      <c r="N112" s="18"/>
      <c r="O112" s="16" t="s">
        <v>83</v>
      </c>
      <c r="P112" s="18"/>
    </row>
    <row r="113" spans="1:16" ht="16.5" customHeight="1">
      <c r="A113" s="10">
        <v>112</v>
      </c>
      <c r="B113" s="10">
        <v>26</v>
      </c>
      <c r="C113" s="10">
        <v>87</v>
      </c>
      <c r="D113" s="11" t="s">
        <v>4449</v>
      </c>
      <c r="E113" s="19" t="s">
        <v>4450</v>
      </c>
      <c r="F113" s="11" t="s">
        <v>4452</v>
      </c>
      <c r="G113" s="10" t="s">
        <v>106</v>
      </c>
      <c r="H113" s="13" t="s">
        <v>4453</v>
      </c>
      <c r="I113" s="16" t="s">
        <v>82</v>
      </c>
      <c r="J113" s="17"/>
      <c r="K113" s="17"/>
      <c r="L113" s="17"/>
      <c r="M113" s="17"/>
      <c r="N113" s="18"/>
      <c r="O113" s="16" t="s">
        <v>83</v>
      </c>
      <c r="P113" s="18"/>
    </row>
    <row r="114" spans="1:16" ht="16.5" customHeight="1">
      <c r="A114" s="10">
        <v>113</v>
      </c>
      <c r="B114" s="10">
        <v>26</v>
      </c>
      <c r="C114" s="10">
        <v>88</v>
      </c>
      <c r="D114" s="11" t="s">
        <v>4450</v>
      </c>
      <c r="E114" s="12" t="s">
        <v>4452</v>
      </c>
      <c r="F114" s="11" t="s">
        <v>4454</v>
      </c>
      <c r="G114" s="10"/>
      <c r="H114" s="13" t="s">
        <v>4455</v>
      </c>
      <c r="I114" s="16" t="s">
        <v>82</v>
      </c>
      <c r="J114" s="17"/>
      <c r="K114" s="17"/>
      <c r="L114" s="17"/>
      <c r="M114" s="17"/>
      <c r="N114" s="18"/>
      <c r="O114" s="16" t="s">
        <v>83</v>
      </c>
      <c r="P114" s="18"/>
    </row>
    <row r="115" spans="1:16" ht="16.5" customHeight="1">
      <c r="A115" s="10">
        <v>114</v>
      </c>
      <c r="B115" s="10">
        <v>26</v>
      </c>
      <c r="C115" s="10">
        <v>102</v>
      </c>
      <c r="D115" s="11" t="s">
        <v>4456</v>
      </c>
      <c r="E115" s="12" t="s">
        <v>4457</v>
      </c>
      <c r="F115" s="11" t="s">
        <v>4458</v>
      </c>
      <c r="G115" s="10"/>
      <c r="H115" s="13" t="s">
        <v>4459</v>
      </c>
      <c r="I115" s="16" t="s">
        <v>82</v>
      </c>
      <c r="J115" s="17"/>
      <c r="K115" s="17"/>
      <c r="L115" s="17"/>
      <c r="M115" s="17"/>
      <c r="N115" s="18"/>
      <c r="O115" s="16" t="s">
        <v>83</v>
      </c>
      <c r="P115" s="18"/>
    </row>
    <row r="116" spans="1:16" ht="16.5" customHeight="1">
      <c r="A116" s="10">
        <v>115</v>
      </c>
      <c r="B116" s="10">
        <v>26</v>
      </c>
      <c r="C116" s="10">
        <v>103</v>
      </c>
      <c r="D116" s="11" t="s">
        <v>4457</v>
      </c>
      <c r="E116" s="19" t="s">
        <v>4458</v>
      </c>
      <c r="F116" s="11" t="s">
        <v>4460</v>
      </c>
      <c r="G116" s="10" t="s">
        <v>320</v>
      </c>
      <c r="H116" s="13" t="s">
        <v>4461</v>
      </c>
      <c r="I116" s="16" t="s">
        <v>89</v>
      </c>
      <c r="J116" s="17" t="s">
        <v>155</v>
      </c>
      <c r="K116" s="17" t="s">
        <v>91</v>
      </c>
      <c r="L116" s="17" t="s">
        <v>4458</v>
      </c>
      <c r="M116" s="17" t="s">
        <v>4462</v>
      </c>
      <c r="N116" s="18" t="s">
        <v>4463</v>
      </c>
      <c r="O116" s="16" t="s">
        <v>113</v>
      </c>
      <c r="P116" s="18"/>
    </row>
    <row r="117" spans="1:16" ht="16.5" customHeight="1">
      <c r="A117" s="10">
        <v>116</v>
      </c>
      <c r="B117" s="10">
        <v>26</v>
      </c>
      <c r="C117" s="10">
        <v>104</v>
      </c>
      <c r="D117" s="11" t="s">
        <v>4458</v>
      </c>
      <c r="E117" s="12" t="s">
        <v>4460</v>
      </c>
      <c r="F117" s="11" t="s">
        <v>4464</v>
      </c>
      <c r="G117" s="10"/>
      <c r="H117" s="13" t="s">
        <v>4465</v>
      </c>
      <c r="I117" s="16" t="s">
        <v>89</v>
      </c>
      <c r="J117" s="17" t="s">
        <v>368</v>
      </c>
      <c r="K117" s="17" t="s">
        <v>1961</v>
      </c>
      <c r="L117" s="17" t="s">
        <v>4466</v>
      </c>
      <c r="M117" s="17" t="s">
        <v>4467</v>
      </c>
      <c r="N117" s="18" t="s">
        <v>4468</v>
      </c>
      <c r="O117" s="16" t="s">
        <v>113</v>
      </c>
      <c r="P117" s="18"/>
    </row>
    <row r="118" spans="1:16" ht="16.5" customHeight="1">
      <c r="A118" s="10">
        <v>117</v>
      </c>
      <c r="B118" s="10">
        <v>26</v>
      </c>
      <c r="C118" s="10">
        <v>112</v>
      </c>
      <c r="D118" s="11" t="s">
        <v>4469</v>
      </c>
      <c r="E118" s="12" t="s">
        <v>4470</v>
      </c>
      <c r="F118" s="11" t="s">
        <v>4471</v>
      </c>
      <c r="G118" s="10"/>
      <c r="H118" s="13" t="s">
        <v>4472</v>
      </c>
      <c r="I118" s="16" t="s">
        <v>82</v>
      </c>
      <c r="J118" s="17"/>
      <c r="K118" s="17"/>
      <c r="L118" s="17"/>
      <c r="M118" s="17"/>
      <c r="N118" s="18"/>
      <c r="O118" s="16" t="s">
        <v>83</v>
      </c>
      <c r="P118" s="18"/>
    </row>
    <row r="119" spans="1:16" ht="16.5" customHeight="1">
      <c r="A119" s="10">
        <v>118</v>
      </c>
      <c r="B119" s="10">
        <v>26</v>
      </c>
      <c r="C119" s="10">
        <v>113</v>
      </c>
      <c r="D119" s="11" t="s">
        <v>4470</v>
      </c>
      <c r="E119" s="19" t="s">
        <v>4471</v>
      </c>
      <c r="F119" s="11" t="s">
        <v>4473</v>
      </c>
      <c r="G119" s="10" t="s">
        <v>633</v>
      </c>
      <c r="H119" s="13" t="s">
        <v>4474</v>
      </c>
      <c r="I119" s="16" t="s">
        <v>82</v>
      </c>
      <c r="J119" s="17"/>
      <c r="K119" s="17"/>
      <c r="L119" s="17"/>
      <c r="M119" s="17"/>
      <c r="N119" s="18"/>
      <c r="O119" s="16" t="s">
        <v>83</v>
      </c>
      <c r="P119" s="18"/>
    </row>
    <row r="120" spans="1:16" ht="16.5" customHeight="1">
      <c r="A120" s="10">
        <v>119</v>
      </c>
      <c r="B120" s="10">
        <v>26</v>
      </c>
      <c r="C120" s="10">
        <v>114</v>
      </c>
      <c r="D120" s="11" t="s">
        <v>4471</v>
      </c>
      <c r="E120" s="12" t="s">
        <v>4473</v>
      </c>
      <c r="F120" s="11" t="s">
        <v>4475</v>
      </c>
      <c r="G120" s="10"/>
      <c r="H120" s="13" t="s">
        <v>4476</v>
      </c>
      <c r="I120" s="16" t="s">
        <v>82</v>
      </c>
      <c r="J120" s="17"/>
      <c r="K120" s="17"/>
      <c r="L120" s="17"/>
      <c r="M120" s="17"/>
      <c r="N120" s="18"/>
      <c r="O120" s="16" t="s">
        <v>83</v>
      </c>
      <c r="P120" s="18"/>
    </row>
    <row r="121" spans="1:16" ht="26.25" customHeight="1">
      <c r="A121" s="10">
        <v>120</v>
      </c>
      <c r="B121" s="10">
        <v>26</v>
      </c>
      <c r="C121" s="10">
        <v>128</v>
      </c>
      <c r="D121" s="11" t="s">
        <v>4477</v>
      </c>
      <c r="E121" s="12" t="s">
        <v>4478</v>
      </c>
      <c r="F121" s="11" t="s">
        <v>4479</v>
      </c>
      <c r="G121" s="10"/>
      <c r="H121" s="13" t="s">
        <v>4480</v>
      </c>
      <c r="I121" s="16" t="s">
        <v>82</v>
      </c>
      <c r="J121" s="17"/>
      <c r="K121" s="17"/>
      <c r="L121" s="17"/>
      <c r="M121" s="17"/>
      <c r="N121" s="18"/>
      <c r="O121" s="16" t="s">
        <v>83</v>
      </c>
      <c r="P121" s="18"/>
    </row>
    <row r="122" spans="1:16" ht="16.5" customHeight="1">
      <c r="A122" s="10">
        <v>121</v>
      </c>
      <c r="B122" s="10">
        <v>26</v>
      </c>
      <c r="C122" s="10">
        <v>129</v>
      </c>
      <c r="D122" s="11" t="s">
        <v>4478</v>
      </c>
      <c r="E122" s="19" t="s">
        <v>4479</v>
      </c>
      <c r="F122" s="11" t="s">
        <v>4481</v>
      </c>
      <c r="G122" s="10" t="s">
        <v>3253</v>
      </c>
      <c r="H122" s="13" t="s">
        <v>3439</v>
      </c>
      <c r="I122" s="16" t="s">
        <v>82</v>
      </c>
      <c r="J122" s="17"/>
      <c r="K122" s="17"/>
      <c r="L122" s="17"/>
      <c r="M122" s="17"/>
      <c r="N122" s="18"/>
      <c r="O122" s="16" t="s">
        <v>83</v>
      </c>
      <c r="P122" s="18"/>
    </row>
    <row r="123" spans="1:16" ht="16.5" customHeight="1">
      <c r="A123" s="10">
        <v>122</v>
      </c>
      <c r="B123" s="10">
        <v>26</v>
      </c>
      <c r="C123" s="10">
        <v>130</v>
      </c>
      <c r="D123" s="11" t="s">
        <v>4479</v>
      </c>
      <c r="E123" s="12" t="s">
        <v>4481</v>
      </c>
      <c r="F123" s="11" t="s">
        <v>4482</v>
      </c>
      <c r="G123" s="10"/>
      <c r="H123" s="13" t="s">
        <v>1985</v>
      </c>
      <c r="I123" s="16" t="s">
        <v>82</v>
      </c>
      <c r="J123" s="17"/>
      <c r="K123" s="17"/>
      <c r="L123" s="17"/>
      <c r="M123" s="17"/>
      <c r="N123" s="18"/>
      <c r="O123" s="16" t="s">
        <v>83</v>
      </c>
      <c r="P123" s="18"/>
    </row>
    <row r="124" spans="1:16" ht="16.5" customHeight="1">
      <c r="A124" s="10">
        <v>123</v>
      </c>
      <c r="B124" s="10">
        <v>26</v>
      </c>
      <c r="C124" s="10">
        <v>152</v>
      </c>
      <c r="D124" s="11" t="s">
        <v>4483</v>
      </c>
      <c r="E124" s="12" t="s">
        <v>4484</v>
      </c>
      <c r="F124" s="11" t="s">
        <v>4485</v>
      </c>
      <c r="G124" s="10"/>
      <c r="H124" s="13"/>
      <c r="I124" s="16" t="s">
        <v>82</v>
      </c>
      <c r="J124" s="17"/>
      <c r="K124" s="17"/>
      <c r="L124" s="17"/>
      <c r="M124" s="17"/>
      <c r="N124" s="18"/>
      <c r="O124" s="16" t="s">
        <v>83</v>
      </c>
      <c r="P124" s="18"/>
    </row>
    <row r="125" spans="1:16" ht="16.5" customHeight="1">
      <c r="A125" s="10">
        <v>124</v>
      </c>
      <c r="B125" s="10">
        <v>26</v>
      </c>
      <c r="C125" s="10">
        <v>153</v>
      </c>
      <c r="D125" s="11" t="s">
        <v>4484</v>
      </c>
      <c r="E125" s="19" t="s">
        <v>4485</v>
      </c>
      <c r="F125" s="11" t="s">
        <v>4486</v>
      </c>
      <c r="G125" s="10" t="s">
        <v>540</v>
      </c>
      <c r="H125" s="13" t="s">
        <v>3477</v>
      </c>
      <c r="I125" s="16" t="s">
        <v>82</v>
      </c>
      <c r="J125" s="17"/>
      <c r="K125" s="17"/>
      <c r="L125" s="17"/>
      <c r="M125" s="17"/>
      <c r="N125" s="18"/>
      <c r="O125" s="16" t="s">
        <v>83</v>
      </c>
      <c r="P125" s="18"/>
    </row>
    <row r="126" spans="1:16" ht="16.5" customHeight="1">
      <c r="A126" s="10">
        <v>125</v>
      </c>
      <c r="B126" s="10">
        <v>26</v>
      </c>
      <c r="C126" s="10">
        <v>154</v>
      </c>
      <c r="D126" s="11" t="s">
        <v>4485</v>
      </c>
      <c r="E126" s="12" t="s">
        <v>4486</v>
      </c>
      <c r="F126" s="11" t="s">
        <v>4487</v>
      </c>
      <c r="G126" s="10"/>
      <c r="H126" s="13"/>
      <c r="I126" s="16" t="s">
        <v>82</v>
      </c>
      <c r="J126" s="17"/>
      <c r="K126" s="17"/>
      <c r="L126" s="17"/>
      <c r="M126" s="17"/>
      <c r="N126" s="18"/>
      <c r="O126" s="16" t="s">
        <v>83</v>
      </c>
      <c r="P126" s="18"/>
    </row>
    <row r="127" spans="1:16" ht="16.5" customHeight="1">
      <c r="A127" s="10">
        <v>126</v>
      </c>
      <c r="B127" s="10">
        <v>27</v>
      </c>
      <c r="C127" s="10">
        <v>67</v>
      </c>
      <c r="D127" s="11" t="s">
        <v>4488</v>
      </c>
      <c r="E127" s="12" t="s">
        <v>4489</v>
      </c>
      <c r="F127" s="11" t="s">
        <v>4490</v>
      </c>
      <c r="G127" s="10"/>
      <c r="H127" s="13" t="s">
        <v>4491</v>
      </c>
      <c r="I127" s="16" t="s">
        <v>82</v>
      </c>
      <c r="J127" s="17"/>
      <c r="K127" s="17"/>
      <c r="L127" s="17"/>
      <c r="M127" s="17"/>
      <c r="N127" s="18"/>
      <c r="O127" s="16" t="s">
        <v>83</v>
      </c>
      <c r="P127" s="18"/>
    </row>
    <row r="128" spans="1:16" ht="16.5" customHeight="1">
      <c r="A128" s="10">
        <v>127</v>
      </c>
      <c r="B128" s="10">
        <v>27</v>
      </c>
      <c r="C128" s="10">
        <v>68</v>
      </c>
      <c r="D128" s="11" t="s">
        <v>4489</v>
      </c>
      <c r="E128" s="19" t="s">
        <v>4490</v>
      </c>
      <c r="F128" s="11" t="s">
        <v>4492</v>
      </c>
      <c r="G128" s="10" t="s">
        <v>575</v>
      </c>
      <c r="H128" s="13" t="s">
        <v>4493</v>
      </c>
      <c r="I128" s="16" t="s">
        <v>82</v>
      </c>
      <c r="J128" s="17"/>
      <c r="K128" s="17"/>
      <c r="L128" s="17"/>
      <c r="M128" s="17"/>
      <c r="N128" s="18"/>
      <c r="O128" s="16" t="s">
        <v>83</v>
      </c>
      <c r="P128" s="18"/>
    </row>
    <row r="129" spans="1:16" ht="16.5" customHeight="1">
      <c r="A129" s="10">
        <v>128</v>
      </c>
      <c r="B129" s="10">
        <v>27</v>
      </c>
      <c r="C129" s="10">
        <v>69</v>
      </c>
      <c r="D129" s="11" t="s">
        <v>4490</v>
      </c>
      <c r="E129" s="19" t="s">
        <v>4492</v>
      </c>
      <c r="F129" s="11" t="s">
        <v>4494</v>
      </c>
      <c r="G129" s="10" t="s">
        <v>575</v>
      </c>
      <c r="H129" s="13" t="s">
        <v>4495</v>
      </c>
      <c r="I129" s="16" t="s">
        <v>82</v>
      </c>
      <c r="J129" s="17"/>
      <c r="K129" s="17"/>
      <c r="L129" s="17"/>
      <c r="M129" s="17"/>
      <c r="N129" s="18"/>
      <c r="O129" s="16" t="s">
        <v>83</v>
      </c>
      <c r="P129" s="18"/>
    </row>
    <row r="130" spans="1:16" ht="16.5" customHeight="1">
      <c r="A130" s="10">
        <v>129</v>
      </c>
      <c r="B130" s="10">
        <v>27</v>
      </c>
      <c r="C130" s="10">
        <v>70</v>
      </c>
      <c r="D130" s="11" t="s">
        <v>4492</v>
      </c>
      <c r="E130" s="12" t="s">
        <v>4494</v>
      </c>
      <c r="F130" s="11" t="s">
        <v>4496</v>
      </c>
      <c r="G130" s="10"/>
      <c r="H130" s="13" t="s">
        <v>4497</v>
      </c>
      <c r="I130" s="16" t="s">
        <v>82</v>
      </c>
      <c r="J130" s="17"/>
      <c r="K130" s="17"/>
      <c r="L130" s="17"/>
      <c r="M130" s="17"/>
      <c r="N130" s="18"/>
      <c r="O130" s="16" t="s">
        <v>83</v>
      </c>
      <c r="P130" s="18"/>
    </row>
    <row r="131" spans="1:16" ht="16.5" customHeight="1">
      <c r="A131" s="10">
        <v>130</v>
      </c>
      <c r="B131" s="10">
        <v>27</v>
      </c>
      <c r="C131" s="10">
        <v>72</v>
      </c>
      <c r="D131" s="11" t="s">
        <v>4496</v>
      </c>
      <c r="E131" s="12" t="s">
        <v>4498</v>
      </c>
      <c r="F131" s="11" t="s">
        <v>4499</v>
      </c>
      <c r="G131" s="10"/>
      <c r="H131" s="13" t="s">
        <v>4500</v>
      </c>
      <c r="I131" s="16" t="s">
        <v>82</v>
      </c>
      <c r="J131" s="17"/>
      <c r="K131" s="17"/>
      <c r="L131" s="17"/>
      <c r="M131" s="17"/>
      <c r="N131" s="18"/>
      <c r="O131" s="16" t="s">
        <v>83</v>
      </c>
      <c r="P131" s="18"/>
    </row>
    <row r="132" spans="1:16" ht="16.5" customHeight="1">
      <c r="A132" s="10">
        <v>131</v>
      </c>
      <c r="B132" s="10">
        <v>27</v>
      </c>
      <c r="C132" s="10">
        <v>73</v>
      </c>
      <c r="D132" s="11" t="s">
        <v>4498</v>
      </c>
      <c r="E132" s="19" t="s">
        <v>4499</v>
      </c>
      <c r="F132" s="11" t="s">
        <v>4501</v>
      </c>
      <c r="G132" s="10" t="s">
        <v>575</v>
      </c>
      <c r="H132" s="13" t="s">
        <v>4502</v>
      </c>
      <c r="I132" s="16" t="s">
        <v>82</v>
      </c>
      <c r="J132" s="17"/>
      <c r="K132" s="17"/>
      <c r="L132" s="17"/>
      <c r="M132" s="17"/>
      <c r="N132" s="18"/>
      <c r="O132" s="16" t="s">
        <v>83</v>
      </c>
      <c r="P132" s="18"/>
    </row>
    <row r="133" spans="1:16" ht="16.5" customHeight="1">
      <c r="A133" s="10">
        <v>132</v>
      </c>
      <c r="B133" s="10">
        <v>27</v>
      </c>
      <c r="C133" s="10">
        <v>74</v>
      </c>
      <c r="D133" s="11" t="s">
        <v>4499</v>
      </c>
      <c r="E133" s="12" t="s">
        <v>4501</v>
      </c>
      <c r="F133" s="11" t="s">
        <v>4503</v>
      </c>
      <c r="G133" s="10"/>
      <c r="H133" s="13" t="s">
        <v>4504</v>
      </c>
      <c r="I133" s="16" t="s">
        <v>82</v>
      </c>
      <c r="J133" s="17"/>
      <c r="K133" s="17"/>
      <c r="L133" s="17"/>
      <c r="M133" s="17"/>
      <c r="N133" s="18"/>
      <c r="O133" s="16" t="s">
        <v>83</v>
      </c>
      <c r="P133" s="18"/>
    </row>
    <row r="134" spans="1:16" ht="16.5" customHeight="1">
      <c r="A134" s="10">
        <v>133</v>
      </c>
      <c r="B134" s="10">
        <v>27</v>
      </c>
      <c r="C134" s="10">
        <v>79</v>
      </c>
      <c r="D134" s="11" t="s">
        <v>4505</v>
      </c>
      <c r="E134" s="12" t="s">
        <v>4506</v>
      </c>
      <c r="F134" s="11" t="s">
        <v>4507</v>
      </c>
      <c r="G134" s="10"/>
      <c r="H134" s="13" t="s">
        <v>4508</v>
      </c>
      <c r="I134" s="16" t="s">
        <v>82</v>
      </c>
      <c r="J134" s="17"/>
      <c r="K134" s="17"/>
      <c r="L134" s="17"/>
      <c r="M134" s="17"/>
      <c r="N134" s="18"/>
      <c r="O134" s="16" t="s">
        <v>83</v>
      </c>
      <c r="P134" s="18"/>
    </row>
    <row r="135" spans="1:16" ht="16.5" customHeight="1">
      <c r="A135" s="10">
        <v>134</v>
      </c>
      <c r="B135" s="10">
        <v>27</v>
      </c>
      <c r="C135" s="10">
        <v>80</v>
      </c>
      <c r="D135" s="11" t="s">
        <v>4506</v>
      </c>
      <c r="E135" s="19" t="s">
        <v>4507</v>
      </c>
      <c r="F135" s="11" t="s">
        <v>4509</v>
      </c>
      <c r="G135" s="10" t="s">
        <v>1957</v>
      </c>
      <c r="H135" s="13" t="s">
        <v>4510</v>
      </c>
      <c r="I135" s="16" t="s">
        <v>82</v>
      </c>
      <c r="J135" s="17"/>
      <c r="K135" s="17"/>
      <c r="L135" s="17"/>
      <c r="M135" s="17"/>
      <c r="N135" s="18"/>
      <c r="O135" s="16" t="s">
        <v>83</v>
      </c>
      <c r="P135" s="18"/>
    </row>
    <row r="136" spans="1:16" ht="26.25" customHeight="1">
      <c r="A136" s="10">
        <v>135</v>
      </c>
      <c r="B136" s="10">
        <v>27</v>
      </c>
      <c r="C136" s="10">
        <v>81</v>
      </c>
      <c r="D136" s="11" t="s">
        <v>4507</v>
      </c>
      <c r="E136" s="12" t="s">
        <v>4509</v>
      </c>
      <c r="F136" s="11" t="s">
        <v>4511</v>
      </c>
      <c r="G136" s="10"/>
      <c r="H136" s="13" t="s">
        <v>4512</v>
      </c>
      <c r="I136" s="16" t="s">
        <v>82</v>
      </c>
      <c r="J136" s="17"/>
      <c r="K136" s="17"/>
      <c r="L136" s="17"/>
      <c r="M136" s="17"/>
      <c r="N136" s="18"/>
      <c r="O136" s="16" t="s">
        <v>83</v>
      </c>
      <c r="P136" s="18"/>
    </row>
    <row r="137" spans="1:16" ht="16.5" customHeight="1">
      <c r="A137" s="10">
        <v>136</v>
      </c>
      <c r="B137" s="10">
        <v>27</v>
      </c>
      <c r="C137" s="10">
        <v>82</v>
      </c>
      <c r="D137" s="11" t="s">
        <v>4509</v>
      </c>
      <c r="E137" s="12" t="s">
        <v>4511</v>
      </c>
      <c r="F137" s="11" t="s">
        <v>4513</v>
      </c>
      <c r="G137" s="10"/>
      <c r="H137" s="13" t="s">
        <v>4514</v>
      </c>
      <c r="I137" s="16" t="s">
        <v>82</v>
      </c>
      <c r="J137" s="17"/>
      <c r="K137" s="17"/>
      <c r="L137" s="17"/>
      <c r="M137" s="17"/>
      <c r="N137" s="18"/>
      <c r="O137" s="16" t="s">
        <v>83</v>
      </c>
      <c r="P137" s="18"/>
    </row>
    <row r="138" spans="1:16" ht="16.5" customHeight="1">
      <c r="A138" s="10">
        <v>137</v>
      </c>
      <c r="B138" s="10">
        <v>27</v>
      </c>
      <c r="C138" s="10">
        <v>83</v>
      </c>
      <c r="D138" s="11" t="s">
        <v>4511</v>
      </c>
      <c r="E138" s="19" t="s">
        <v>4513</v>
      </c>
      <c r="F138" s="11" t="s">
        <v>4515</v>
      </c>
      <c r="G138" s="10" t="s">
        <v>338</v>
      </c>
      <c r="H138" s="13" t="s">
        <v>4516</v>
      </c>
      <c r="I138" s="16" t="s">
        <v>82</v>
      </c>
      <c r="J138" s="17"/>
      <c r="K138" s="17"/>
      <c r="L138" s="17"/>
      <c r="M138" s="17"/>
      <c r="N138" s="18"/>
      <c r="O138" s="16" t="s">
        <v>83</v>
      </c>
      <c r="P138" s="18"/>
    </row>
    <row r="139" spans="1:16" ht="16.5" customHeight="1">
      <c r="A139" s="10">
        <v>138</v>
      </c>
      <c r="B139" s="10">
        <v>27</v>
      </c>
      <c r="C139" s="10">
        <v>84</v>
      </c>
      <c r="D139" s="11" t="s">
        <v>4513</v>
      </c>
      <c r="E139" s="19" t="s">
        <v>4515</v>
      </c>
      <c r="F139" s="11" t="s">
        <v>4517</v>
      </c>
      <c r="G139" s="10" t="s">
        <v>4518</v>
      </c>
      <c r="H139" s="13" t="s">
        <v>4519</v>
      </c>
      <c r="I139" s="16" t="s">
        <v>82</v>
      </c>
      <c r="J139" s="17"/>
      <c r="K139" s="17"/>
      <c r="L139" s="17"/>
      <c r="M139" s="17"/>
      <c r="N139" s="18"/>
      <c r="O139" s="16" t="s">
        <v>83</v>
      </c>
      <c r="P139" s="18"/>
    </row>
    <row r="140" spans="1:16" ht="16.5" customHeight="1">
      <c r="A140" s="10">
        <v>139</v>
      </c>
      <c r="B140" s="10">
        <v>27</v>
      </c>
      <c r="C140" s="10">
        <v>85</v>
      </c>
      <c r="D140" s="11" t="s">
        <v>4515</v>
      </c>
      <c r="E140" s="12" t="s">
        <v>4517</v>
      </c>
      <c r="F140" s="11" t="s">
        <v>4520</v>
      </c>
      <c r="G140" s="10"/>
      <c r="H140" s="13" t="s">
        <v>4521</v>
      </c>
      <c r="I140" s="16" t="s">
        <v>82</v>
      </c>
      <c r="J140" s="17"/>
      <c r="K140" s="17"/>
      <c r="L140" s="17"/>
      <c r="M140" s="17"/>
      <c r="N140" s="18"/>
      <c r="O140" s="16" t="s">
        <v>83</v>
      </c>
      <c r="P140" s="18"/>
    </row>
    <row r="141" spans="1:16" ht="16.5" customHeight="1">
      <c r="A141" s="10">
        <v>140</v>
      </c>
      <c r="B141" s="10">
        <v>27</v>
      </c>
      <c r="C141" s="10">
        <v>158</v>
      </c>
      <c r="D141" s="11" t="s">
        <v>4522</v>
      </c>
      <c r="E141" s="12" t="s">
        <v>4523</v>
      </c>
      <c r="F141" s="11" t="s">
        <v>4524</v>
      </c>
      <c r="G141" s="10"/>
      <c r="H141" s="13" t="s">
        <v>4525</v>
      </c>
      <c r="I141" s="16" t="s">
        <v>82</v>
      </c>
      <c r="J141" s="17"/>
      <c r="K141" s="17"/>
      <c r="L141" s="17"/>
      <c r="M141" s="17"/>
      <c r="N141" s="18"/>
      <c r="O141" s="16" t="s">
        <v>83</v>
      </c>
      <c r="P141" s="18"/>
    </row>
    <row r="142" spans="1:16" ht="26.25" customHeight="1">
      <c r="A142" s="10">
        <v>141</v>
      </c>
      <c r="B142" s="10">
        <v>27</v>
      </c>
      <c r="C142" s="10">
        <v>159</v>
      </c>
      <c r="D142" s="11" t="s">
        <v>4523</v>
      </c>
      <c r="E142" s="19" t="s">
        <v>4524</v>
      </c>
      <c r="F142" s="11" t="s">
        <v>4526</v>
      </c>
      <c r="G142" s="10" t="s">
        <v>1957</v>
      </c>
      <c r="H142" s="13" t="s">
        <v>4527</v>
      </c>
      <c r="I142" s="16" t="s">
        <v>89</v>
      </c>
      <c r="J142" s="17" t="s">
        <v>155</v>
      </c>
      <c r="K142" s="17" t="s">
        <v>91</v>
      </c>
      <c r="L142" s="17" t="s">
        <v>4528</v>
      </c>
      <c r="M142" s="17" t="s">
        <v>4529</v>
      </c>
      <c r="N142" s="18" t="s">
        <v>4530</v>
      </c>
      <c r="O142" s="16" t="s">
        <v>113</v>
      </c>
      <c r="P142" s="18" t="s">
        <v>4531</v>
      </c>
    </row>
    <row r="143" spans="1:16" ht="16.5" customHeight="1">
      <c r="A143" s="10">
        <v>142</v>
      </c>
      <c r="B143" s="10">
        <v>27</v>
      </c>
      <c r="C143" s="10">
        <v>160</v>
      </c>
      <c r="D143" s="11" t="s">
        <v>4524</v>
      </c>
      <c r="E143" s="12" t="s">
        <v>4526</v>
      </c>
      <c r="F143" s="11" t="s">
        <v>4532</v>
      </c>
      <c r="G143" s="10"/>
      <c r="H143" s="13" t="s">
        <v>4533</v>
      </c>
      <c r="I143" s="16" t="s">
        <v>82</v>
      </c>
      <c r="J143" s="17"/>
      <c r="K143" s="17"/>
      <c r="L143" s="17"/>
      <c r="M143" s="17"/>
      <c r="N143" s="18"/>
      <c r="O143" s="16" t="s">
        <v>83</v>
      </c>
      <c r="P143" s="18"/>
    </row>
    <row r="144" spans="1:16" ht="16.5" customHeight="1">
      <c r="A144" s="10">
        <v>143</v>
      </c>
      <c r="B144" s="10">
        <v>27</v>
      </c>
      <c r="C144" s="10">
        <v>253</v>
      </c>
      <c r="D144" s="11" t="s">
        <v>3893</v>
      </c>
      <c r="E144" s="12" t="s">
        <v>4534</v>
      </c>
      <c r="F144" s="11" t="s">
        <v>4535</v>
      </c>
      <c r="G144" s="10"/>
      <c r="H144" s="13" t="s">
        <v>4536</v>
      </c>
      <c r="I144" s="16" t="s">
        <v>82</v>
      </c>
      <c r="J144" s="17"/>
      <c r="K144" s="17"/>
      <c r="L144" s="17"/>
      <c r="M144" s="17"/>
      <c r="N144" s="18"/>
      <c r="O144" s="16" t="s">
        <v>83</v>
      </c>
      <c r="P144" s="18"/>
    </row>
    <row r="145" spans="1:16" ht="16.5" customHeight="1">
      <c r="A145" s="10">
        <v>144</v>
      </c>
      <c r="B145" s="10">
        <v>27</v>
      </c>
      <c r="C145" s="10">
        <v>254</v>
      </c>
      <c r="D145" s="11" t="s">
        <v>4534</v>
      </c>
      <c r="E145" s="19" t="s">
        <v>4535</v>
      </c>
      <c r="F145" s="11" t="s">
        <v>4537</v>
      </c>
      <c r="G145" s="10" t="s">
        <v>305</v>
      </c>
      <c r="H145" s="13" t="s">
        <v>4538</v>
      </c>
      <c r="I145" s="16" t="s">
        <v>82</v>
      </c>
      <c r="J145" s="17"/>
      <c r="K145" s="17"/>
      <c r="L145" s="17"/>
      <c r="M145" s="17"/>
      <c r="N145" s="18"/>
      <c r="O145" s="16" t="s">
        <v>83</v>
      </c>
      <c r="P145" s="18"/>
    </row>
    <row r="146" spans="1:16" ht="16.5" customHeight="1">
      <c r="A146" s="10">
        <v>145</v>
      </c>
      <c r="B146" s="10">
        <v>27</v>
      </c>
      <c r="C146" s="10">
        <v>255</v>
      </c>
      <c r="D146" s="11" t="s">
        <v>4535</v>
      </c>
      <c r="E146" s="12" t="s">
        <v>4537</v>
      </c>
      <c r="F146" s="11" t="s">
        <v>4539</v>
      </c>
      <c r="G146" s="10"/>
      <c r="H146" s="13" t="s">
        <v>4540</v>
      </c>
      <c r="I146" s="16" t="s">
        <v>82</v>
      </c>
      <c r="J146" s="17"/>
      <c r="K146" s="17"/>
      <c r="L146" s="17"/>
      <c r="M146" s="17"/>
      <c r="N146" s="18"/>
      <c r="O146" s="16" t="s">
        <v>83</v>
      </c>
      <c r="P146" s="18"/>
    </row>
    <row r="147" spans="1:16" ht="16.5" customHeight="1">
      <c r="A147" s="10">
        <v>146</v>
      </c>
      <c r="B147" s="10">
        <v>27</v>
      </c>
      <c r="C147" s="10">
        <v>265</v>
      </c>
      <c r="D147" s="11" t="s">
        <v>4541</v>
      </c>
      <c r="E147" s="12" t="s">
        <v>3893</v>
      </c>
      <c r="F147" s="11" t="s">
        <v>4542</v>
      </c>
      <c r="G147" s="10"/>
      <c r="H147" s="13" t="s">
        <v>262</v>
      </c>
      <c r="I147" s="16" t="s">
        <v>82</v>
      </c>
      <c r="J147" s="17"/>
      <c r="K147" s="17"/>
      <c r="L147" s="17"/>
      <c r="M147" s="17"/>
      <c r="N147" s="18"/>
      <c r="O147" s="16" t="s">
        <v>83</v>
      </c>
      <c r="P147" s="18"/>
    </row>
    <row r="148" spans="1:16" ht="16.5" customHeight="1">
      <c r="A148" s="10">
        <v>147</v>
      </c>
      <c r="B148" s="10">
        <v>27</v>
      </c>
      <c r="C148" s="10">
        <v>266</v>
      </c>
      <c r="D148" s="11" t="s">
        <v>3893</v>
      </c>
      <c r="E148" s="19" t="s">
        <v>4542</v>
      </c>
      <c r="F148" s="11" t="s">
        <v>4543</v>
      </c>
      <c r="G148" s="10" t="s">
        <v>3493</v>
      </c>
      <c r="H148" s="13" t="s">
        <v>4544</v>
      </c>
      <c r="I148" s="16" t="s">
        <v>82</v>
      </c>
      <c r="J148" s="17"/>
      <c r="K148" s="17"/>
      <c r="L148" s="17"/>
      <c r="M148" s="17"/>
      <c r="N148" s="18"/>
      <c r="O148" s="16" t="s">
        <v>83</v>
      </c>
      <c r="P148" s="18"/>
    </row>
    <row r="149" spans="1:16" ht="16.5" customHeight="1">
      <c r="A149" s="10">
        <v>148</v>
      </c>
      <c r="B149" s="10">
        <v>27</v>
      </c>
      <c r="C149" s="10">
        <v>267</v>
      </c>
      <c r="D149" s="11" t="s">
        <v>4542</v>
      </c>
      <c r="E149" s="12" t="s">
        <v>4543</v>
      </c>
      <c r="F149" s="11" t="s">
        <v>4545</v>
      </c>
      <c r="G149" s="10"/>
      <c r="H149" s="13" t="s">
        <v>4546</v>
      </c>
      <c r="I149" s="16" t="s">
        <v>82</v>
      </c>
      <c r="J149" s="17"/>
      <c r="K149" s="17"/>
      <c r="L149" s="17"/>
      <c r="M149" s="17"/>
      <c r="N149" s="18"/>
      <c r="O149" s="16" t="s">
        <v>83</v>
      </c>
      <c r="P149" s="18"/>
    </row>
    <row r="150" spans="1:16" ht="16.5" customHeight="1">
      <c r="A150" s="10">
        <v>149</v>
      </c>
      <c r="B150" s="10">
        <v>27</v>
      </c>
      <c r="C150" s="10">
        <v>281</v>
      </c>
      <c r="D150" s="11" t="s">
        <v>4547</v>
      </c>
      <c r="E150" s="12" t="s">
        <v>4548</v>
      </c>
      <c r="F150" s="11" t="s">
        <v>4549</v>
      </c>
      <c r="G150" s="10"/>
      <c r="H150" s="13" t="s">
        <v>4550</v>
      </c>
      <c r="I150" s="16" t="s">
        <v>89</v>
      </c>
      <c r="J150" s="17" t="s">
        <v>342</v>
      </c>
      <c r="K150" s="17" t="s">
        <v>1961</v>
      </c>
      <c r="L150" s="17" t="s">
        <v>4551</v>
      </c>
      <c r="M150" s="17" t="s">
        <v>4552</v>
      </c>
      <c r="N150" s="18" t="s">
        <v>4553</v>
      </c>
      <c r="O150" s="16" t="s">
        <v>83</v>
      </c>
      <c r="P150" s="18"/>
    </row>
    <row r="151" spans="1:16" ht="26.25" customHeight="1">
      <c r="A151" s="10">
        <v>150</v>
      </c>
      <c r="B151" s="10">
        <v>27</v>
      </c>
      <c r="C151" s="10">
        <v>282</v>
      </c>
      <c r="D151" s="11" t="s">
        <v>4548</v>
      </c>
      <c r="E151" s="19" t="s">
        <v>4549</v>
      </c>
      <c r="F151" s="11" t="s">
        <v>4554</v>
      </c>
      <c r="G151" s="10" t="s">
        <v>1957</v>
      </c>
      <c r="H151" s="13" t="s">
        <v>4555</v>
      </c>
      <c r="I151" s="16" t="s">
        <v>82</v>
      </c>
      <c r="J151" s="17"/>
      <c r="K151" s="17"/>
      <c r="L151" s="17"/>
      <c r="M151" s="17"/>
      <c r="N151" s="18"/>
      <c r="O151" s="16" t="s">
        <v>83</v>
      </c>
      <c r="P151" s="18"/>
    </row>
    <row r="152" spans="1:16" ht="16.5" customHeight="1">
      <c r="A152" s="10">
        <v>151</v>
      </c>
      <c r="B152" s="10">
        <v>27</v>
      </c>
      <c r="C152" s="10">
        <v>283</v>
      </c>
      <c r="D152" s="11" t="s">
        <v>4549</v>
      </c>
      <c r="E152" s="12" t="s">
        <v>4554</v>
      </c>
      <c r="F152" s="11" t="s">
        <v>4556</v>
      </c>
      <c r="G152" s="10"/>
      <c r="H152" s="13" t="s">
        <v>4557</v>
      </c>
      <c r="I152" s="16" t="s">
        <v>82</v>
      </c>
      <c r="J152" s="17"/>
      <c r="K152" s="17"/>
      <c r="L152" s="17"/>
      <c r="M152" s="17"/>
      <c r="N152" s="18"/>
      <c r="O152" s="16" t="s">
        <v>83</v>
      </c>
      <c r="P152" s="18"/>
    </row>
    <row r="153" spans="1:16" ht="16.5" customHeight="1">
      <c r="A153" s="10">
        <v>152</v>
      </c>
      <c r="B153" s="10">
        <v>27</v>
      </c>
      <c r="C153" s="10">
        <v>302</v>
      </c>
      <c r="D153" s="11" t="s">
        <v>4558</v>
      </c>
      <c r="E153" s="12" t="s">
        <v>4559</v>
      </c>
      <c r="F153" s="11" t="s">
        <v>4560</v>
      </c>
      <c r="G153" s="10"/>
      <c r="H153" s="13" t="s">
        <v>4561</v>
      </c>
      <c r="I153" s="16" t="s">
        <v>82</v>
      </c>
      <c r="J153" s="17"/>
      <c r="K153" s="17"/>
      <c r="L153" s="17"/>
      <c r="M153" s="17"/>
      <c r="N153" s="18"/>
      <c r="O153" s="16" t="s">
        <v>83</v>
      </c>
      <c r="P153" s="18"/>
    </row>
    <row r="154" spans="1:16" ht="16.5" customHeight="1">
      <c r="A154" s="10">
        <v>153</v>
      </c>
      <c r="B154" s="10">
        <v>27</v>
      </c>
      <c r="C154" s="10">
        <v>303</v>
      </c>
      <c r="D154" s="11" t="s">
        <v>4559</v>
      </c>
      <c r="E154" s="19" t="s">
        <v>4560</v>
      </c>
      <c r="F154" s="11" t="s">
        <v>4562</v>
      </c>
      <c r="G154" s="10" t="s">
        <v>540</v>
      </c>
      <c r="H154" s="13" t="s">
        <v>4563</v>
      </c>
      <c r="I154" s="16" t="s">
        <v>82</v>
      </c>
      <c r="J154" s="17"/>
      <c r="K154" s="17"/>
      <c r="L154" s="17"/>
      <c r="M154" s="17"/>
      <c r="N154" s="18"/>
      <c r="O154" s="16" t="s">
        <v>83</v>
      </c>
      <c r="P154" s="18"/>
    </row>
    <row r="155" spans="1:16" ht="16.5" customHeight="1">
      <c r="A155" s="10">
        <v>154</v>
      </c>
      <c r="B155" s="10">
        <v>27</v>
      </c>
      <c r="C155" s="10">
        <v>304</v>
      </c>
      <c r="D155" s="11" t="s">
        <v>4560</v>
      </c>
      <c r="E155" s="12" t="s">
        <v>4562</v>
      </c>
      <c r="F155" s="11" t="s">
        <v>4564</v>
      </c>
      <c r="G155" s="10"/>
      <c r="H155" s="13" t="s">
        <v>4565</v>
      </c>
      <c r="I155" s="16" t="s">
        <v>82</v>
      </c>
      <c r="J155" s="17"/>
      <c r="K155" s="17"/>
      <c r="L155" s="17"/>
      <c r="M155" s="17"/>
      <c r="N155" s="18"/>
      <c r="O155" s="16" t="s">
        <v>83</v>
      </c>
      <c r="P155" s="18"/>
    </row>
    <row r="156" spans="1:16" ht="16.5" customHeight="1">
      <c r="A156" s="10">
        <v>155</v>
      </c>
      <c r="B156" s="10">
        <v>28</v>
      </c>
      <c r="C156" s="10">
        <v>86</v>
      </c>
      <c r="D156" s="11" t="s">
        <v>4566</v>
      </c>
      <c r="E156" s="12" t="s">
        <v>4567</v>
      </c>
      <c r="F156" s="11" t="s">
        <v>4568</v>
      </c>
      <c r="G156" s="10"/>
      <c r="H156" s="13" t="s">
        <v>4569</v>
      </c>
      <c r="I156" s="16" t="s">
        <v>82</v>
      </c>
      <c r="J156" s="17"/>
      <c r="K156" s="17"/>
      <c r="L156" s="17"/>
      <c r="M156" s="17"/>
      <c r="N156" s="18"/>
      <c r="O156" s="16" t="s">
        <v>83</v>
      </c>
      <c r="P156" s="18"/>
    </row>
    <row r="157" spans="1:16" ht="16.5" customHeight="1">
      <c r="A157" s="10">
        <v>156</v>
      </c>
      <c r="B157" s="10">
        <v>28</v>
      </c>
      <c r="C157" s="10">
        <v>87</v>
      </c>
      <c r="D157" s="11" t="s">
        <v>4567</v>
      </c>
      <c r="E157" s="19" t="s">
        <v>4568</v>
      </c>
      <c r="F157" s="11" t="s">
        <v>4570</v>
      </c>
      <c r="G157" s="10" t="s">
        <v>4571</v>
      </c>
      <c r="H157" s="13" t="s">
        <v>4572</v>
      </c>
      <c r="I157" s="16" t="s">
        <v>89</v>
      </c>
      <c r="J157" s="17" t="s">
        <v>155</v>
      </c>
      <c r="K157" s="17" t="s">
        <v>91</v>
      </c>
      <c r="L157" s="17" t="s">
        <v>4568</v>
      </c>
      <c r="M157" s="17" t="s">
        <v>4573</v>
      </c>
      <c r="N157" s="18" t="s">
        <v>4574</v>
      </c>
      <c r="O157" s="16" t="s">
        <v>113</v>
      </c>
      <c r="P157" s="18"/>
    </row>
    <row r="158" spans="1:16" ht="16.5" customHeight="1">
      <c r="A158" s="10">
        <v>157</v>
      </c>
      <c r="B158" s="10">
        <v>28</v>
      </c>
      <c r="C158" s="10">
        <v>88</v>
      </c>
      <c r="D158" s="11" t="s">
        <v>4568</v>
      </c>
      <c r="E158" s="12" t="s">
        <v>4570</v>
      </c>
      <c r="F158" s="11" t="s">
        <v>4575</v>
      </c>
      <c r="G158" s="10"/>
      <c r="H158" s="13" t="s">
        <v>4576</v>
      </c>
      <c r="I158" s="16" t="s">
        <v>82</v>
      </c>
      <c r="J158" s="17"/>
      <c r="K158" s="17"/>
      <c r="L158" s="17"/>
      <c r="M158" s="17"/>
      <c r="N158" s="18"/>
      <c r="O158" s="16" t="s">
        <v>83</v>
      </c>
      <c r="P158" s="18"/>
    </row>
    <row r="159" spans="1:16" ht="16.5" customHeight="1">
      <c r="A159" s="10">
        <v>158</v>
      </c>
      <c r="B159" s="10">
        <v>28</v>
      </c>
      <c r="C159" s="10">
        <v>93</v>
      </c>
      <c r="D159" s="11" t="s">
        <v>4577</v>
      </c>
      <c r="E159" s="12" t="s">
        <v>4578</v>
      </c>
      <c r="F159" s="11" t="s">
        <v>4579</v>
      </c>
      <c r="G159" s="10"/>
      <c r="H159" s="13" t="s">
        <v>4580</v>
      </c>
      <c r="I159" s="16" t="s">
        <v>82</v>
      </c>
      <c r="J159" s="17"/>
      <c r="K159" s="17"/>
      <c r="L159" s="17"/>
      <c r="M159" s="17"/>
      <c r="N159" s="18"/>
      <c r="O159" s="16" t="s">
        <v>83</v>
      </c>
      <c r="P159" s="18"/>
    </row>
    <row r="160" spans="1:16" ht="16.5" customHeight="1">
      <c r="A160" s="10">
        <v>159</v>
      </c>
      <c r="B160" s="10">
        <v>28</v>
      </c>
      <c r="C160" s="10">
        <v>94</v>
      </c>
      <c r="D160" s="11" t="s">
        <v>4578</v>
      </c>
      <c r="E160" s="19" t="s">
        <v>4579</v>
      </c>
      <c r="F160" s="11" t="s">
        <v>4581</v>
      </c>
      <c r="G160" s="10" t="s">
        <v>397</v>
      </c>
      <c r="H160" s="13" t="s">
        <v>4582</v>
      </c>
      <c r="I160" s="16" t="s">
        <v>89</v>
      </c>
      <c r="J160" s="17" t="s">
        <v>155</v>
      </c>
      <c r="K160" s="17" t="s">
        <v>164</v>
      </c>
      <c r="L160" s="17" t="s">
        <v>4583</v>
      </c>
      <c r="M160" s="17" t="s">
        <v>4584</v>
      </c>
      <c r="N160" s="18" t="s">
        <v>4585</v>
      </c>
      <c r="O160" s="16" t="s">
        <v>113</v>
      </c>
      <c r="P160" s="18"/>
    </row>
    <row r="161" spans="1:16" ht="26.25" customHeight="1">
      <c r="A161" s="10">
        <v>160</v>
      </c>
      <c r="B161" s="10">
        <v>28</v>
      </c>
      <c r="C161" s="10">
        <v>95</v>
      </c>
      <c r="D161" s="11" t="s">
        <v>4579</v>
      </c>
      <c r="E161" s="12" t="s">
        <v>4581</v>
      </c>
      <c r="F161" s="11" t="s">
        <v>4586</v>
      </c>
      <c r="G161" s="10"/>
      <c r="H161" s="13" t="s">
        <v>4587</v>
      </c>
      <c r="I161" s="16" t="s">
        <v>89</v>
      </c>
      <c r="J161" s="17" t="s">
        <v>473</v>
      </c>
      <c r="K161" s="17" t="s">
        <v>447</v>
      </c>
      <c r="L161" s="17" t="s">
        <v>4588</v>
      </c>
      <c r="M161" s="17" t="s">
        <v>4589</v>
      </c>
      <c r="N161" s="18" t="s">
        <v>4590</v>
      </c>
      <c r="O161" s="16" t="s">
        <v>113</v>
      </c>
      <c r="P161" s="18"/>
    </row>
    <row r="162" spans="1:16" ht="16.5" customHeight="1">
      <c r="A162" s="10">
        <v>161</v>
      </c>
      <c r="B162" s="10">
        <v>28</v>
      </c>
      <c r="C162" s="10">
        <v>109</v>
      </c>
      <c r="D162" s="11" t="s">
        <v>4591</v>
      </c>
      <c r="E162" s="12" t="s">
        <v>4592</v>
      </c>
      <c r="F162" s="11" t="s">
        <v>4593</v>
      </c>
      <c r="G162" s="10"/>
      <c r="H162" s="13" t="s">
        <v>4594</v>
      </c>
      <c r="I162" s="16" t="s">
        <v>82</v>
      </c>
      <c r="J162" s="17"/>
      <c r="K162" s="17"/>
      <c r="L162" s="17"/>
      <c r="M162" s="17"/>
      <c r="N162" s="18"/>
      <c r="O162" s="16" t="s">
        <v>83</v>
      </c>
      <c r="P162" s="18"/>
    </row>
    <row r="163" spans="1:16" ht="16.5" customHeight="1">
      <c r="A163" s="10">
        <v>162</v>
      </c>
      <c r="B163" s="10">
        <v>28</v>
      </c>
      <c r="C163" s="10">
        <v>110</v>
      </c>
      <c r="D163" s="11" t="s">
        <v>4592</v>
      </c>
      <c r="E163" s="19" t="s">
        <v>4593</v>
      </c>
      <c r="F163" s="11" t="s">
        <v>4595</v>
      </c>
      <c r="G163" s="10" t="s">
        <v>85</v>
      </c>
      <c r="H163" s="13" t="s">
        <v>4596</v>
      </c>
      <c r="I163" s="16" t="s">
        <v>82</v>
      </c>
      <c r="J163" s="17"/>
      <c r="K163" s="17"/>
      <c r="L163" s="17"/>
      <c r="M163" s="17"/>
      <c r="N163" s="18"/>
      <c r="O163" s="16" t="s">
        <v>83</v>
      </c>
      <c r="P163" s="18"/>
    </row>
    <row r="164" spans="1:16" ht="16.5" customHeight="1">
      <c r="A164" s="10">
        <v>163</v>
      </c>
      <c r="B164" s="10">
        <v>28</v>
      </c>
      <c r="C164" s="10">
        <v>111</v>
      </c>
      <c r="D164" s="11" t="s">
        <v>4593</v>
      </c>
      <c r="E164" s="12" t="s">
        <v>4595</v>
      </c>
      <c r="F164" s="11" t="s">
        <v>4597</v>
      </c>
      <c r="G164" s="10"/>
      <c r="H164" s="13" t="s">
        <v>4598</v>
      </c>
      <c r="I164" s="16" t="s">
        <v>82</v>
      </c>
      <c r="J164" s="17"/>
      <c r="K164" s="17"/>
      <c r="L164" s="17"/>
      <c r="M164" s="17"/>
      <c r="N164" s="18"/>
      <c r="O164" s="16" t="s">
        <v>83</v>
      </c>
      <c r="P164" s="18"/>
    </row>
    <row r="165" spans="1:16" ht="16.5" customHeight="1">
      <c r="A165" s="10">
        <v>164</v>
      </c>
      <c r="B165" s="10">
        <v>28</v>
      </c>
      <c r="C165" s="10">
        <v>156</v>
      </c>
      <c r="D165" s="11" t="s">
        <v>4599</v>
      </c>
      <c r="E165" s="12" t="s">
        <v>4600</v>
      </c>
      <c r="F165" s="11" t="s">
        <v>4601</v>
      </c>
      <c r="G165" s="10"/>
      <c r="H165" s="13" t="s">
        <v>4602</v>
      </c>
      <c r="I165" s="16" t="s">
        <v>82</v>
      </c>
      <c r="J165" s="17"/>
      <c r="K165" s="17"/>
      <c r="L165" s="17"/>
      <c r="M165" s="17"/>
      <c r="N165" s="18"/>
      <c r="O165" s="16" t="s">
        <v>83</v>
      </c>
      <c r="P165" s="18"/>
    </row>
    <row r="166" spans="1:16" ht="16.5" customHeight="1">
      <c r="A166" s="10">
        <v>165</v>
      </c>
      <c r="B166" s="10">
        <v>28</v>
      </c>
      <c r="C166" s="10">
        <v>157</v>
      </c>
      <c r="D166" s="11" t="s">
        <v>4600</v>
      </c>
      <c r="E166" s="19" t="s">
        <v>4601</v>
      </c>
      <c r="F166" s="11" t="s">
        <v>4603</v>
      </c>
      <c r="G166" s="10" t="s">
        <v>802</v>
      </c>
      <c r="H166" s="13" t="s">
        <v>4604</v>
      </c>
      <c r="I166" s="16" t="s">
        <v>82</v>
      </c>
      <c r="J166" s="17"/>
      <c r="K166" s="17"/>
      <c r="L166" s="17"/>
      <c r="M166" s="17"/>
      <c r="N166" s="18"/>
      <c r="O166" s="16" t="s">
        <v>83</v>
      </c>
      <c r="P166" s="18"/>
    </row>
    <row r="167" spans="1:16" ht="16.5" customHeight="1">
      <c r="A167" s="10">
        <v>166</v>
      </c>
      <c r="B167" s="10">
        <v>28</v>
      </c>
      <c r="C167" s="10">
        <v>158</v>
      </c>
      <c r="D167" s="11" t="s">
        <v>4601</v>
      </c>
      <c r="E167" s="12" t="s">
        <v>4603</v>
      </c>
      <c r="F167" s="11" t="s">
        <v>4605</v>
      </c>
      <c r="G167" s="10"/>
      <c r="H167" s="13" t="s">
        <v>4606</v>
      </c>
      <c r="I167" s="16" t="s">
        <v>82</v>
      </c>
      <c r="J167" s="17"/>
      <c r="K167" s="17"/>
      <c r="L167" s="17"/>
      <c r="M167" s="17"/>
      <c r="N167" s="18"/>
      <c r="O167" s="16" t="s">
        <v>83</v>
      </c>
      <c r="P167" s="18"/>
    </row>
    <row r="168" spans="1:16" ht="16.5" customHeight="1">
      <c r="A168" s="10">
        <v>167</v>
      </c>
      <c r="B168" s="10">
        <v>28</v>
      </c>
      <c r="C168" s="10">
        <v>229</v>
      </c>
      <c r="D168" s="11" t="s">
        <v>4607</v>
      </c>
      <c r="E168" s="12" t="s">
        <v>4608</v>
      </c>
      <c r="F168" s="11" t="s">
        <v>4609</v>
      </c>
      <c r="G168" s="10"/>
      <c r="H168" s="13" t="s">
        <v>4610</v>
      </c>
      <c r="I168" s="16" t="s">
        <v>82</v>
      </c>
      <c r="J168" s="17"/>
      <c r="K168" s="17"/>
      <c r="L168" s="17"/>
      <c r="M168" s="17"/>
      <c r="N168" s="18"/>
      <c r="O168" s="16" t="s">
        <v>83</v>
      </c>
      <c r="P168" s="18"/>
    </row>
    <row r="169" spans="1:16" ht="26.25" customHeight="1">
      <c r="A169" s="10">
        <v>168</v>
      </c>
      <c r="B169" s="10">
        <v>28</v>
      </c>
      <c r="C169" s="10">
        <v>230</v>
      </c>
      <c r="D169" s="11" t="s">
        <v>4608</v>
      </c>
      <c r="E169" s="19" t="s">
        <v>4609</v>
      </c>
      <c r="F169" s="11" t="s">
        <v>4611</v>
      </c>
      <c r="G169" s="10" t="s">
        <v>1957</v>
      </c>
      <c r="H169" s="13" t="s">
        <v>4612</v>
      </c>
      <c r="I169" s="16" t="s">
        <v>82</v>
      </c>
      <c r="J169" s="17"/>
      <c r="K169" s="17"/>
      <c r="L169" s="17"/>
      <c r="M169" s="17"/>
      <c r="N169" s="18"/>
      <c r="O169" s="16" t="s">
        <v>83</v>
      </c>
      <c r="P169" s="18"/>
    </row>
    <row r="170" spans="1:16" ht="16.5" customHeight="1">
      <c r="A170" s="10">
        <v>169</v>
      </c>
      <c r="B170" s="10">
        <v>28</v>
      </c>
      <c r="C170" s="10">
        <v>231</v>
      </c>
      <c r="D170" s="11" t="s">
        <v>4609</v>
      </c>
      <c r="E170" s="12" t="s">
        <v>4611</v>
      </c>
      <c r="F170" s="11" t="s">
        <v>4613</v>
      </c>
      <c r="G170" s="10"/>
      <c r="H170" s="13" t="s">
        <v>4614</v>
      </c>
      <c r="I170" s="16" t="s">
        <v>82</v>
      </c>
      <c r="J170" s="17"/>
      <c r="K170" s="17"/>
      <c r="L170" s="17"/>
      <c r="M170" s="17"/>
      <c r="N170" s="18"/>
      <c r="O170" s="16" t="s">
        <v>83</v>
      </c>
      <c r="P170" s="18"/>
    </row>
    <row r="171" spans="1:16" ht="16.5" customHeight="1">
      <c r="A171" s="10">
        <v>170</v>
      </c>
      <c r="B171" s="10">
        <v>28</v>
      </c>
      <c r="C171" s="10">
        <v>243</v>
      </c>
      <c r="D171" s="11" t="s">
        <v>4615</v>
      </c>
      <c r="E171" s="12" t="s">
        <v>4616</v>
      </c>
      <c r="F171" s="11" t="s">
        <v>4617</v>
      </c>
      <c r="G171" s="10"/>
      <c r="H171" s="13" t="s">
        <v>4618</v>
      </c>
      <c r="I171" s="16" t="s">
        <v>89</v>
      </c>
      <c r="J171" s="17" t="s">
        <v>342</v>
      </c>
      <c r="K171" s="17" t="s">
        <v>1961</v>
      </c>
      <c r="L171" s="17" t="s">
        <v>4619</v>
      </c>
      <c r="M171" s="17" t="s">
        <v>4620</v>
      </c>
      <c r="N171" s="18" t="s">
        <v>4621</v>
      </c>
      <c r="O171" s="16" t="s">
        <v>83</v>
      </c>
      <c r="P171" s="18"/>
    </row>
    <row r="172" spans="1:16" ht="16.5" customHeight="1">
      <c r="A172" s="10">
        <v>171</v>
      </c>
      <c r="B172" s="10">
        <v>28</v>
      </c>
      <c r="C172" s="10">
        <v>244</v>
      </c>
      <c r="D172" s="11" t="s">
        <v>4616</v>
      </c>
      <c r="E172" s="19" t="s">
        <v>4617</v>
      </c>
      <c r="F172" s="11" t="s">
        <v>4622</v>
      </c>
      <c r="G172" s="10" t="s">
        <v>1957</v>
      </c>
      <c r="H172" s="13" t="s">
        <v>4623</v>
      </c>
      <c r="I172" s="16" t="s">
        <v>82</v>
      </c>
      <c r="J172" s="17"/>
      <c r="K172" s="17"/>
      <c r="L172" s="17"/>
      <c r="M172" s="17"/>
      <c r="N172" s="18"/>
      <c r="O172" s="16" t="s">
        <v>83</v>
      </c>
      <c r="P172" s="18"/>
    </row>
    <row r="173" spans="1:16" ht="16.5" customHeight="1">
      <c r="A173" s="10">
        <v>172</v>
      </c>
      <c r="B173" s="10">
        <v>28</v>
      </c>
      <c r="C173" s="10">
        <v>245</v>
      </c>
      <c r="D173" s="11" t="s">
        <v>4617</v>
      </c>
      <c r="E173" s="12" t="s">
        <v>4622</v>
      </c>
      <c r="F173" s="11" t="s">
        <v>4624</v>
      </c>
      <c r="G173" s="10"/>
      <c r="H173" s="13" t="s">
        <v>4625</v>
      </c>
      <c r="I173" s="16" t="s">
        <v>82</v>
      </c>
      <c r="J173" s="17"/>
      <c r="K173" s="17"/>
      <c r="L173" s="17"/>
      <c r="M173" s="17"/>
      <c r="N173" s="18"/>
      <c r="O173" s="16" t="s">
        <v>83</v>
      </c>
      <c r="P173" s="18"/>
    </row>
    <row r="174" spans="1:16" ht="16.5" customHeight="1">
      <c r="A174" s="10">
        <v>173</v>
      </c>
      <c r="B174" s="10">
        <v>28</v>
      </c>
      <c r="C174" s="10">
        <v>253</v>
      </c>
      <c r="D174" s="11" t="s">
        <v>4626</v>
      </c>
      <c r="E174" s="12" t="s">
        <v>4627</v>
      </c>
      <c r="F174" s="11" t="s">
        <v>4628</v>
      </c>
      <c r="G174" s="10"/>
      <c r="H174" s="13" t="s">
        <v>4629</v>
      </c>
      <c r="I174" s="16" t="s">
        <v>82</v>
      </c>
      <c r="J174" s="17"/>
      <c r="K174" s="17"/>
      <c r="L174" s="17"/>
      <c r="M174" s="17"/>
      <c r="N174" s="18"/>
      <c r="O174" s="16" t="s">
        <v>83</v>
      </c>
      <c r="P174" s="18"/>
    </row>
    <row r="175" spans="1:16" ht="16.5" customHeight="1">
      <c r="A175" s="10">
        <v>174</v>
      </c>
      <c r="B175" s="10">
        <v>28</v>
      </c>
      <c r="C175" s="10">
        <v>254</v>
      </c>
      <c r="D175" s="11" t="s">
        <v>4627</v>
      </c>
      <c r="E175" s="19" t="s">
        <v>4628</v>
      </c>
      <c r="F175" s="11" t="s">
        <v>4630</v>
      </c>
      <c r="G175" s="10" t="s">
        <v>1957</v>
      </c>
      <c r="H175" s="13" t="s">
        <v>4631</v>
      </c>
      <c r="I175" s="16" t="s">
        <v>82</v>
      </c>
      <c r="J175" s="17"/>
      <c r="K175" s="17"/>
      <c r="L175" s="17"/>
      <c r="M175" s="17"/>
      <c r="N175" s="18"/>
      <c r="O175" s="16" t="s">
        <v>83</v>
      </c>
      <c r="P175" s="18"/>
    </row>
    <row r="176" spans="1:16" ht="16.5" customHeight="1">
      <c r="A176" s="10">
        <v>175</v>
      </c>
      <c r="B176" s="10">
        <v>28</v>
      </c>
      <c r="C176" s="10">
        <v>255</v>
      </c>
      <c r="D176" s="11" t="s">
        <v>4628</v>
      </c>
      <c r="E176" s="12" t="s">
        <v>4630</v>
      </c>
      <c r="F176" s="11" t="s">
        <v>4632</v>
      </c>
      <c r="G176" s="10"/>
      <c r="H176" s="13" t="s">
        <v>4633</v>
      </c>
      <c r="I176" s="16" t="s">
        <v>82</v>
      </c>
      <c r="J176" s="17"/>
      <c r="K176" s="17"/>
      <c r="L176" s="17"/>
      <c r="M176" s="17"/>
      <c r="N176" s="18"/>
      <c r="O176" s="16" t="s">
        <v>83</v>
      </c>
      <c r="P176" s="18"/>
    </row>
    <row r="177" spans="1:16" ht="16.5" customHeight="1">
      <c r="A177" s="10">
        <v>176</v>
      </c>
      <c r="B177" s="10">
        <v>28</v>
      </c>
      <c r="C177" s="10">
        <v>256</v>
      </c>
      <c r="D177" s="11" t="s">
        <v>4630</v>
      </c>
      <c r="E177" s="19" t="s">
        <v>4632</v>
      </c>
      <c r="F177" s="11" t="s">
        <v>4634</v>
      </c>
      <c r="G177" s="10" t="s">
        <v>4635</v>
      </c>
      <c r="H177" s="13" t="s">
        <v>4636</v>
      </c>
      <c r="I177" s="16" t="s">
        <v>82</v>
      </c>
      <c r="J177" s="17"/>
      <c r="K177" s="17"/>
      <c r="L177" s="17"/>
      <c r="M177" s="17"/>
      <c r="N177" s="18"/>
      <c r="O177" s="16" t="s">
        <v>83</v>
      </c>
      <c r="P177" s="18"/>
    </row>
    <row r="178" spans="1:16" ht="16.5" customHeight="1">
      <c r="A178" s="10">
        <v>177</v>
      </c>
      <c r="B178" s="10">
        <v>28</v>
      </c>
      <c r="C178" s="10">
        <v>257</v>
      </c>
      <c r="D178" s="11" t="s">
        <v>4632</v>
      </c>
      <c r="E178" s="12" t="s">
        <v>4634</v>
      </c>
      <c r="F178" s="11" t="s">
        <v>4637</v>
      </c>
      <c r="G178" s="10"/>
      <c r="H178" s="13" t="s">
        <v>4638</v>
      </c>
      <c r="I178" s="16" t="s">
        <v>82</v>
      </c>
      <c r="J178" s="17"/>
      <c r="K178" s="17"/>
      <c r="L178" s="17"/>
      <c r="M178" s="17"/>
      <c r="N178" s="18"/>
      <c r="O178" s="16" t="s">
        <v>83</v>
      </c>
      <c r="P178" s="18"/>
    </row>
    <row r="179" spans="1:16" ht="16.5" customHeight="1">
      <c r="A179" s="10">
        <v>178</v>
      </c>
      <c r="B179" s="10">
        <v>28</v>
      </c>
      <c r="C179" s="10">
        <v>277</v>
      </c>
      <c r="D179" s="11" t="s">
        <v>4639</v>
      </c>
      <c r="E179" s="12" t="s">
        <v>4640</v>
      </c>
      <c r="F179" s="11" t="s">
        <v>4641</v>
      </c>
      <c r="G179" s="10"/>
      <c r="H179" s="13" t="s">
        <v>4642</v>
      </c>
      <c r="I179" s="16" t="s">
        <v>82</v>
      </c>
      <c r="J179" s="17"/>
      <c r="K179" s="17"/>
      <c r="L179" s="17"/>
      <c r="M179" s="17"/>
      <c r="N179" s="18"/>
      <c r="O179" s="16" t="s">
        <v>83</v>
      </c>
      <c r="P179" s="18"/>
    </row>
    <row r="180" spans="1:16" ht="16.5" customHeight="1">
      <c r="A180" s="10">
        <v>179</v>
      </c>
      <c r="B180" s="10">
        <v>28</v>
      </c>
      <c r="C180" s="10">
        <v>278</v>
      </c>
      <c r="D180" s="11" t="s">
        <v>4640</v>
      </c>
      <c r="E180" s="19" t="s">
        <v>4641</v>
      </c>
      <c r="F180" s="11" t="s">
        <v>4643</v>
      </c>
      <c r="G180" s="10" t="s">
        <v>4644</v>
      </c>
      <c r="H180" s="13" t="s">
        <v>4645</v>
      </c>
      <c r="I180" s="16" t="s">
        <v>82</v>
      </c>
      <c r="J180" s="17"/>
      <c r="K180" s="17"/>
      <c r="L180" s="17"/>
      <c r="M180" s="17"/>
      <c r="N180" s="18"/>
      <c r="O180" s="16" t="s">
        <v>83</v>
      </c>
      <c r="P180" s="18"/>
    </row>
    <row r="181" spans="1:16" ht="16.5" customHeight="1">
      <c r="A181" s="10">
        <v>180</v>
      </c>
      <c r="B181" s="10">
        <v>28</v>
      </c>
      <c r="C181" s="10">
        <v>279</v>
      </c>
      <c r="D181" s="11" t="s">
        <v>4641</v>
      </c>
      <c r="E181" s="12" t="s">
        <v>4643</v>
      </c>
      <c r="F181" s="11" t="s">
        <v>4646</v>
      </c>
      <c r="G181" s="10"/>
      <c r="H181" s="13" t="s">
        <v>4647</v>
      </c>
      <c r="I181" s="16" t="s">
        <v>82</v>
      </c>
      <c r="J181" s="17"/>
      <c r="K181" s="17"/>
      <c r="L181" s="17"/>
      <c r="M181" s="17"/>
      <c r="N181" s="18"/>
      <c r="O181" s="16" t="s">
        <v>83</v>
      </c>
      <c r="P181" s="18"/>
    </row>
    <row r="182" spans="1:16" ht="16.5" customHeight="1">
      <c r="A182" s="10">
        <v>181</v>
      </c>
      <c r="B182" s="10">
        <v>28</v>
      </c>
      <c r="C182" s="10">
        <v>292</v>
      </c>
      <c r="D182" s="11" t="s">
        <v>4648</v>
      </c>
      <c r="E182" s="12" t="s">
        <v>4649</v>
      </c>
      <c r="F182" s="11" t="s">
        <v>4650</v>
      </c>
      <c r="G182" s="10"/>
      <c r="H182" s="13" t="s">
        <v>2277</v>
      </c>
      <c r="I182" s="16" t="s">
        <v>82</v>
      </c>
      <c r="J182" s="17"/>
      <c r="K182" s="17"/>
      <c r="L182" s="17"/>
      <c r="M182" s="17"/>
      <c r="N182" s="18"/>
      <c r="O182" s="16" t="s">
        <v>83</v>
      </c>
      <c r="P182" s="18"/>
    </row>
    <row r="183" spans="1:16" ht="16.5" customHeight="1">
      <c r="A183" s="10">
        <v>182</v>
      </c>
      <c r="B183" s="10">
        <v>28</v>
      </c>
      <c r="C183" s="10">
        <v>293</v>
      </c>
      <c r="D183" s="11" t="s">
        <v>4649</v>
      </c>
      <c r="E183" s="19" t="s">
        <v>4650</v>
      </c>
      <c r="F183" s="11" t="s">
        <v>4651</v>
      </c>
      <c r="G183" s="10" t="s">
        <v>338</v>
      </c>
      <c r="H183" s="13" t="s">
        <v>4652</v>
      </c>
      <c r="I183" s="16" t="s">
        <v>82</v>
      </c>
      <c r="J183" s="17"/>
      <c r="K183" s="17"/>
      <c r="L183" s="17"/>
      <c r="M183" s="17"/>
      <c r="N183" s="18"/>
      <c r="O183" s="16" t="s">
        <v>83</v>
      </c>
      <c r="P183" s="18"/>
    </row>
    <row r="184" spans="1:16" ht="16.5" customHeight="1">
      <c r="A184" s="10">
        <v>183</v>
      </c>
      <c r="B184" s="10">
        <v>28</v>
      </c>
      <c r="C184" s="10">
        <v>294</v>
      </c>
      <c r="D184" s="11" t="s">
        <v>4650</v>
      </c>
      <c r="E184" s="12" t="s">
        <v>4651</v>
      </c>
      <c r="F184" s="11" t="s">
        <v>4653</v>
      </c>
      <c r="G184" s="10"/>
      <c r="H184" s="13" t="s">
        <v>4654</v>
      </c>
      <c r="I184" s="16" t="s">
        <v>82</v>
      </c>
      <c r="J184" s="17"/>
      <c r="K184" s="17"/>
      <c r="L184" s="17"/>
      <c r="M184" s="17"/>
      <c r="N184" s="18"/>
      <c r="O184" s="16" t="s">
        <v>83</v>
      </c>
      <c r="P184" s="18" t="s">
        <v>4655</v>
      </c>
    </row>
    <row r="185" spans="1:16" ht="16.5" customHeight="1">
      <c r="A185" s="10">
        <v>184</v>
      </c>
      <c r="B185" s="10">
        <v>28</v>
      </c>
      <c r="C185" s="10">
        <v>296</v>
      </c>
      <c r="D185" s="11" t="s">
        <v>4653</v>
      </c>
      <c r="E185" s="12" t="s">
        <v>4656</v>
      </c>
      <c r="F185" s="11" t="s">
        <v>4657</v>
      </c>
      <c r="G185" s="10"/>
      <c r="H185" s="13" t="s">
        <v>4658</v>
      </c>
      <c r="I185" s="16" t="s">
        <v>82</v>
      </c>
      <c r="J185" s="17"/>
      <c r="K185" s="17"/>
      <c r="L185" s="17"/>
      <c r="M185" s="17"/>
      <c r="N185" s="18"/>
      <c r="O185" s="16" t="s">
        <v>83</v>
      </c>
      <c r="P185" s="18"/>
    </row>
    <row r="186" spans="1:16" ht="16.5" customHeight="1">
      <c r="A186" s="10">
        <v>185</v>
      </c>
      <c r="B186" s="10">
        <v>28</v>
      </c>
      <c r="C186" s="10">
        <v>297</v>
      </c>
      <c r="D186" s="11" t="s">
        <v>4656</v>
      </c>
      <c r="E186" s="19" t="s">
        <v>4657</v>
      </c>
      <c r="F186" s="11" t="s">
        <v>4659</v>
      </c>
      <c r="G186" s="10" t="s">
        <v>338</v>
      </c>
      <c r="H186" s="13" t="s">
        <v>4660</v>
      </c>
      <c r="I186" s="16" t="s">
        <v>82</v>
      </c>
      <c r="J186" s="17"/>
      <c r="K186" s="17"/>
      <c r="L186" s="17"/>
      <c r="M186" s="17"/>
      <c r="N186" s="18"/>
      <c r="O186" s="16" t="s">
        <v>83</v>
      </c>
      <c r="P186" s="18"/>
    </row>
    <row r="187" spans="1:16" ht="16.5" customHeight="1">
      <c r="A187" s="10">
        <v>186</v>
      </c>
      <c r="B187" s="10">
        <v>28</v>
      </c>
      <c r="C187" s="10">
        <v>298</v>
      </c>
      <c r="D187" s="11" t="s">
        <v>4657</v>
      </c>
      <c r="E187" s="12" t="s">
        <v>4659</v>
      </c>
      <c r="F187" s="11" t="s">
        <v>4661</v>
      </c>
      <c r="G187" s="10"/>
      <c r="H187" s="13" t="s">
        <v>4662</v>
      </c>
      <c r="I187" s="16" t="s">
        <v>82</v>
      </c>
      <c r="J187" s="17"/>
      <c r="K187" s="17"/>
      <c r="L187" s="17"/>
      <c r="M187" s="17"/>
      <c r="N187" s="18"/>
      <c r="O187" s="16" t="s">
        <v>83</v>
      </c>
      <c r="P187" s="18"/>
    </row>
    <row r="188" spans="1:16" ht="16.5" customHeight="1">
      <c r="A188" s="10">
        <v>187</v>
      </c>
      <c r="B188" s="10">
        <v>28</v>
      </c>
      <c r="C188" s="10">
        <v>332</v>
      </c>
      <c r="D188" s="11" t="s">
        <v>4663</v>
      </c>
      <c r="E188" s="12" t="s">
        <v>2199</v>
      </c>
      <c r="F188" s="11" t="s">
        <v>4664</v>
      </c>
      <c r="G188" s="10"/>
      <c r="H188" s="13" t="s">
        <v>2201</v>
      </c>
      <c r="I188" s="16" t="s">
        <v>82</v>
      </c>
      <c r="J188" s="17"/>
      <c r="K188" s="17"/>
      <c r="L188" s="17"/>
      <c r="M188" s="17"/>
      <c r="N188" s="18"/>
      <c r="O188" s="16" t="s">
        <v>83</v>
      </c>
      <c r="P188" s="18"/>
    </row>
    <row r="189" spans="1:16" ht="16.5" customHeight="1">
      <c r="A189" s="10">
        <v>188</v>
      </c>
      <c r="B189" s="10">
        <v>28</v>
      </c>
      <c r="C189" s="10">
        <v>333</v>
      </c>
      <c r="D189" s="11" t="s">
        <v>2199</v>
      </c>
      <c r="E189" s="19" t="s">
        <v>4664</v>
      </c>
      <c r="F189" s="11" t="s">
        <v>4665</v>
      </c>
      <c r="G189" s="10" t="s">
        <v>774</v>
      </c>
      <c r="H189" s="13" t="s">
        <v>4666</v>
      </c>
      <c r="I189" s="16" t="s">
        <v>82</v>
      </c>
      <c r="J189" s="17"/>
      <c r="K189" s="17"/>
      <c r="L189" s="17"/>
      <c r="M189" s="17"/>
      <c r="N189" s="18"/>
      <c r="O189" s="16" t="s">
        <v>83</v>
      </c>
      <c r="P189" s="18"/>
    </row>
    <row r="190" spans="1:16" ht="16.5" customHeight="1">
      <c r="A190" s="10">
        <v>189</v>
      </c>
      <c r="B190" s="10">
        <v>28</v>
      </c>
      <c r="C190" s="10">
        <v>334</v>
      </c>
      <c r="D190" s="11" t="s">
        <v>4664</v>
      </c>
      <c r="E190" s="19" t="s">
        <v>4665</v>
      </c>
      <c r="F190" s="11" t="s">
        <v>4667</v>
      </c>
      <c r="G190" s="10" t="s">
        <v>4635</v>
      </c>
      <c r="H190" s="13" t="s">
        <v>4668</v>
      </c>
      <c r="I190" s="16" t="s">
        <v>89</v>
      </c>
      <c r="J190" s="17" t="s">
        <v>155</v>
      </c>
      <c r="K190" s="17" t="s">
        <v>91</v>
      </c>
      <c r="L190" s="17" t="s">
        <v>2056</v>
      </c>
      <c r="M190" s="17" t="s">
        <v>2057</v>
      </c>
      <c r="N190" s="18" t="s">
        <v>2058</v>
      </c>
      <c r="O190" s="16" t="s">
        <v>83</v>
      </c>
      <c r="P190" s="18"/>
    </row>
    <row r="191" spans="1:16" ht="16.5" customHeight="1">
      <c r="A191" s="10">
        <v>190</v>
      </c>
      <c r="B191" s="10">
        <v>28</v>
      </c>
      <c r="C191" s="10">
        <v>335</v>
      </c>
      <c r="D191" s="11" t="s">
        <v>4665</v>
      </c>
      <c r="E191" s="12" t="s">
        <v>4667</v>
      </c>
      <c r="F191" s="11" t="s">
        <v>4669</v>
      </c>
      <c r="G191" s="10"/>
      <c r="H191" s="13" t="s">
        <v>4670</v>
      </c>
      <c r="I191" s="16" t="s">
        <v>82</v>
      </c>
      <c r="J191" s="17"/>
      <c r="K191" s="17"/>
      <c r="L191" s="17"/>
      <c r="M191" s="17"/>
      <c r="N191" s="18"/>
      <c r="O191" s="16" t="s">
        <v>83</v>
      </c>
      <c r="P191" s="18"/>
    </row>
    <row r="192" spans="1:16" ht="16.5" customHeight="1">
      <c r="A192" s="10">
        <v>191</v>
      </c>
      <c r="B192" s="10">
        <v>28</v>
      </c>
      <c r="C192" s="10">
        <v>341</v>
      </c>
      <c r="D192" s="11" t="s">
        <v>4671</v>
      </c>
      <c r="E192" s="12" t="s">
        <v>4672</v>
      </c>
      <c r="F192" s="11" t="s">
        <v>4673</v>
      </c>
      <c r="G192" s="10"/>
      <c r="H192" s="13" t="s">
        <v>4674</v>
      </c>
      <c r="I192" s="16" t="s">
        <v>82</v>
      </c>
      <c r="J192" s="17"/>
      <c r="K192" s="17"/>
      <c r="L192" s="17"/>
      <c r="M192" s="17"/>
      <c r="N192" s="18"/>
      <c r="O192" s="16" t="s">
        <v>83</v>
      </c>
      <c r="P192" s="18"/>
    </row>
    <row r="193" spans="1:16" ht="16.5" customHeight="1">
      <c r="A193" s="10">
        <v>192</v>
      </c>
      <c r="B193" s="10">
        <v>28</v>
      </c>
      <c r="C193" s="10">
        <v>342</v>
      </c>
      <c r="D193" s="11" t="s">
        <v>4672</v>
      </c>
      <c r="E193" s="19" t="s">
        <v>4673</v>
      </c>
      <c r="F193" s="11" t="s">
        <v>4675</v>
      </c>
      <c r="G193" s="10" t="s">
        <v>1957</v>
      </c>
      <c r="H193" s="13" t="s">
        <v>4676</v>
      </c>
      <c r="I193" s="16" t="s">
        <v>82</v>
      </c>
      <c r="J193" s="17"/>
      <c r="K193" s="17"/>
      <c r="L193" s="17"/>
      <c r="M193" s="17"/>
      <c r="N193" s="18"/>
      <c r="O193" s="16" t="s">
        <v>83</v>
      </c>
      <c r="P193" s="18"/>
    </row>
    <row r="194" spans="1:16" ht="16.5" customHeight="1">
      <c r="A194" s="10">
        <v>193</v>
      </c>
      <c r="B194" s="10">
        <v>28</v>
      </c>
      <c r="C194" s="10">
        <v>343</v>
      </c>
      <c r="D194" s="11" t="s">
        <v>4673</v>
      </c>
      <c r="E194" s="12" t="s">
        <v>4675</v>
      </c>
      <c r="F194" s="11" t="s">
        <v>4677</v>
      </c>
      <c r="G194" s="10"/>
      <c r="H194" s="13" t="s">
        <v>4678</v>
      </c>
      <c r="I194" s="16" t="s">
        <v>82</v>
      </c>
      <c r="J194" s="17"/>
      <c r="K194" s="17"/>
      <c r="L194" s="17"/>
      <c r="M194" s="17"/>
      <c r="N194" s="18"/>
      <c r="O194" s="16" t="s">
        <v>83</v>
      </c>
      <c r="P194" s="18"/>
    </row>
    <row r="195" spans="1:16" ht="16.5" customHeight="1">
      <c r="A195" s="10">
        <v>194</v>
      </c>
      <c r="B195" s="10">
        <v>29</v>
      </c>
      <c r="C195" s="10">
        <v>27</v>
      </c>
      <c r="D195" s="11" t="s">
        <v>4679</v>
      </c>
      <c r="E195" s="12" t="s">
        <v>4680</v>
      </c>
      <c r="F195" s="11" t="s">
        <v>4681</v>
      </c>
      <c r="G195" s="10"/>
      <c r="H195" s="13" t="s">
        <v>4682</v>
      </c>
      <c r="I195" s="16" t="s">
        <v>82</v>
      </c>
      <c r="J195" s="17"/>
      <c r="K195" s="17"/>
      <c r="L195" s="17"/>
      <c r="M195" s="17"/>
      <c r="N195" s="18"/>
      <c r="O195" s="16" t="s">
        <v>83</v>
      </c>
      <c r="P195" s="18"/>
    </row>
    <row r="196" spans="1:16" ht="16.5" customHeight="1">
      <c r="A196" s="10">
        <v>195</v>
      </c>
      <c r="B196" s="10">
        <v>29</v>
      </c>
      <c r="C196" s="10">
        <v>28</v>
      </c>
      <c r="D196" s="11" t="s">
        <v>4680</v>
      </c>
      <c r="E196" s="19" t="s">
        <v>4681</v>
      </c>
      <c r="F196" s="11" t="s">
        <v>4683</v>
      </c>
      <c r="G196" s="10" t="s">
        <v>106</v>
      </c>
      <c r="H196" s="13" t="s">
        <v>4684</v>
      </c>
      <c r="I196" s="16" t="s">
        <v>82</v>
      </c>
      <c r="J196" s="17"/>
      <c r="K196" s="17"/>
      <c r="L196" s="17"/>
      <c r="M196" s="17"/>
      <c r="N196" s="18"/>
      <c r="O196" s="16" t="s">
        <v>83</v>
      </c>
      <c r="P196" s="18"/>
    </row>
    <row r="197" spans="1:16" ht="16.5" customHeight="1">
      <c r="A197" s="10">
        <v>196</v>
      </c>
      <c r="B197" s="10">
        <v>29</v>
      </c>
      <c r="C197" s="10">
        <v>29</v>
      </c>
      <c r="D197" s="11" t="s">
        <v>4681</v>
      </c>
      <c r="E197" s="12" t="s">
        <v>4683</v>
      </c>
      <c r="F197" s="11" t="s">
        <v>4685</v>
      </c>
      <c r="G197" s="10"/>
      <c r="H197" s="13" t="s">
        <v>4686</v>
      </c>
      <c r="I197" s="16" t="s">
        <v>82</v>
      </c>
      <c r="J197" s="17"/>
      <c r="K197" s="17"/>
      <c r="L197" s="17"/>
      <c r="M197" s="17"/>
      <c r="N197" s="18"/>
      <c r="O197" s="16" t="s">
        <v>83</v>
      </c>
      <c r="P197" s="18"/>
    </row>
    <row r="198" spans="1:16" ht="16.5" customHeight="1">
      <c r="A198" s="10">
        <v>197</v>
      </c>
      <c r="B198" s="10">
        <v>29</v>
      </c>
      <c r="C198" s="10">
        <v>69</v>
      </c>
      <c r="D198" s="11" t="s">
        <v>4687</v>
      </c>
      <c r="E198" s="12" t="s">
        <v>4688</v>
      </c>
      <c r="F198" s="11" t="s">
        <v>4689</v>
      </c>
      <c r="G198" s="10"/>
      <c r="H198" s="13"/>
      <c r="I198" s="16" t="s">
        <v>82</v>
      </c>
      <c r="J198" s="17"/>
      <c r="K198" s="17"/>
      <c r="L198" s="17"/>
      <c r="M198" s="17"/>
      <c r="N198" s="18"/>
      <c r="O198" s="16" t="s">
        <v>83</v>
      </c>
      <c r="P198" s="18"/>
    </row>
    <row r="199" spans="1:16" ht="16.5" customHeight="1">
      <c r="A199" s="10">
        <v>198</v>
      </c>
      <c r="B199" s="10">
        <v>29</v>
      </c>
      <c r="C199" s="10">
        <v>70</v>
      </c>
      <c r="D199" s="11" t="s">
        <v>4688</v>
      </c>
      <c r="E199" s="19" t="s">
        <v>4689</v>
      </c>
      <c r="F199" s="11" t="s">
        <v>4690</v>
      </c>
      <c r="G199" s="10" t="s">
        <v>338</v>
      </c>
      <c r="H199" s="13" t="s">
        <v>4691</v>
      </c>
      <c r="I199" s="16" t="s">
        <v>82</v>
      </c>
      <c r="J199" s="17"/>
      <c r="K199" s="17"/>
      <c r="L199" s="17"/>
      <c r="M199" s="17"/>
      <c r="N199" s="18"/>
      <c r="O199" s="16" t="s">
        <v>83</v>
      </c>
      <c r="P199" s="18"/>
    </row>
    <row r="200" spans="1:16" ht="16.5" customHeight="1">
      <c r="A200" s="10">
        <v>199</v>
      </c>
      <c r="B200" s="10">
        <v>29</v>
      </c>
      <c r="C200" s="10">
        <v>71</v>
      </c>
      <c r="D200" s="11" t="s">
        <v>4689</v>
      </c>
      <c r="E200" s="12" t="s">
        <v>4690</v>
      </c>
      <c r="F200" s="11" t="s">
        <v>4692</v>
      </c>
      <c r="G200" s="10"/>
      <c r="H200" s="13" t="s">
        <v>4693</v>
      </c>
      <c r="I200" s="16" t="s">
        <v>82</v>
      </c>
      <c r="J200" s="17"/>
      <c r="K200" s="17"/>
      <c r="L200" s="17"/>
      <c r="M200" s="17"/>
      <c r="N200" s="18"/>
      <c r="O200" s="16" t="s">
        <v>83</v>
      </c>
      <c r="P200" s="18"/>
    </row>
    <row r="201" spans="1:16" ht="16.5" customHeight="1">
      <c r="A201" s="10">
        <v>200</v>
      </c>
      <c r="B201" s="10">
        <v>31</v>
      </c>
      <c r="C201" s="10">
        <v>53</v>
      </c>
      <c r="D201" s="11" t="s">
        <v>4694</v>
      </c>
      <c r="E201" s="12" t="s">
        <v>4695</v>
      </c>
      <c r="F201" s="11" t="s">
        <v>4696</v>
      </c>
      <c r="G201" s="10"/>
      <c r="H201" s="13" t="s">
        <v>4697</v>
      </c>
      <c r="I201" s="16" t="s">
        <v>82</v>
      </c>
      <c r="J201" s="17"/>
      <c r="K201" s="17"/>
      <c r="L201" s="17"/>
      <c r="M201" s="17"/>
      <c r="N201" s="18"/>
      <c r="O201" s="16" t="s">
        <v>83</v>
      </c>
      <c r="P201" s="18"/>
    </row>
    <row r="202" spans="1:16" ht="16.5" customHeight="1">
      <c r="A202" s="10">
        <v>201</v>
      </c>
      <c r="B202" s="10">
        <v>31</v>
      </c>
      <c r="C202" s="10">
        <v>54</v>
      </c>
      <c r="D202" s="11" t="s">
        <v>4695</v>
      </c>
      <c r="E202" s="19" t="s">
        <v>4696</v>
      </c>
      <c r="F202" s="11" t="s">
        <v>4698</v>
      </c>
      <c r="G202" s="10" t="s">
        <v>160</v>
      </c>
      <c r="H202" s="13" t="s">
        <v>4699</v>
      </c>
      <c r="I202" s="16" t="s">
        <v>89</v>
      </c>
      <c r="J202" s="17" t="s">
        <v>128</v>
      </c>
      <c r="K202" s="17" t="s">
        <v>1145</v>
      </c>
      <c r="L202" s="17" t="s">
        <v>4700</v>
      </c>
      <c r="M202" s="17" t="s">
        <v>4701</v>
      </c>
      <c r="N202" s="18" t="s">
        <v>4702</v>
      </c>
      <c r="O202" s="16" t="s">
        <v>83</v>
      </c>
      <c r="P202" s="18"/>
    </row>
    <row r="203" spans="1:16" ht="16.5" customHeight="1">
      <c r="A203" s="10">
        <v>202</v>
      </c>
      <c r="B203" s="10">
        <v>31</v>
      </c>
      <c r="C203" s="10">
        <v>55</v>
      </c>
      <c r="D203" s="11" t="s">
        <v>4696</v>
      </c>
      <c r="E203" s="12" t="s">
        <v>4698</v>
      </c>
      <c r="F203" s="11" t="s">
        <v>4703</v>
      </c>
      <c r="G203" s="10"/>
      <c r="H203" s="13" t="s">
        <v>4704</v>
      </c>
      <c r="I203" s="16" t="s">
        <v>82</v>
      </c>
      <c r="J203" s="17"/>
      <c r="K203" s="17"/>
      <c r="L203" s="17"/>
      <c r="M203" s="17"/>
      <c r="N203" s="18"/>
      <c r="O203" s="16" t="s">
        <v>83</v>
      </c>
      <c r="P203" s="18"/>
    </row>
    <row r="204" spans="1:16" ht="16.5" customHeight="1">
      <c r="A204" s="10">
        <v>203</v>
      </c>
      <c r="B204" s="10">
        <v>31</v>
      </c>
      <c r="C204" s="10">
        <v>75</v>
      </c>
      <c r="D204" s="11" t="s">
        <v>4705</v>
      </c>
      <c r="E204" s="12" t="s">
        <v>1032</v>
      </c>
      <c r="F204" s="11" t="s">
        <v>4706</v>
      </c>
      <c r="G204" s="10"/>
      <c r="H204" s="13" t="s">
        <v>2858</v>
      </c>
      <c r="I204" s="16" t="s">
        <v>82</v>
      </c>
      <c r="J204" s="17"/>
      <c r="K204" s="17"/>
      <c r="L204" s="17"/>
      <c r="M204" s="17"/>
      <c r="N204" s="18"/>
      <c r="O204" s="16" t="s">
        <v>83</v>
      </c>
      <c r="P204" s="18"/>
    </row>
    <row r="205" spans="1:16" ht="16.5" customHeight="1">
      <c r="A205" s="10">
        <v>204</v>
      </c>
      <c r="B205" s="10">
        <v>31</v>
      </c>
      <c r="C205" s="10">
        <v>76</v>
      </c>
      <c r="D205" s="11" t="s">
        <v>1032</v>
      </c>
      <c r="E205" s="19" t="s">
        <v>4706</v>
      </c>
      <c r="F205" s="11" t="s">
        <v>4707</v>
      </c>
      <c r="G205" s="10" t="s">
        <v>176</v>
      </c>
      <c r="H205" s="13" t="s">
        <v>177</v>
      </c>
      <c r="I205" s="16" t="s">
        <v>82</v>
      </c>
      <c r="J205" s="17"/>
      <c r="K205" s="17"/>
      <c r="L205" s="17"/>
      <c r="M205" s="17"/>
      <c r="N205" s="18"/>
      <c r="O205" s="16" t="s">
        <v>83</v>
      </c>
      <c r="P205" s="18"/>
    </row>
    <row r="206" spans="1:16" ht="16.5" customHeight="1">
      <c r="A206" s="10">
        <v>205</v>
      </c>
      <c r="B206" s="10">
        <v>31</v>
      </c>
      <c r="C206" s="10">
        <v>77</v>
      </c>
      <c r="D206" s="11" t="s">
        <v>4706</v>
      </c>
      <c r="E206" s="12" t="s">
        <v>4707</v>
      </c>
      <c r="F206" s="11" t="s">
        <v>4708</v>
      </c>
      <c r="G206" s="10"/>
      <c r="H206" s="13" t="s">
        <v>4709</v>
      </c>
      <c r="I206" s="16" t="s">
        <v>82</v>
      </c>
      <c r="J206" s="17"/>
      <c r="K206" s="17"/>
      <c r="L206" s="17"/>
      <c r="M206" s="17"/>
      <c r="N206" s="18"/>
      <c r="O206" s="16" t="s">
        <v>83</v>
      </c>
      <c r="P206" s="18"/>
    </row>
    <row r="207" spans="1:16" ht="16.5" customHeight="1">
      <c r="A207" s="10">
        <v>206</v>
      </c>
      <c r="B207" s="10">
        <v>31</v>
      </c>
      <c r="C207" s="10">
        <v>97</v>
      </c>
      <c r="D207" s="11" t="s">
        <v>4710</v>
      </c>
      <c r="E207" s="12" t="s">
        <v>4711</v>
      </c>
      <c r="F207" s="11" t="s">
        <v>4712</v>
      </c>
      <c r="G207" s="10"/>
      <c r="H207" s="13" t="s">
        <v>4713</v>
      </c>
      <c r="I207" s="16" t="s">
        <v>82</v>
      </c>
      <c r="J207" s="17"/>
      <c r="K207" s="17"/>
      <c r="L207" s="17"/>
      <c r="M207" s="17"/>
      <c r="N207" s="18"/>
      <c r="O207" s="16" t="s">
        <v>83</v>
      </c>
      <c r="P207" s="18"/>
    </row>
    <row r="208" spans="1:16" ht="16.5" customHeight="1">
      <c r="A208" s="10">
        <v>207</v>
      </c>
      <c r="B208" s="10">
        <v>31</v>
      </c>
      <c r="C208" s="10">
        <v>98</v>
      </c>
      <c r="D208" s="11" t="s">
        <v>4711</v>
      </c>
      <c r="E208" s="19" t="s">
        <v>4712</v>
      </c>
      <c r="F208" s="11" t="s">
        <v>4671</v>
      </c>
      <c r="G208" s="10" t="s">
        <v>3253</v>
      </c>
      <c r="H208" s="13" t="s">
        <v>4714</v>
      </c>
      <c r="I208" s="16" t="s">
        <v>82</v>
      </c>
      <c r="J208" s="17"/>
      <c r="K208" s="17"/>
      <c r="L208" s="17"/>
      <c r="M208" s="17"/>
      <c r="N208" s="18"/>
      <c r="O208" s="16" t="s">
        <v>83</v>
      </c>
      <c r="P208" s="18"/>
    </row>
    <row r="209" spans="1:16" ht="16.5" customHeight="1">
      <c r="A209" s="10">
        <v>208</v>
      </c>
      <c r="B209" s="10">
        <v>31</v>
      </c>
      <c r="C209" s="10">
        <v>99</v>
      </c>
      <c r="D209" s="11" t="s">
        <v>4712</v>
      </c>
      <c r="E209" s="12" t="s">
        <v>4671</v>
      </c>
      <c r="F209" s="11" t="s">
        <v>4715</v>
      </c>
      <c r="G209" s="10"/>
      <c r="H209" s="13" t="s">
        <v>4716</v>
      </c>
      <c r="I209" s="16" t="s">
        <v>82</v>
      </c>
      <c r="J209" s="17"/>
      <c r="K209" s="17"/>
      <c r="L209" s="17"/>
      <c r="M209" s="17"/>
      <c r="N209" s="18"/>
      <c r="O209" s="16" t="s">
        <v>83</v>
      </c>
      <c r="P209" s="18"/>
    </row>
    <row r="210" spans="1:16" ht="26.25" customHeight="1">
      <c r="A210" s="10">
        <v>209</v>
      </c>
      <c r="B210" s="10">
        <v>31</v>
      </c>
      <c r="C210" s="10">
        <v>153</v>
      </c>
      <c r="D210" s="11" t="s">
        <v>4717</v>
      </c>
      <c r="E210" s="12" t="s">
        <v>4718</v>
      </c>
      <c r="F210" s="11" t="s">
        <v>4719</v>
      </c>
      <c r="G210" s="10"/>
      <c r="H210" s="13" t="s">
        <v>4720</v>
      </c>
      <c r="I210" s="16" t="s">
        <v>82</v>
      </c>
      <c r="J210" s="17"/>
      <c r="K210" s="17"/>
      <c r="L210" s="17"/>
      <c r="M210" s="17"/>
      <c r="N210" s="18"/>
      <c r="O210" s="16" t="s">
        <v>83</v>
      </c>
      <c r="P210" s="18"/>
    </row>
    <row r="211" spans="1:16" ht="26.25" customHeight="1">
      <c r="A211" s="10">
        <v>210</v>
      </c>
      <c r="B211" s="10">
        <v>31</v>
      </c>
      <c r="C211" s="10">
        <v>154</v>
      </c>
      <c r="D211" s="11" t="s">
        <v>4718</v>
      </c>
      <c r="E211" s="19" t="s">
        <v>4719</v>
      </c>
      <c r="F211" s="11" t="s">
        <v>4721</v>
      </c>
      <c r="G211" s="10" t="s">
        <v>160</v>
      </c>
      <c r="H211" s="13" t="s">
        <v>4722</v>
      </c>
      <c r="I211" s="16" t="s">
        <v>82</v>
      </c>
      <c r="J211" s="17"/>
      <c r="K211" s="17"/>
      <c r="L211" s="17"/>
      <c r="M211" s="17"/>
      <c r="N211" s="18"/>
      <c r="O211" s="16" t="s">
        <v>83</v>
      </c>
      <c r="P211" s="18"/>
    </row>
    <row r="212" spans="1:16" ht="26.25" customHeight="1">
      <c r="A212" s="10">
        <v>211</v>
      </c>
      <c r="B212" s="10">
        <v>31</v>
      </c>
      <c r="C212" s="10">
        <v>155</v>
      </c>
      <c r="D212" s="11" t="s">
        <v>4719</v>
      </c>
      <c r="E212" s="12" t="s">
        <v>4721</v>
      </c>
      <c r="F212" s="11" t="s">
        <v>4723</v>
      </c>
      <c r="G212" s="10"/>
      <c r="H212" s="13" t="s">
        <v>4724</v>
      </c>
      <c r="I212" s="16" t="s">
        <v>82</v>
      </c>
      <c r="J212" s="17"/>
      <c r="K212" s="17"/>
      <c r="L212" s="17"/>
      <c r="M212" s="17"/>
      <c r="N212" s="18"/>
      <c r="O212" s="16" t="s">
        <v>83</v>
      </c>
      <c r="P212" s="18"/>
    </row>
    <row r="213" spans="1:16" ht="16.5" customHeight="1">
      <c r="A213" s="10">
        <v>212</v>
      </c>
      <c r="B213" s="10">
        <v>31</v>
      </c>
      <c r="C213" s="10">
        <v>174</v>
      </c>
      <c r="D213" s="11" t="s">
        <v>4725</v>
      </c>
      <c r="E213" s="12" t="s">
        <v>4726</v>
      </c>
      <c r="F213" s="11" t="s">
        <v>4727</v>
      </c>
      <c r="G213" s="10"/>
      <c r="H213" s="13" t="s">
        <v>4728</v>
      </c>
      <c r="I213" s="16" t="s">
        <v>82</v>
      </c>
      <c r="J213" s="17"/>
      <c r="K213" s="17"/>
      <c r="L213" s="17"/>
      <c r="M213" s="17"/>
      <c r="N213" s="18"/>
      <c r="O213" s="16" t="s">
        <v>83</v>
      </c>
      <c r="P213" s="18"/>
    </row>
    <row r="214" spans="1:16" ht="16.5" customHeight="1">
      <c r="A214" s="10">
        <v>213</v>
      </c>
      <c r="B214" s="10">
        <v>31</v>
      </c>
      <c r="C214" s="10">
        <v>175</v>
      </c>
      <c r="D214" s="11" t="s">
        <v>4726</v>
      </c>
      <c r="E214" s="19" t="s">
        <v>4727</v>
      </c>
      <c r="F214" s="11" t="s">
        <v>4729</v>
      </c>
      <c r="G214" s="10" t="s">
        <v>569</v>
      </c>
      <c r="H214" s="13" t="s">
        <v>4730</v>
      </c>
      <c r="I214" s="16" t="s">
        <v>82</v>
      </c>
      <c r="J214" s="17"/>
      <c r="K214" s="17"/>
      <c r="L214" s="17"/>
      <c r="M214" s="17"/>
      <c r="N214" s="18"/>
      <c r="O214" s="16" t="s">
        <v>83</v>
      </c>
      <c r="P214" s="18"/>
    </row>
    <row r="215" spans="1:16" ht="16.5" customHeight="1">
      <c r="A215" s="10">
        <v>214</v>
      </c>
      <c r="B215" s="10">
        <v>31</v>
      </c>
      <c r="C215" s="10">
        <v>176</v>
      </c>
      <c r="D215" s="11" t="s">
        <v>4727</v>
      </c>
      <c r="E215" s="12" t="s">
        <v>4729</v>
      </c>
      <c r="F215" s="11" t="s">
        <v>4731</v>
      </c>
      <c r="G215" s="10"/>
      <c r="H215" s="13" t="s">
        <v>4732</v>
      </c>
      <c r="I215" s="16" t="s">
        <v>82</v>
      </c>
      <c r="J215" s="17"/>
      <c r="K215" s="17"/>
      <c r="L215" s="17"/>
      <c r="M215" s="17"/>
      <c r="N215" s="18"/>
      <c r="O215" s="16" t="s">
        <v>83</v>
      </c>
      <c r="P215" s="18"/>
    </row>
    <row r="216" spans="1:16" ht="26.25" customHeight="1">
      <c r="A216" s="10">
        <v>215</v>
      </c>
      <c r="B216" s="10">
        <v>31</v>
      </c>
      <c r="C216" s="10">
        <v>247</v>
      </c>
      <c r="D216" s="11" t="s">
        <v>4733</v>
      </c>
      <c r="E216" s="12" t="s">
        <v>4734</v>
      </c>
      <c r="F216" s="11" t="s">
        <v>4735</v>
      </c>
      <c r="G216" s="10"/>
      <c r="H216" s="13" t="s">
        <v>4736</v>
      </c>
      <c r="I216" s="16" t="s">
        <v>82</v>
      </c>
      <c r="J216" s="17"/>
      <c r="K216" s="17"/>
      <c r="L216" s="17"/>
      <c r="M216" s="17"/>
      <c r="N216" s="18"/>
      <c r="O216" s="16" t="s">
        <v>83</v>
      </c>
      <c r="P216" s="18"/>
    </row>
    <row r="217" spans="1:16" ht="16.5" customHeight="1">
      <c r="A217" s="10">
        <v>216</v>
      </c>
      <c r="B217" s="10">
        <v>31</v>
      </c>
      <c r="C217" s="10">
        <v>248</v>
      </c>
      <c r="D217" s="11" t="s">
        <v>4734</v>
      </c>
      <c r="E217" s="19" t="s">
        <v>4735</v>
      </c>
      <c r="F217" s="11" t="s">
        <v>4737</v>
      </c>
      <c r="G217" s="10" t="s">
        <v>2920</v>
      </c>
      <c r="H217" s="13" t="s">
        <v>4738</v>
      </c>
      <c r="I217" s="16" t="s">
        <v>82</v>
      </c>
      <c r="J217" s="17"/>
      <c r="K217" s="17"/>
      <c r="L217" s="17"/>
      <c r="M217" s="17"/>
      <c r="N217" s="18"/>
      <c r="O217" s="16" t="s">
        <v>83</v>
      </c>
      <c r="P217" s="18"/>
    </row>
    <row r="218" spans="1:16" ht="16.5" customHeight="1">
      <c r="A218" s="10">
        <v>217</v>
      </c>
      <c r="B218" s="10">
        <v>31</v>
      </c>
      <c r="C218" s="10">
        <v>249</v>
      </c>
      <c r="D218" s="11" t="s">
        <v>4735</v>
      </c>
      <c r="E218" s="12" t="s">
        <v>4737</v>
      </c>
      <c r="F218" s="11" t="s">
        <v>4739</v>
      </c>
      <c r="G218" s="10"/>
      <c r="H218" s="13" t="s">
        <v>4740</v>
      </c>
      <c r="I218" s="16" t="s">
        <v>82</v>
      </c>
      <c r="J218" s="17"/>
      <c r="K218" s="17"/>
      <c r="L218" s="17"/>
      <c r="M218" s="17"/>
      <c r="N218" s="18"/>
      <c r="O218" s="16" t="s">
        <v>83</v>
      </c>
      <c r="P218" s="18"/>
    </row>
    <row r="219" spans="1:16" ht="16.5" customHeight="1">
      <c r="A219" s="10">
        <v>218</v>
      </c>
      <c r="B219" s="10">
        <v>31</v>
      </c>
      <c r="C219" s="10">
        <v>250</v>
      </c>
      <c r="D219" s="11" t="s">
        <v>4737</v>
      </c>
      <c r="E219" s="12" t="s">
        <v>4739</v>
      </c>
      <c r="F219" s="11" t="s">
        <v>4741</v>
      </c>
      <c r="G219" s="10"/>
      <c r="H219" s="13" t="s">
        <v>4742</v>
      </c>
      <c r="I219" s="16" t="s">
        <v>82</v>
      </c>
      <c r="J219" s="17"/>
      <c r="K219" s="17"/>
      <c r="L219" s="17"/>
      <c r="M219" s="17"/>
      <c r="N219" s="18"/>
      <c r="O219" s="16" t="s">
        <v>83</v>
      </c>
      <c r="P219" s="18"/>
    </row>
    <row r="220" spans="1:16" ht="26.25" customHeight="1">
      <c r="A220" s="10">
        <v>219</v>
      </c>
      <c r="B220" s="10">
        <v>31</v>
      </c>
      <c r="C220" s="10">
        <v>251</v>
      </c>
      <c r="D220" s="11" t="s">
        <v>4739</v>
      </c>
      <c r="E220" s="19" t="s">
        <v>4741</v>
      </c>
      <c r="F220" s="11" t="s">
        <v>4743</v>
      </c>
      <c r="G220" s="10" t="s">
        <v>4518</v>
      </c>
      <c r="H220" s="13" t="s">
        <v>4744</v>
      </c>
      <c r="I220" s="16" t="s">
        <v>82</v>
      </c>
      <c r="J220" s="17"/>
      <c r="K220" s="17"/>
      <c r="L220" s="17"/>
      <c r="M220" s="17"/>
      <c r="N220" s="18"/>
      <c r="O220" s="16" t="s">
        <v>83</v>
      </c>
      <c r="P220" s="18"/>
    </row>
    <row r="221" spans="1:16" ht="16.5" customHeight="1">
      <c r="A221" s="10">
        <v>220</v>
      </c>
      <c r="B221" s="10">
        <v>31</v>
      </c>
      <c r="C221" s="10">
        <v>252</v>
      </c>
      <c r="D221" s="11" t="s">
        <v>4741</v>
      </c>
      <c r="E221" s="12" t="s">
        <v>4743</v>
      </c>
      <c r="F221" s="11" t="s">
        <v>4745</v>
      </c>
      <c r="G221" s="10"/>
      <c r="H221" s="13" t="s">
        <v>4746</v>
      </c>
      <c r="I221" s="16" t="s">
        <v>82</v>
      </c>
      <c r="J221" s="17"/>
      <c r="K221" s="17"/>
      <c r="L221" s="17"/>
      <c r="M221" s="17"/>
      <c r="N221" s="18"/>
      <c r="O221" s="16" t="s">
        <v>83</v>
      </c>
      <c r="P221" s="18"/>
    </row>
    <row r="222" spans="1:16" ht="16.5" customHeight="1">
      <c r="A222" s="10">
        <v>221</v>
      </c>
      <c r="B222" s="10">
        <v>31</v>
      </c>
      <c r="C222" s="10">
        <v>253</v>
      </c>
      <c r="D222" s="11" t="s">
        <v>4743</v>
      </c>
      <c r="E222" s="12" t="s">
        <v>4745</v>
      </c>
      <c r="F222" s="11" t="s">
        <v>4747</v>
      </c>
      <c r="G222" s="10"/>
      <c r="H222" s="13" t="s">
        <v>2655</v>
      </c>
      <c r="I222" s="16" t="s">
        <v>82</v>
      </c>
      <c r="J222" s="17"/>
      <c r="K222" s="17"/>
      <c r="L222" s="17"/>
      <c r="M222" s="17"/>
      <c r="N222" s="18"/>
      <c r="O222" s="16" t="s">
        <v>83</v>
      </c>
      <c r="P222" s="18"/>
    </row>
    <row r="223" spans="1:16" ht="16.5" customHeight="1">
      <c r="A223" s="10">
        <v>222</v>
      </c>
      <c r="B223" s="10">
        <v>31</v>
      </c>
      <c r="C223" s="10">
        <v>254</v>
      </c>
      <c r="D223" s="11" t="s">
        <v>4745</v>
      </c>
      <c r="E223" s="19" t="s">
        <v>4747</v>
      </c>
      <c r="F223" s="11" t="s">
        <v>4748</v>
      </c>
      <c r="G223" s="10" t="s">
        <v>4518</v>
      </c>
      <c r="H223" s="13" t="s">
        <v>4749</v>
      </c>
      <c r="I223" s="16" t="s">
        <v>82</v>
      </c>
      <c r="J223" s="17"/>
      <c r="K223" s="17"/>
      <c r="L223" s="17"/>
      <c r="M223" s="17"/>
      <c r="N223" s="18"/>
      <c r="O223" s="16" t="s">
        <v>83</v>
      </c>
      <c r="P223" s="18"/>
    </row>
    <row r="224" spans="1:16" ht="16.5" customHeight="1">
      <c r="A224" s="10">
        <v>223</v>
      </c>
      <c r="B224" s="10">
        <v>31</v>
      </c>
      <c r="C224" s="10">
        <v>255</v>
      </c>
      <c r="D224" s="11" t="s">
        <v>4747</v>
      </c>
      <c r="E224" s="12" t="s">
        <v>4748</v>
      </c>
      <c r="F224" s="11" t="s">
        <v>4750</v>
      </c>
      <c r="G224" s="10"/>
      <c r="H224" s="13" t="s">
        <v>4751</v>
      </c>
      <c r="I224" s="16" t="s">
        <v>82</v>
      </c>
      <c r="J224" s="17"/>
      <c r="K224" s="17"/>
      <c r="L224" s="17"/>
      <c r="M224" s="17"/>
      <c r="N224" s="18"/>
      <c r="O224" s="16" t="s">
        <v>83</v>
      </c>
      <c r="P224" s="18"/>
    </row>
    <row r="225" spans="1:16" ht="16.5" customHeight="1">
      <c r="A225" s="10">
        <v>224</v>
      </c>
      <c r="B225" s="10">
        <v>31</v>
      </c>
      <c r="C225" s="10">
        <v>260</v>
      </c>
      <c r="D225" s="11" t="s">
        <v>4752</v>
      </c>
      <c r="E225" s="12" t="s">
        <v>4753</v>
      </c>
      <c r="F225" s="11" t="s">
        <v>4754</v>
      </c>
      <c r="G225" s="10"/>
      <c r="H225" s="13" t="s">
        <v>4755</v>
      </c>
      <c r="I225" s="16" t="s">
        <v>82</v>
      </c>
      <c r="J225" s="17"/>
      <c r="K225" s="17"/>
      <c r="L225" s="17"/>
      <c r="M225" s="17"/>
      <c r="N225" s="18"/>
      <c r="O225" s="16" t="s">
        <v>83</v>
      </c>
      <c r="P225" s="18"/>
    </row>
    <row r="226" spans="1:16" ht="16.5" customHeight="1">
      <c r="A226" s="10">
        <v>225</v>
      </c>
      <c r="B226" s="10">
        <v>31</v>
      </c>
      <c r="C226" s="10">
        <v>261</v>
      </c>
      <c r="D226" s="11" t="s">
        <v>4753</v>
      </c>
      <c r="E226" s="19" t="s">
        <v>4754</v>
      </c>
      <c r="F226" s="11" t="s">
        <v>4756</v>
      </c>
      <c r="G226" s="10" t="s">
        <v>106</v>
      </c>
      <c r="H226" s="13" t="s">
        <v>4757</v>
      </c>
      <c r="I226" s="16" t="s">
        <v>82</v>
      </c>
      <c r="J226" s="17"/>
      <c r="K226" s="17"/>
      <c r="L226" s="17"/>
      <c r="M226" s="17"/>
      <c r="N226" s="18"/>
      <c r="O226" s="16" t="s">
        <v>83</v>
      </c>
      <c r="P226" s="18"/>
    </row>
    <row r="227" spans="1:16" ht="16.5" customHeight="1">
      <c r="A227" s="10">
        <v>226</v>
      </c>
      <c r="B227" s="10">
        <v>31</v>
      </c>
      <c r="C227" s="10">
        <v>262</v>
      </c>
      <c r="D227" s="11" t="s">
        <v>4754</v>
      </c>
      <c r="E227" s="12" t="s">
        <v>4756</v>
      </c>
      <c r="F227" s="11" t="s">
        <v>4758</v>
      </c>
      <c r="G227" s="10"/>
      <c r="H227" s="13" t="s">
        <v>4759</v>
      </c>
      <c r="I227" s="16" t="s">
        <v>82</v>
      </c>
      <c r="J227" s="17"/>
      <c r="K227" s="17"/>
      <c r="L227" s="17"/>
      <c r="M227" s="17"/>
      <c r="N227" s="18"/>
      <c r="O227" s="16" t="s">
        <v>83</v>
      </c>
      <c r="P227" s="18"/>
    </row>
    <row r="228" spans="1:16" ht="26.25" customHeight="1">
      <c r="A228" s="10">
        <v>227</v>
      </c>
      <c r="B228" s="10">
        <v>32</v>
      </c>
      <c r="C228" s="10">
        <v>38</v>
      </c>
      <c r="D228" s="11" t="s">
        <v>4760</v>
      </c>
      <c r="E228" s="12" t="s">
        <v>4761</v>
      </c>
      <c r="F228" s="11" t="s">
        <v>4762</v>
      </c>
      <c r="G228" s="10"/>
      <c r="H228" s="13" t="s">
        <v>4763</v>
      </c>
      <c r="I228" s="16" t="s">
        <v>89</v>
      </c>
      <c r="J228" s="17" t="s">
        <v>90</v>
      </c>
      <c r="K228" s="17" t="s">
        <v>3814</v>
      </c>
      <c r="L228" s="17" t="s">
        <v>4764</v>
      </c>
      <c r="M228" s="17" t="s">
        <v>4765</v>
      </c>
      <c r="N228" s="18" t="s">
        <v>4766</v>
      </c>
      <c r="O228" s="16" t="s">
        <v>83</v>
      </c>
      <c r="P228" s="18"/>
    </row>
    <row r="229" spans="1:16" ht="26.25" customHeight="1">
      <c r="A229" s="10">
        <v>228</v>
      </c>
      <c r="B229" s="10">
        <v>32</v>
      </c>
      <c r="C229" s="10">
        <v>39</v>
      </c>
      <c r="D229" s="11" t="s">
        <v>4761</v>
      </c>
      <c r="E229" s="19" t="s">
        <v>4762</v>
      </c>
      <c r="F229" s="11" t="s">
        <v>4767</v>
      </c>
      <c r="G229" s="10" t="s">
        <v>3493</v>
      </c>
      <c r="H229" s="13" t="s">
        <v>4768</v>
      </c>
      <c r="I229" s="16" t="s">
        <v>82</v>
      </c>
      <c r="J229" s="17"/>
      <c r="K229" s="17"/>
      <c r="L229" s="17"/>
      <c r="M229" s="17"/>
      <c r="N229" s="18"/>
      <c r="O229" s="16" t="s">
        <v>83</v>
      </c>
      <c r="P229" s="18"/>
    </row>
    <row r="230" spans="1:16" ht="16.5" customHeight="1">
      <c r="A230" s="10">
        <v>229</v>
      </c>
      <c r="B230" s="10">
        <v>32</v>
      </c>
      <c r="C230" s="10">
        <v>40</v>
      </c>
      <c r="D230" s="11" t="s">
        <v>4762</v>
      </c>
      <c r="E230" s="12" t="s">
        <v>4767</v>
      </c>
      <c r="F230" s="11" t="s">
        <v>4769</v>
      </c>
      <c r="G230" s="10"/>
      <c r="H230" s="13" t="s">
        <v>4770</v>
      </c>
      <c r="I230" s="16" t="s">
        <v>82</v>
      </c>
      <c r="J230" s="17"/>
      <c r="K230" s="17"/>
      <c r="L230" s="17"/>
      <c r="M230" s="17"/>
      <c r="N230" s="18"/>
      <c r="O230" s="16" t="s">
        <v>83</v>
      </c>
      <c r="P230" s="18"/>
    </row>
    <row r="231" spans="1:16" ht="16.5" customHeight="1">
      <c r="A231" s="10">
        <v>230</v>
      </c>
      <c r="B231" s="10">
        <v>32</v>
      </c>
      <c r="C231" s="10">
        <v>54</v>
      </c>
      <c r="D231" s="11" t="s">
        <v>4771</v>
      </c>
      <c r="E231" s="12" t="s">
        <v>4772</v>
      </c>
      <c r="F231" s="11" t="s">
        <v>4773</v>
      </c>
      <c r="G231" s="10"/>
      <c r="H231" s="13" t="s">
        <v>4774</v>
      </c>
      <c r="I231" s="16" t="s">
        <v>82</v>
      </c>
      <c r="J231" s="17"/>
      <c r="K231" s="17"/>
      <c r="L231" s="17"/>
      <c r="M231" s="17"/>
      <c r="N231" s="18"/>
      <c r="O231" s="16" t="s">
        <v>83</v>
      </c>
      <c r="P231" s="18"/>
    </row>
    <row r="232" spans="1:16" ht="16.5" customHeight="1">
      <c r="A232" s="10">
        <v>231</v>
      </c>
      <c r="B232" s="10">
        <v>32</v>
      </c>
      <c r="C232" s="10">
        <v>55</v>
      </c>
      <c r="D232" s="11" t="s">
        <v>4772</v>
      </c>
      <c r="E232" s="19" t="s">
        <v>4773</v>
      </c>
      <c r="F232" s="11" t="s">
        <v>4775</v>
      </c>
      <c r="G232" s="10" t="s">
        <v>106</v>
      </c>
      <c r="H232" s="13" t="s">
        <v>4776</v>
      </c>
      <c r="I232" s="16" t="s">
        <v>82</v>
      </c>
      <c r="J232" s="17"/>
      <c r="K232" s="17"/>
      <c r="L232" s="17"/>
      <c r="M232" s="17"/>
      <c r="N232" s="18"/>
      <c r="O232" s="16" t="s">
        <v>83</v>
      </c>
      <c r="P232" s="18"/>
    </row>
    <row r="233" spans="1:16" ht="16.5" customHeight="1">
      <c r="A233" s="10">
        <v>232</v>
      </c>
      <c r="B233" s="10">
        <v>32</v>
      </c>
      <c r="C233" s="10">
        <v>56</v>
      </c>
      <c r="D233" s="11" t="s">
        <v>4773</v>
      </c>
      <c r="E233" s="12" t="s">
        <v>4775</v>
      </c>
      <c r="F233" s="11" t="s">
        <v>4626</v>
      </c>
      <c r="G233" s="10"/>
      <c r="H233" s="13" t="s">
        <v>4759</v>
      </c>
      <c r="I233" s="16" t="s">
        <v>82</v>
      </c>
      <c r="J233" s="17"/>
      <c r="K233" s="17"/>
      <c r="L233" s="17"/>
      <c r="M233" s="17"/>
      <c r="N233" s="18"/>
      <c r="O233" s="16" t="s">
        <v>83</v>
      </c>
      <c r="P233" s="18"/>
    </row>
    <row r="234" spans="1:16" ht="16.5" customHeight="1">
      <c r="A234" s="10">
        <v>233</v>
      </c>
      <c r="B234" s="10">
        <v>32</v>
      </c>
      <c r="C234" s="10">
        <v>65</v>
      </c>
      <c r="D234" s="11" t="s">
        <v>4777</v>
      </c>
      <c r="E234" s="12" t="s">
        <v>4778</v>
      </c>
      <c r="F234" s="11" t="s">
        <v>4779</v>
      </c>
      <c r="G234" s="10"/>
      <c r="H234" s="13" t="s">
        <v>4780</v>
      </c>
      <c r="I234" s="16" t="s">
        <v>82</v>
      </c>
      <c r="J234" s="17"/>
      <c r="K234" s="17"/>
      <c r="L234" s="17"/>
      <c r="M234" s="17"/>
      <c r="N234" s="18"/>
      <c r="O234" s="16" t="s">
        <v>83</v>
      </c>
      <c r="P234" s="18"/>
    </row>
    <row r="235" spans="1:16" ht="26.25" customHeight="1">
      <c r="A235" s="10">
        <v>234</v>
      </c>
      <c r="B235" s="10">
        <v>32</v>
      </c>
      <c r="C235" s="10">
        <v>66</v>
      </c>
      <c r="D235" s="11" t="s">
        <v>4778</v>
      </c>
      <c r="E235" s="19" t="s">
        <v>4779</v>
      </c>
      <c r="F235" s="11" t="s">
        <v>4781</v>
      </c>
      <c r="G235" s="10" t="s">
        <v>338</v>
      </c>
      <c r="H235" s="13" t="s">
        <v>4782</v>
      </c>
      <c r="I235" s="16" t="s">
        <v>82</v>
      </c>
      <c r="J235" s="17"/>
      <c r="K235" s="17"/>
      <c r="L235" s="17"/>
      <c r="M235" s="17"/>
      <c r="N235" s="18"/>
      <c r="O235" s="16" t="s">
        <v>83</v>
      </c>
      <c r="P235" s="18"/>
    </row>
    <row r="236" spans="1:16" ht="16.5" customHeight="1">
      <c r="A236" s="10">
        <v>235</v>
      </c>
      <c r="B236" s="10">
        <v>32</v>
      </c>
      <c r="C236" s="10">
        <v>67</v>
      </c>
      <c r="D236" s="11" t="s">
        <v>4779</v>
      </c>
      <c r="E236" s="12" t="s">
        <v>4781</v>
      </c>
      <c r="F236" s="11" t="s">
        <v>4783</v>
      </c>
      <c r="G236" s="10"/>
      <c r="H236" s="13" t="s">
        <v>4784</v>
      </c>
      <c r="I236" s="16" t="s">
        <v>82</v>
      </c>
      <c r="J236" s="17"/>
      <c r="K236" s="17"/>
      <c r="L236" s="17"/>
      <c r="M236" s="17"/>
      <c r="N236" s="18"/>
      <c r="O236" s="16" t="s">
        <v>83</v>
      </c>
      <c r="P236" s="18"/>
    </row>
    <row r="237" spans="1:16" ht="16.5" customHeight="1">
      <c r="A237" s="10">
        <v>236</v>
      </c>
      <c r="B237" s="10">
        <v>32</v>
      </c>
      <c r="C237" s="10">
        <v>68</v>
      </c>
      <c r="D237" s="11" t="s">
        <v>4781</v>
      </c>
      <c r="E237" s="19" t="s">
        <v>4783</v>
      </c>
      <c r="F237" s="11" t="s">
        <v>4785</v>
      </c>
      <c r="G237" s="10" t="s">
        <v>4635</v>
      </c>
      <c r="H237" s="13" t="s">
        <v>4786</v>
      </c>
      <c r="I237" s="16" t="s">
        <v>82</v>
      </c>
      <c r="J237" s="17"/>
      <c r="K237" s="17"/>
      <c r="L237" s="17"/>
      <c r="M237" s="17"/>
      <c r="N237" s="18"/>
      <c r="O237" s="16" t="s">
        <v>83</v>
      </c>
      <c r="P237" s="18"/>
    </row>
    <row r="238" spans="1:16" ht="16.5" customHeight="1">
      <c r="A238" s="10">
        <v>237</v>
      </c>
      <c r="B238" s="10">
        <v>32</v>
      </c>
      <c r="C238" s="10">
        <v>69</v>
      </c>
      <c r="D238" s="11" t="s">
        <v>4783</v>
      </c>
      <c r="E238" s="12" t="s">
        <v>4785</v>
      </c>
      <c r="F238" s="11" t="s">
        <v>4787</v>
      </c>
      <c r="G238" s="10"/>
      <c r="H238" s="13" t="s">
        <v>4788</v>
      </c>
      <c r="I238" s="16" t="s">
        <v>82</v>
      </c>
      <c r="J238" s="17"/>
      <c r="K238" s="17"/>
      <c r="L238" s="17"/>
      <c r="M238" s="17"/>
      <c r="N238" s="18"/>
      <c r="O238" s="16" t="s">
        <v>83</v>
      </c>
      <c r="P238" s="18"/>
    </row>
    <row r="239" spans="1:16" ht="16.5" customHeight="1">
      <c r="A239" s="10">
        <v>238</v>
      </c>
      <c r="B239" s="10">
        <v>32</v>
      </c>
      <c r="C239" s="10">
        <v>72</v>
      </c>
      <c r="D239" s="11" t="s">
        <v>4789</v>
      </c>
      <c r="E239" s="12" t="s">
        <v>4790</v>
      </c>
      <c r="F239" s="11" t="s">
        <v>4791</v>
      </c>
      <c r="G239" s="10"/>
      <c r="H239" s="13" t="s">
        <v>4792</v>
      </c>
      <c r="I239" s="16" t="s">
        <v>82</v>
      </c>
      <c r="J239" s="17"/>
      <c r="K239" s="17"/>
      <c r="L239" s="17"/>
      <c r="M239" s="17"/>
      <c r="N239" s="18"/>
      <c r="O239" s="16" t="s">
        <v>83</v>
      </c>
      <c r="P239" s="18"/>
    </row>
    <row r="240" spans="1:16" ht="16.5" customHeight="1">
      <c r="A240" s="10">
        <v>239</v>
      </c>
      <c r="B240" s="10">
        <v>32</v>
      </c>
      <c r="C240" s="10">
        <v>73</v>
      </c>
      <c r="D240" s="11" t="s">
        <v>4790</v>
      </c>
      <c r="E240" s="19" t="s">
        <v>4791</v>
      </c>
      <c r="F240" s="11" t="s">
        <v>4793</v>
      </c>
      <c r="G240" s="10" t="s">
        <v>338</v>
      </c>
      <c r="H240" s="13" t="s">
        <v>4794</v>
      </c>
      <c r="I240" s="16" t="s">
        <v>82</v>
      </c>
      <c r="J240" s="17"/>
      <c r="K240" s="17"/>
      <c r="L240" s="17"/>
      <c r="M240" s="17"/>
      <c r="N240" s="18"/>
      <c r="O240" s="16" t="s">
        <v>83</v>
      </c>
      <c r="P240" s="18"/>
    </row>
    <row r="241" spans="1:16" ht="26.25" customHeight="1">
      <c r="A241" s="10">
        <v>240</v>
      </c>
      <c r="B241" s="10">
        <v>32</v>
      </c>
      <c r="C241" s="10">
        <v>74</v>
      </c>
      <c r="D241" s="11" t="s">
        <v>4791</v>
      </c>
      <c r="E241" s="12" t="s">
        <v>4793</v>
      </c>
      <c r="F241" s="11" t="s">
        <v>4795</v>
      </c>
      <c r="G241" s="10"/>
      <c r="H241" s="13" t="s">
        <v>4796</v>
      </c>
      <c r="I241" s="16" t="s">
        <v>82</v>
      </c>
      <c r="J241" s="17"/>
      <c r="K241" s="17"/>
      <c r="L241" s="17"/>
      <c r="M241" s="17"/>
      <c r="N241" s="18"/>
      <c r="O241" s="16" t="s">
        <v>83</v>
      </c>
      <c r="P241" s="18"/>
    </row>
    <row r="242" spans="1:16" ht="26.25" customHeight="1">
      <c r="A242" s="10">
        <v>241</v>
      </c>
      <c r="B242" s="10">
        <v>32</v>
      </c>
      <c r="C242" s="10">
        <v>75</v>
      </c>
      <c r="D242" s="11" t="s">
        <v>4793</v>
      </c>
      <c r="E242" s="19" t="s">
        <v>4795</v>
      </c>
      <c r="F242" s="11" t="s">
        <v>4797</v>
      </c>
      <c r="G242" s="10" t="s">
        <v>1957</v>
      </c>
      <c r="H242" s="13" t="s">
        <v>4798</v>
      </c>
      <c r="I242" s="16" t="s">
        <v>89</v>
      </c>
      <c r="J242" s="17" t="s">
        <v>342</v>
      </c>
      <c r="K242" s="17" t="s">
        <v>91</v>
      </c>
      <c r="L242" s="17" t="s">
        <v>4799</v>
      </c>
      <c r="M242" s="17" t="s">
        <v>4800</v>
      </c>
      <c r="N242" s="18" t="s">
        <v>4801</v>
      </c>
      <c r="O242" s="16" t="s">
        <v>83</v>
      </c>
      <c r="P242" s="18"/>
    </row>
    <row r="243" spans="1:16" ht="16.5" customHeight="1">
      <c r="A243" s="10">
        <v>242</v>
      </c>
      <c r="B243" s="10">
        <v>32</v>
      </c>
      <c r="C243" s="10">
        <v>76</v>
      </c>
      <c r="D243" s="11" t="s">
        <v>4795</v>
      </c>
      <c r="E243" s="12" t="s">
        <v>4797</v>
      </c>
      <c r="F243" s="11" t="s">
        <v>4802</v>
      </c>
      <c r="G243" s="10"/>
      <c r="H243" s="13" t="s">
        <v>4803</v>
      </c>
      <c r="I243" s="16" t="s">
        <v>82</v>
      </c>
      <c r="J243" s="17"/>
      <c r="K243" s="17"/>
      <c r="L243" s="17"/>
      <c r="M243" s="17"/>
      <c r="N243" s="18"/>
      <c r="O243" s="16" t="s">
        <v>83</v>
      </c>
      <c r="P243" s="18"/>
    </row>
    <row r="244" spans="1:16" ht="16.5" customHeight="1">
      <c r="A244" s="10">
        <v>243</v>
      </c>
      <c r="B244" s="10">
        <v>32</v>
      </c>
      <c r="C244" s="10">
        <v>82</v>
      </c>
      <c r="D244" s="11" t="s">
        <v>4804</v>
      </c>
      <c r="E244" s="12" t="s">
        <v>4805</v>
      </c>
      <c r="F244" s="11" t="s">
        <v>4806</v>
      </c>
      <c r="G244" s="10"/>
      <c r="H244" s="13" t="s">
        <v>4807</v>
      </c>
      <c r="I244" s="16" t="s">
        <v>82</v>
      </c>
      <c r="J244" s="17"/>
      <c r="K244" s="17"/>
      <c r="L244" s="17"/>
      <c r="M244" s="17"/>
      <c r="N244" s="18"/>
      <c r="O244" s="16" t="s">
        <v>83</v>
      </c>
      <c r="P244" s="18"/>
    </row>
    <row r="245" spans="1:16" ht="16.5" customHeight="1">
      <c r="A245" s="10">
        <v>244</v>
      </c>
      <c r="B245" s="10">
        <v>32</v>
      </c>
      <c r="C245" s="10">
        <v>83</v>
      </c>
      <c r="D245" s="11" t="s">
        <v>4805</v>
      </c>
      <c r="E245" s="19" t="s">
        <v>4806</v>
      </c>
      <c r="F245" s="11" t="s">
        <v>4808</v>
      </c>
      <c r="G245" s="10" t="s">
        <v>4635</v>
      </c>
      <c r="H245" s="13" t="s">
        <v>4809</v>
      </c>
      <c r="I245" s="16" t="s">
        <v>82</v>
      </c>
      <c r="J245" s="17"/>
      <c r="K245" s="17"/>
      <c r="L245" s="17"/>
      <c r="M245" s="17"/>
      <c r="N245" s="18"/>
      <c r="O245" s="16" t="s">
        <v>83</v>
      </c>
      <c r="P245" s="18"/>
    </row>
    <row r="246" spans="1:16" ht="16.5" customHeight="1">
      <c r="A246" s="10">
        <v>245</v>
      </c>
      <c r="B246" s="10">
        <v>32</v>
      </c>
      <c r="C246" s="10">
        <v>84</v>
      </c>
      <c r="D246" s="11" t="s">
        <v>4806</v>
      </c>
      <c r="E246" s="12" t="s">
        <v>4808</v>
      </c>
      <c r="F246" s="11" t="s">
        <v>4810</v>
      </c>
      <c r="G246" s="10"/>
      <c r="H246" s="13" t="s">
        <v>4811</v>
      </c>
      <c r="I246" s="16" t="s">
        <v>89</v>
      </c>
      <c r="J246" s="17" t="s">
        <v>155</v>
      </c>
      <c r="K246" s="17" t="s">
        <v>91</v>
      </c>
      <c r="L246" s="17" t="s">
        <v>4808</v>
      </c>
      <c r="M246" s="17" t="s">
        <v>4812</v>
      </c>
      <c r="N246" s="18" t="s">
        <v>4813</v>
      </c>
      <c r="O246" s="16" t="s">
        <v>113</v>
      </c>
      <c r="P246" s="18"/>
    </row>
    <row r="247" spans="1:16" ht="16.5" customHeight="1">
      <c r="A247" s="10">
        <v>246</v>
      </c>
      <c r="B247" s="10">
        <v>32</v>
      </c>
      <c r="C247" s="10">
        <v>86</v>
      </c>
      <c r="D247" s="11" t="s">
        <v>4810</v>
      </c>
      <c r="E247" s="12" t="s">
        <v>4814</v>
      </c>
      <c r="F247" s="11" t="s">
        <v>4815</v>
      </c>
      <c r="G247" s="10"/>
      <c r="H247" s="13" t="s">
        <v>4816</v>
      </c>
      <c r="I247" s="16" t="s">
        <v>82</v>
      </c>
      <c r="J247" s="17"/>
      <c r="K247" s="17"/>
      <c r="L247" s="17"/>
      <c r="M247" s="17"/>
      <c r="N247" s="18"/>
      <c r="O247" s="16" t="s">
        <v>83</v>
      </c>
      <c r="P247" s="18"/>
    </row>
    <row r="248" spans="1:16" ht="16.5" customHeight="1">
      <c r="A248" s="10">
        <v>247</v>
      </c>
      <c r="B248" s="10">
        <v>32</v>
      </c>
      <c r="C248" s="10">
        <v>87</v>
      </c>
      <c r="D248" s="11" t="s">
        <v>4814</v>
      </c>
      <c r="E248" s="19" t="s">
        <v>4815</v>
      </c>
      <c r="F248" s="11" t="s">
        <v>4817</v>
      </c>
      <c r="G248" s="10" t="s">
        <v>106</v>
      </c>
      <c r="H248" s="13" t="s">
        <v>4818</v>
      </c>
      <c r="I248" s="16" t="s">
        <v>82</v>
      </c>
      <c r="J248" s="17"/>
      <c r="K248" s="17"/>
      <c r="L248" s="17"/>
      <c r="M248" s="17"/>
      <c r="N248" s="18"/>
      <c r="O248" s="16" t="s">
        <v>83</v>
      </c>
      <c r="P248" s="18"/>
    </row>
    <row r="249" spans="1:16" ht="16.5" customHeight="1">
      <c r="A249" s="10">
        <v>248</v>
      </c>
      <c r="B249" s="10">
        <v>32</v>
      </c>
      <c r="C249" s="10">
        <v>88</v>
      </c>
      <c r="D249" s="11" t="s">
        <v>4815</v>
      </c>
      <c r="E249" s="12" t="s">
        <v>4817</v>
      </c>
      <c r="F249" s="11" t="s">
        <v>4819</v>
      </c>
      <c r="G249" s="10"/>
      <c r="H249" s="13" t="s">
        <v>4820</v>
      </c>
      <c r="I249" s="16" t="s">
        <v>82</v>
      </c>
      <c r="J249" s="17"/>
      <c r="K249" s="17"/>
      <c r="L249" s="17"/>
      <c r="M249" s="17"/>
      <c r="N249" s="18"/>
      <c r="O249" s="16" t="s">
        <v>83</v>
      </c>
      <c r="P249" s="18"/>
    </row>
    <row r="250" spans="1:16" ht="16.5" customHeight="1">
      <c r="A250" s="10">
        <v>249</v>
      </c>
      <c r="B250" s="10">
        <v>32</v>
      </c>
      <c r="C250" s="10">
        <v>113</v>
      </c>
      <c r="D250" s="11" t="s">
        <v>4821</v>
      </c>
      <c r="E250" s="12" t="s">
        <v>4822</v>
      </c>
      <c r="F250" s="11" t="s">
        <v>4823</v>
      </c>
      <c r="G250" s="10"/>
      <c r="H250" s="13" t="s">
        <v>4824</v>
      </c>
      <c r="I250" s="16" t="s">
        <v>82</v>
      </c>
      <c r="J250" s="17"/>
      <c r="K250" s="17"/>
      <c r="L250" s="17"/>
      <c r="M250" s="17"/>
      <c r="N250" s="18"/>
      <c r="O250" s="16" t="s">
        <v>83</v>
      </c>
      <c r="P250" s="18"/>
    </row>
    <row r="251" spans="1:16" ht="16.5" customHeight="1">
      <c r="A251" s="10">
        <v>250</v>
      </c>
      <c r="B251" s="10">
        <v>32</v>
      </c>
      <c r="C251" s="10">
        <v>114</v>
      </c>
      <c r="D251" s="11" t="s">
        <v>4822</v>
      </c>
      <c r="E251" s="19" t="s">
        <v>4823</v>
      </c>
      <c r="F251" s="11" t="s">
        <v>4825</v>
      </c>
      <c r="G251" s="10" t="s">
        <v>540</v>
      </c>
      <c r="H251" s="13" t="s">
        <v>4826</v>
      </c>
      <c r="I251" s="16" t="s">
        <v>82</v>
      </c>
      <c r="J251" s="17"/>
      <c r="K251" s="17"/>
      <c r="L251" s="17"/>
      <c r="M251" s="17"/>
      <c r="N251" s="18"/>
      <c r="O251" s="16" t="s">
        <v>83</v>
      </c>
      <c r="P251" s="18"/>
    </row>
    <row r="252" spans="1:16" ht="16.5" customHeight="1">
      <c r="A252" s="10">
        <v>251</v>
      </c>
      <c r="B252" s="10">
        <v>32</v>
      </c>
      <c r="C252" s="10">
        <v>115</v>
      </c>
      <c r="D252" s="11" t="s">
        <v>4823</v>
      </c>
      <c r="E252" s="12" t="s">
        <v>4825</v>
      </c>
      <c r="F252" s="11" t="s">
        <v>4827</v>
      </c>
      <c r="G252" s="10"/>
      <c r="H252" s="13" t="s">
        <v>4828</v>
      </c>
      <c r="I252" s="16" t="s">
        <v>82</v>
      </c>
      <c r="J252" s="17"/>
      <c r="K252" s="17"/>
      <c r="L252" s="17"/>
      <c r="M252" s="17"/>
      <c r="N252" s="18"/>
      <c r="O252" s="16" t="s">
        <v>83</v>
      </c>
      <c r="P252" s="18"/>
    </row>
    <row r="253" spans="1:16" ht="16.5" customHeight="1">
      <c r="A253" s="10">
        <v>252</v>
      </c>
      <c r="B253" s="10">
        <v>32</v>
      </c>
      <c r="C253" s="10">
        <v>136</v>
      </c>
      <c r="D253" s="11" t="s">
        <v>4829</v>
      </c>
      <c r="E253" s="12" t="s">
        <v>4830</v>
      </c>
      <c r="F253" s="11" t="s">
        <v>4831</v>
      </c>
      <c r="G253" s="10"/>
      <c r="H253" s="13" t="s">
        <v>4832</v>
      </c>
      <c r="I253" s="16" t="s">
        <v>82</v>
      </c>
      <c r="J253" s="17"/>
      <c r="K253" s="17"/>
      <c r="L253" s="17"/>
      <c r="M253" s="17"/>
      <c r="N253" s="18"/>
      <c r="O253" s="16" t="s">
        <v>83</v>
      </c>
      <c r="P253" s="18"/>
    </row>
    <row r="254" spans="1:16" ht="16.5" customHeight="1">
      <c r="A254" s="10">
        <v>253</v>
      </c>
      <c r="B254" s="10">
        <v>32</v>
      </c>
      <c r="C254" s="10">
        <v>137</v>
      </c>
      <c r="D254" s="11" t="s">
        <v>4830</v>
      </c>
      <c r="E254" s="19" t="s">
        <v>4831</v>
      </c>
      <c r="F254" s="11" t="s">
        <v>4833</v>
      </c>
      <c r="G254" s="10" t="s">
        <v>4834</v>
      </c>
      <c r="H254" s="13" t="s">
        <v>4835</v>
      </c>
      <c r="I254" s="16" t="s">
        <v>82</v>
      </c>
      <c r="J254" s="17"/>
      <c r="K254" s="17"/>
      <c r="L254" s="17"/>
      <c r="M254" s="17"/>
      <c r="N254" s="18"/>
      <c r="O254" s="16" t="s">
        <v>83</v>
      </c>
      <c r="P254" s="18"/>
    </row>
    <row r="255" spans="1:16" ht="16.5" customHeight="1">
      <c r="A255" s="10">
        <v>254</v>
      </c>
      <c r="B255" s="10">
        <v>32</v>
      </c>
      <c r="C255" s="10">
        <v>138</v>
      </c>
      <c r="D255" s="11" t="s">
        <v>4831</v>
      </c>
      <c r="E255" s="12" t="s">
        <v>4833</v>
      </c>
      <c r="F255" s="11" t="s">
        <v>4836</v>
      </c>
      <c r="G255" s="10"/>
      <c r="H255" s="13" t="s">
        <v>4837</v>
      </c>
      <c r="I255" s="16" t="s">
        <v>82</v>
      </c>
      <c r="J255" s="17"/>
      <c r="K255" s="17"/>
      <c r="L255" s="17"/>
      <c r="M255" s="17"/>
      <c r="N255" s="18"/>
      <c r="O255" s="16" t="s">
        <v>83</v>
      </c>
      <c r="P255" s="18"/>
    </row>
    <row r="256" spans="1:16" ht="16.5" customHeight="1">
      <c r="A256" s="10">
        <v>255</v>
      </c>
      <c r="B256" s="10">
        <v>33</v>
      </c>
      <c r="C256" s="10">
        <v>55</v>
      </c>
      <c r="D256" s="11" t="s">
        <v>4838</v>
      </c>
      <c r="E256" s="12" t="s">
        <v>4839</v>
      </c>
      <c r="F256" s="11" t="s">
        <v>4840</v>
      </c>
      <c r="G256" s="10"/>
      <c r="H256" s="13" t="s">
        <v>4841</v>
      </c>
      <c r="I256" s="16" t="s">
        <v>82</v>
      </c>
      <c r="J256" s="17"/>
      <c r="K256" s="17"/>
      <c r="L256" s="17"/>
      <c r="M256" s="17"/>
      <c r="N256" s="18"/>
      <c r="O256" s="16" t="s">
        <v>83</v>
      </c>
      <c r="P256" s="18"/>
    </row>
    <row r="257" spans="1:16" ht="16.5" customHeight="1">
      <c r="A257" s="10">
        <v>256</v>
      </c>
      <c r="B257" s="10">
        <v>33</v>
      </c>
      <c r="C257" s="10">
        <v>56</v>
      </c>
      <c r="D257" s="11" t="s">
        <v>4839</v>
      </c>
      <c r="E257" s="19" t="s">
        <v>4840</v>
      </c>
      <c r="F257" s="11" t="s">
        <v>4842</v>
      </c>
      <c r="G257" s="10" t="s">
        <v>338</v>
      </c>
      <c r="H257" s="13" t="s">
        <v>4843</v>
      </c>
      <c r="I257" s="16" t="s">
        <v>82</v>
      </c>
      <c r="J257" s="17"/>
      <c r="K257" s="17"/>
      <c r="L257" s="17"/>
      <c r="M257" s="17"/>
      <c r="N257" s="18"/>
      <c r="O257" s="16" t="s">
        <v>83</v>
      </c>
      <c r="P257" s="18"/>
    </row>
    <row r="258" spans="1:16" ht="26.25" customHeight="1">
      <c r="A258" s="10">
        <v>257</v>
      </c>
      <c r="B258" s="10">
        <v>33</v>
      </c>
      <c r="C258" s="10">
        <v>57</v>
      </c>
      <c r="D258" s="11" t="s">
        <v>4840</v>
      </c>
      <c r="E258" s="12" t="s">
        <v>4842</v>
      </c>
      <c r="F258" s="11" t="s">
        <v>4844</v>
      </c>
      <c r="G258" s="10"/>
      <c r="H258" s="13" t="s">
        <v>4845</v>
      </c>
      <c r="I258" s="16" t="s">
        <v>82</v>
      </c>
      <c r="J258" s="17"/>
      <c r="K258" s="17"/>
      <c r="L258" s="17"/>
      <c r="M258" s="17"/>
      <c r="N258" s="18"/>
      <c r="O258" s="16" t="s">
        <v>83</v>
      </c>
      <c r="P258" s="18"/>
    </row>
    <row r="259" spans="1:16" ht="16.5" customHeight="1">
      <c r="A259" s="10">
        <v>258</v>
      </c>
      <c r="B259" s="10">
        <v>39</v>
      </c>
      <c r="C259" s="10">
        <v>27</v>
      </c>
      <c r="D259" s="11" t="s">
        <v>4846</v>
      </c>
      <c r="E259" s="12" t="s">
        <v>4847</v>
      </c>
      <c r="F259" s="11" t="s">
        <v>4848</v>
      </c>
      <c r="G259" s="10"/>
      <c r="H259" s="13" t="s">
        <v>3990</v>
      </c>
      <c r="I259" s="16" t="s">
        <v>82</v>
      </c>
      <c r="J259" s="17"/>
      <c r="K259" s="17"/>
      <c r="L259" s="17"/>
      <c r="M259" s="17"/>
      <c r="N259" s="18"/>
      <c r="O259" s="16" t="s">
        <v>83</v>
      </c>
      <c r="P259" s="18"/>
    </row>
    <row r="260" spans="1:16" ht="16.5" customHeight="1">
      <c r="A260" s="10">
        <v>259</v>
      </c>
      <c r="B260" s="10">
        <v>39</v>
      </c>
      <c r="C260" s="10">
        <v>28</v>
      </c>
      <c r="D260" s="11" t="s">
        <v>4847</v>
      </c>
      <c r="E260" s="19" t="s">
        <v>4848</v>
      </c>
      <c r="F260" s="11" t="s">
        <v>2539</v>
      </c>
      <c r="G260" s="10" t="s">
        <v>540</v>
      </c>
      <c r="H260" s="13" t="s">
        <v>4849</v>
      </c>
      <c r="I260" s="16" t="s">
        <v>82</v>
      </c>
      <c r="J260" s="17"/>
      <c r="K260" s="17"/>
      <c r="L260" s="17"/>
      <c r="M260" s="17"/>
      <c r="N260" s="18"/>
      <c r="O260" s="16" t="s">
        <v>83</v>
      </c>
      <c r="P260" s="18"/>
    </row>
    <row r="261" spans="1:16" ht="16.5" customHeight="1">
      <c r="A261" s="10">
        <v>260</v>
      </c>
      <c r="B261" s="10">
        <v>39</v>
      </c>
      <c r="C261" s="10">
        <v>29</v>
      </c>
      <c r="D261" s="11" t="s">
        <v>4848</v>
      </c>
      <c r="E261" s="12" t="s">
        <v>2539</v>
      </c>
      <c r="F261" s="11" t="s">
        <v>4850</v>
      </c>
      <c r="G261" s="10"/>
      <c r="H261" s="13" t="s">
        <v>4851</v>
      </c>
      <c r="I261" s="16" t="s">
        <v>82</v>
      </c>
      <c r="J261" s="17"/>
      <c r="K261" s="17"/>
      <c r="L261" s="17"/>
      <c r="M261" s="17"/>
      <c r="N261" s="18"/>
      <c r="O261" s="16" t="s">
        <v>83</v>
      </c>
      <c r="P261" s="18"/>
    </row>
    <row r="262" spans="1:16" ht="16.5" customHeight="1">
      <c r="A262" s="10">
        <v>261</v>
      </c>
      <c r="B262" s="10">
        <v>39</v>
      </c>
      <c r="C262" s="10">
        <v>56</v>
      </c>
      <c r="D262" s="11" t="s">
        <v>4852</v>
      </c>
      <c r="E262" s="12" t="s">
        <v>4853</v>
      </c>
      <c r="F262" s="11" t="s">
        <v>4854</v>
      </c>
      <c r="G262" s="10"/>
      <c r="H262" s="13" t="s">
        <v>4855</v>
      </c>
      <c r="I262" s="16" t="s">
        <v>82</v>
      </c>
      <c r="J262" s="17"/>
      <c r="K262" s="17"/>
      <c r="L262" s="17"/>
      <c r="M262" s="17"/>
      <c r="N262" s="18"/>
      <c r="O262" s="16" t="s">
        <v>83</v>
      </c>
      <c r="P262" s="18"/>
    </row>
    <row r="263" spans="1:16" ht="16.5" customHeight="1">
      <c r="A263" s="10">
        <v>262</v>
      </c>
      <c r="B263" s="10">
        <v>39</v>
      </c>
      <c r="C263" s="10">
        <v>57</v>
      </c>
      <c r="D263" s="11" t="s">
        <v>4853</v>
      </c>
      <c r="E263" s="19" t="s">
        <v>4854</v>
      </c>
      <c r="F263" s="11" t="s">
        <v>4856</v>
      </c>
      <c r="G263" s="10" t="s">
        <v>1209</v>
      </c>
      <c r="H263" s="13" t="s">
        <v>4857</v>
      </c>
      <c r="I263" s="16" t="s">
        <v>82</v>
      </c>
      <c r="J263" s="17"/>
      <c r="K263" s="17"/>
      <c r="L263" s="17"/>
      <c r="M263" s="17"/>
      <c r="N263" s="18"/>
      <c r="O263" s="16" t="s">
        <v>83</v>
      </c>
      <c r="P263" s="18"/>
    </row>
    <row r="264" spans="1:16" ht="16.5" customHeight="1">
      <c r="A264" s="10">
        <v>263</v>
      </c>
      <c r="B264" s="10">
        <v>39</v>
      </c>
      <c r="C264" s="10">
        <v>58</v>
      </c>
      <c r="D264" s="11" t="s">
        <v>4854</v>
      </c>
      <c r="E264" s="12" t="s">
        <v>4856</v>
      </c>
      <c r="F264" s="11" t="s">
        <v>4858</v>
      </c>
      <c r="G264" s="10"/>
      <c r="H264" s="13" t="s">
        <v>4859</v>
      </c>
      <c r="I264" s="16" t="s">
        <v>82</v>
      </c>
      <c r="J264" s="17"/>
      <c r="K264" s="17"/>
      <c r="L264" s="17"/>
      <c r="M264" s="17"/>
      <c r="N264" s="18"/>
      <c r="O264" s="16" t="s">
        <v>83</v>
      </c>
      <c r="P264" s="18"/>
    </row>
    <row r="265" spans="1:16" ht="16.5" customHeight="1">
      <c r="A265" s="10">
        <v>264</v>
      </c>
      <c r="B265" s="10">
        <v>39</v>
      </c>
      <c r="C265" s="10">
        <v>60</v>
      </c>
      <c r="D265" s="11" t="s">
        <v>4858</v>
      </c>
      <c r="E265" s="12" t="s">
        <v>4860</v>
      </c>
      <c r="F265" s="11" t="s">
        <v>4861</v>
      </c>
      <c r="G265" s="10"/>
      <c r="H265" s="13" t="s">
        <v>4862</v>
      </c>
      <c r="I265" s="16" t="s">
        <v>82</v>
      </c>
      <c r="J265" s="17"/>
      <c r="K265" s="17"/>
      <c r="L265" s="17"/>
      <c r="M265" s="17"/>
      <c r="N265" s="18"/>
      <c r="O265" s="16" t="s">
        <v>83</v>
      </c>
      <c r="P265" s="18"/>
    </row>
    <row r="266" spans="1:16" ht="26.25" customHeight="1">
      <c r="A266" s="10">
        <v>265</v>
      </c>
      <c r="B266" s="10">
        <v>39</v>
      </c>
      <c r="C266" s="10">
        <v>61</v>
      </c>
      <c r="D266" s="11" t="s">
        <v>4860</v>
      </c>
      <c r="E266" s="19" t="s">
        <v>4861</v>
      </c>
      <c r="F266" s="11" t="s">
        <v>4863</v>
      </c>
      <c r="G266" s="10" t="s">
        <v>106</v>
      </c>
      <c r="H266" s="13" t="s">
        <v>4864</v>
      </c>
      <c r="I266" s="16" t="s">
        <v>82</v>
      </c>
      <c r="J266" s="17"/>
      <c r="K266" s="17"/>
      <c r="L266" s="17"/>
      <c r="M266" s="17"/>
      <c r="N266" s="18"/>
      <c r="O266" s="16" t="s">
        <v>83</v>
      </c>
      <c r="P266" s="18"/>
    </row>
    <row r="267" spans="1:16" ht="26.25" customHeight="1">
      <c r="A267" s="10">
        <v>266</v>
      </c>
      <c r="B267" s="10">
        <v>39</v>
      </c>
      <c r="C267" s="10">
        <v>62</v>
      </c>
      <c r="D267" s="11" t="s">
        <v>4861</v>
      </c>
      <c r="E267" s="19" t="s">
        <v>4863</v>
      </c>
      <c r="F267" s="11" t="s">
        <v>4865</v>
      </c>
      <c r="G267" s="10" t="s">
        <v>320</v>
      </c>
      <c r="H267" s="13" t="s">
        <v>4866</v>
      </c>
      <c r="I267" s="16" t="s">
        <v>82</v>
      </c>
      <c r="J267" s="17"/>
      <c r="K267" s="17"/>
      <c r="L267" s="17"/>
      <c r="M267" s="17"/>
      <c r="N267" s="18"/>
      <c r="O267" s="16" t="s">
        <v>83</v>
      </c>
      <c r="P267" s="18"/>
    </row>
    <row r="268" spans="1:16" ht="26.25" customHeight="1">
      <c r="A268" s="10">
        <v>267</v>
      </c>
      <c r="B268" s="10">
        <v>39</v>
      </c>
      <c r="C268" s="10">
        <v>63</v>
      </c>
      <c r="D268" s="11" t="s">
        <v>4863</v>
      </c>
      <c r="E268" s="12" t="s">
        <v>4865</v>
      </c>
      <c r="F268" s="11" t="s">
        <v>4867</v>
      </c>
      <c r="G268" s="10"/>
      <c r="H268" s="13" t="s">
        <v>4868</v>
      </c>
      <c r="I268" s="16" t="s">
        <v>82</v>
      </c>
      <c r="J268" s="17"/>
      <c r="K268" s="17"/>
      <c r="L268" s="17"/>
      <c r="M268" s="17"/>
      <c r="N268" s="18"/>
      <c r="O268" s="16" t="s">
        <v>83</v>
      </c>
      <c r="P268" s="18"/>
    </row>
    <row r="269" spans="1:16" ht="16.5" customHeight="1">
      <c r="A269" s="10">
        <v>268</v>
      </c>
      <c r="B269" s="10">
        <v>39</v>
      </c>
      <c r="C269" s="10">
        <v>82</v>
      </c>
      <c r="D269" s="11" t="s">
        <v>4869</v>
      </c>
      <c r="E269" s="12" t="s">
        <v>4870</v>
      </c>
      <c r="F269" s="11" t="s">
        <v>4871</v>
      </c>
      <c r="G269" s="10"/>
      <c r="H269" s="13" t="s">
        <v>4872</v>
      </c>
      <c r="I269" s="16" t="s">
        <v>82</v>
      </c>
      <c r="J269" s="17"/>
      <c r="K269" s="17"/>
      <c r="L269" s="17"/>
      <c r="M269" s="17"/>
      <c r="N269" s="18"/>
      <c r="O269" s="16" t="s">
        <v>83</v>
      </c>
      <c r="P269" s="18"/>
    </row>
    <row r="270" spans="1:16" ht="16.5" customHeight="1">
      <c r="A270" s="10">
        <v>269</v>
      </c>
      <c r="B270" s="10">
        <v>39</v>
      </c>
      <c r="C270" s="10">
        <v>83</v>
      </c>
      <c r="D270" s="11" t="s">
        <v>4870</v>
      </c>
      <c r="E270" s="19" t="s">
        <v>4871</v>
      </c>
      <c r="F270" s="11" t="s">
        <v>4873</v>
      </c>
      <c r="G270" s="10" t="s">
        <v>160</v>
      </c>
      <c r="H270" s="13" t="s">
        <v>4874</v>
      </c>
      <c r="I270" s="16" t="s">
        <v>89</v>
      </c>
      <c r="J270" s="17" t="s">
        <v>155</v>
      </c>
      <c r="K270" s="17" t="s">
        <v>164</v>
      </c>
      <c r="L270" s="17" t="s">
        <v>2659</v>
      </c>
      <c r="M270" s="17" t="s">
        <v>4875</v>
      </c>
      <c r="N270" s="18" t="s">
        <v>4876</v>
      </c>
      <c r="O270" s="16" t="s">
        <v>83</v>
      </c>
      <c r="P270" s="18"/>
    </row>
    <row r="271" spans="1:16" ht="16.5" customHeight="1">
      <c r="A271" s="10">
        <v>270</v>
      </c>
      <c r="B271" s="10">
        <v>39</v>
      </c>
      <c r="C271" s="10">
        <v>84</v>
      </c>
      <c r="D271" s="11" t="s">
        <v>4871</v>
      </c>
      <c r="E271" s="12" t="s">
        <v>4873</v>
      </c>
      <c r="F271" s="11" t="s">
        <v>4877</v>
      </c>
      <c r="G271" s="10"/>
      <c r="H271" s="13" t="s">
        <v>4878</v>
      </c>
      <c r="I271" s="16" t="s">
        <v>82</v>
      </c>
      <c r="J271" s="17"/>
      <c r="K271" s="17"/>
      <c r="L271" s="17"/>
      <c r="M271" s="17"/>
      <c r="N271" s="18"/>
      <c r="O271" s="16" t="s">
        <v>83</v>
      </c>
      <c r="P271" s="18"/>
    </row>
    <row r="272" spans="1:16" ht="26.25" customHeight="1">
      <c r="A272" s="10">
        <v>271</v>
      </c>
      <c r="B272" s="10">
        <v>39</v>
      </c>
      <c r="C272" s="10">
        <v>103</v>
      </c>
      <c r="D272" s="11" t="s">
        <v>4879</v>
      </c>
      <c r="E272" s="12" t="s">
        <v>4880</v>
      </c>
      <c r="F272" s="11" t="s">
        <v>4881</v>
      </c>
      <c r="G272" s="10"/>
      <c r="H272" s="13" t="s">
        <v>4882</v>
      </c>
      <c r="I272" s="16" t="s">
        <v>82</v>
      </c>
      <c r="J272" s="17"/>
      <c r="K272" s="17"/>
      <c r="L272" s="17"/>
      <c r="M272" s="17"/>
      <c r="N272" s="18"/>
      <c r="O272" s="16" t="s">
        <v>83</v>
      </c>
      <c r="P272" s="18"/>
    </row>
    <row r="273" spans="1:16" ht="16.5" customHeight="1">
      <c r="A273" s="10">
        <v>272</v>
      </c>
      <c r="B273" s="10">
        <v>39</v>
      </c>
      <c r="C273" s="10">
        <v>104</v>
      </c>
      <c r="D273" s="11" t="s">
        <v>4880</v>
      </c>
      <c r="E273" s="19" t="s">
        <v>4881</v>
      </c>
      <c r="F273" s="11" t="s">
        <v>4883</v>
      </c>
      <c r="G273" s="10" t="s">
        <v>106</v>
      </c>
      <c r="H273" s="13" t="s">
        <v>4884</v>
      </c>
      <c r="I273" s="16" t="s">
        <v>82</v>
      </c>
      <c r="J273" s="17"/>
      <c r="K273" s="17"/>
      <c r="L273" s="17"/>
      <c r="M273" s="17"/>
      <c r="N273" s="18"/>
      <c r="O273" s="16" t="s">
        <v>83</v>
      </c>
      <c r="P273" s="18"/>
    </row>
    <row r="274" spans="1:16" ht="16.5" customHeight="1">
      <c r="A274" s="10">
        <v>273</v>
      </c>
      <c r="B274" s="10">
        <v>39</v>
      </c>
      <c r="C274" s="10">
        <v>105</v>
      </c>
      <c r="D274" s="11" t="s">
        <v>4881</v>
      </c>
      <c r="E274" s="12" t="s">
        <v>4883</v>
      </c>
      <c r="F274" s="11"/>
      <c r="G274" s="10"/>
      <c r="H274" s="13" t="s">
        <v>4885</v>
      </c>
      <c r="I274" s="16" t="s">
        <v>82</v>
      </c>
      <c r="J274" s="17"/>
      <c r="K274" s="17"/>
      <c r="L274" s="17"/>
      <c r="M274" s="17"/>
      <c r="N274" s="18"/>
      <c r="O274" s="16" t="s">
        <v>83</v>
      </c>
      <c r="P274" s="18"/>
    </row>
  </sheetData>
  <phoneticPr fontId="9" type="noConversion"/>
  <dataValidations count="4">
    <dataValidation type="list" allowBlank="1" sqref="I2:I274" xr:uid="{00000000-0002-0000-0500-000000000000}">
      <formula1>"Y,N"</formula1>
      <formula2>0</formula2>
    </dataValidation>
    <dataValidation type="list" allowBlank="1" sqref="J2:J274" xr:uid="{00000000-0002-0000-0500-000001000000}">
      <formula1>"SD-1 자연·물질,SD-2 신체·감각,SD-3 공간·방위,SD-4 사냥·전쟁,SD-5 운동·시간,SD-6 문화·제도,(수사 기제)"</formula1>
      <formula2>0</formula2>
    </dataValidation>
    <dataValidation type="list" allowBlank="1" sqref="K2:K274" xr:uid="{00000000-0002-0000-0500-000002000000}">
      <formula1>"TD-1 축적·유통,TD-2 권력·지배,TD-3 인식·진위,TD-4 도덕·책무,TD-5 문명·제도,TD-7 경물·감각,TD-6 기타"</formula1>
      <formula2>0</formula2>
    </dataValidation>
    <dataValidation type="list" allowBlank="1" sqref="O2:O274" xr:uid="{00000000-0002-0000-0500-000003000000}">
      <formula1>"높음,보통,낮음"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255"/>
  <sheetViews>
    <sheetView zoomScaleNormal="100" workbookViewId="0">
      <pane xSplit="8" ySplit="1" topLeftCell="I2" activePane="bottomRight" state="frozen"/>
      <selection pane="topRight" activeCell="I1" sqref="I1"/>
      <selection pane="bottomLeft" activeCell="A2" sqref="A2"/>
      <selection pane="bottomRight"/>
    </sheetView>
  </sheetViews>
  <sheetFormatPr defaultColWidth="8.7109375" defaultRowHeight="15"/>
  <cols>
    <col min="1" max="1" width="5" style="4" customWidth="1"/>
    <col min="2" max="3" width="6" style="4" customWidth="1"/>
    <col min="4" max="4" width="20" style="4" customWidth="1"/>
    <col min="5" max="5" width="30" style="4" customWidth="1"/>
    <col min="6" max="6" width="20" style="4" customWidth="1"/>
    <col min="7" max="7" width="13" style="4" customWidth="1"/>
    <col min="8" max="8" width="58" style="4" customWidth="1"/>
    <col min="9" max="10" width="18" style="4" customWidth="1"/>
    <col min="11" max="11" width="12" style="4" customWidth="1"/>
    <col min="12" max="12" width="14" style="4" customWidth="1"/>
    <col min="13" max="13" width="26" style="4" customWidth="1"/>
    <col min="14" max="14" width="8" style="4" customWidth="1"/>
    <col min="15" max="15" width="16" style="4" customWidth="1"/>
  </cols>
  <sheetData>
    <row r="1" spans="1:16" ht="31.5" customHeight="1">
      <c r="A1" s="9" t="s">
        <v>58</v>
      </c>
      <c r="B1" s="9" t="s">
        <v>59</v>
      </c>
      <c r="C1" s="9" t="s">
        <v>60</v>
      </c>
      <c r="D1" s="9" t="s">
        <v>61</v>
      </c>
      <c r="E1" s="9" t="s">
        <v>62</v>
      </c>
      <c r="F1" s="9" t="s">
        <v>63</v>
      </c>
      <c r="G1" s="9" t="s">
        <v>64</v>
      </c>
      <c r="H1" s="9" t="s">
        <v>65</v>
      </c>
      <c r="I1" s="9" t="s">
        <v>68</v>
      </c>
      <c r="J1" s="9" t="s">
        <v>69</v>
      </c>
      <c r="K1" s="9" t="s">
        <v>70</v>
      </c>
      <c r="L1" s="9" t="s">
        <v>71</v>
      </c>
      <c r="M1" s="9" t="s">
        <v>72</v>
      </c>
      <c r="N1" s="9" t="s">
        <v>73</v>
      </c>
      <c r="O1" s="9" t="s">
        <v>74</v>
      </c>
      <c r="P1" s="9" t="s">
        <v>75</v>
      </c>
    </row>
    <row r="2" spans="1:16" ht="16.5" customHeight="1">
      <c r="A2" s="10">
        <v>1</v>
      </c>
      <c r="B2" s="10">
        <v>4</v>
      </c>
      <c r="C2" s="10">
        <v>114</v>
      </c>
      <c r="D2" s="11" t="s">
        <v>4886</v>
      </c>
      <c r="E2" s="12" t="s">
        <v>4887</v>
      </c>
      <c r="F2" s="11" t="s">
        <v>4888</v>
      </c>
      <c r="G2" s="10"/>
      <c r="H2" s="13" t="s">
        <v>2655</v>
      </c>
      <c r="I2" s="16" t="s">
        <v>82</v>
      </c>
      <c r="J2" s="17"/>
      <c r="K2" s="17"/>
      <c r="L2" s="17"/>
      <c r="M2" s="17"/>
      <c r="N2" s="18"/>
      <c r="O2" s="16" t="s">
        <v>83</v>
      </c>
      <c r="P2" s="18"/>
    </row>
    <row r="3" spans="1:16" ht="16.5" customHeight="1">
      <c r="A3" s="10">
        <v>2</v>
      </c>
      <c r="B3" s="10">
        <v>4</v>
      </c>
      <c r="C3" s="10">
        <v>115</v>
      </c>
      <c r="D3" s="11" t="s">
        <v>4887</v>
      </c>
      <c r="E3" s="19" t="s">
        <v>4888</v>
      </c>
      <c r="F3" s="11" t="s">
        <v>4889</v>
      </c>
      <c r="G3" s="10" t="s">
        <v>575</v>
      </c>
      <c r="H3" s="13" t="s">
        <v>4890</v>
      </c>
      <c r="I3" s="16" t="s">
        <v>82</v>
      </c>
      <c r="J3" s="17"/>
      <c r="K3" s="17"/>
      <c r="L3" s="17"/>
      <c r="M3" s="17"/>
      <c r="N3" s="18"/>
      <c r="O3" s="16" t="s">
        <v>83</v>
      </c>
      <c r="P3" s="18"/>
    </row>
    <row r="4" spans="1:16" ht="16.5" customHeight="1">
      <c r="A4" s="10">
        <v>3</v>
      </c>
      <c r="B4" s="10">
        <v>4</v>
      </c>
      <c r="C4" s="10">
        <v>116</v>
      </c>
      <c r="D4" s="11" t="s">
        <v>4888</v>
      </c>
      <c r="E4" s="12" t="s">
        <v>4889</v>
      </c>
      <c r="F4" s="11" t="s">
        <v>4891</v>
      </c>
      <c r="G4" s="10"/>
      <c r="H4" s="13" t="s">
        <v>4892</v>
      </c>
      <c r="I4" s="16" t="s">
        <v>82</v>
      </c>
      <c r="J4" s="17"/>
      <c r="K4" s="17"/>
      <c r="L4" s="17"/>
      <c r="M4" s="17"/>
      <c r="N4" s="18"/>
      <c r="O4" s="16" t="s">
        <v>83</v>
      </c>
      <c r="P4" s="18"/>
    </row>
    <row r="5" spans="1:16" ht="16.5" customHeight="1">
      <c r="A5" s="10">
        <v>4</v>
      </c>
      <c r="B5" s="10">
        <v>4</v>
      </c>
      <c r="C5" s="10">
        <v>208</v>
      </c>
      <c r="D5" s="11" t="s">
        <v>4893</v>
      </c>
      <c r="E5" s="12" t="s">
        <v>4894</v>
      </c>
      <c r="F5" s="11" t="s">
        <v>4895</v>
      </c>
      <c r="G5" s="10"/>
      <c r="H5" s="13" t="s">
        <v>4896</v>
      </c>
      <c r="I5" s="16" t="s">
        <v>82</v>
      </c>
      <c r="J5" s="17"/>
      <c r="K5" s="17"/>
      <c r="L5" s="17"/>
      <c r="M5" s="17"/>
      <c r="N5" s="18"/>
      <c r="O5" s="16" t="s">
        <v>83</v>
      </c>
      <c r="P5" s="18"/>
    </row>
    <row r="6" spans="1:16" ht="16.5" customHeight="1">
      <c r="A6" s="10">
        <v>5</v>
      </c>
      <c r="B6" s="10">
        <v>4</v>
      </c>
      <c r="C6" s="10">
        <v>209</v>
      </c>
      <c r="D6" s="11" t="s">
        <v>4894</v>
      </c>
      <c r="E6" s="19" t="s">
        <v>4895</v>
      </c>
      <c r="F6" s="11" t="s">
        <v>4897</v>
      </c>
      <c r="G6" s="10" t="s">
        <v>397</v>
      </c>
      <c r="H6" s="13" t="s">
        <v>4898</v>
      </c>
      <c r="I6" s="16" t="s">
        <v>89</v>
      </c>
      <c r="J6" s="17" t="s">
        <v>368</v>
      </c>
      <c r="K6" s="17" t="s">
        <v>1961</v>
      </c>
      <c r="L6" s="17" t="s">
        <v>3743</v>
      </c>
      <c r="M6" s="17" t="s">
        <v>4899</v>
      </c>
      <c r="N6" s="18" t="s">
        <v>4900</v>
      </c>
      <c r="O6" s="16" t="s">
        <v>83</v>
      </c>
      <c r="P6" s="18"/>
    </row>
    <row r="7" spans="1:16" ht="16.5" customHeight="1">
      <c r="A7" s="10">
        <v>6</v>
      </c>
      <c r="B7" s="10">
        <v>4</v>
      </c>
      <c r="C7" s="10">
        <v>210</v>
      </c>
      <c r="D7" s="11" t="s">
        <v>4895</v>
      </c>
      <c r="E7" s="12" t="s">
        <v>4897</v>
      </c>
      <c r="F7" s="11" t="s">
        <v>4901</v>
      </c>
      <c r="G7" s="10"/>
      <c r="H7" s="13" t="s">
        <v>4902</v>
      </c>
      <c r="I7" s="16" t="s">
        <v>82</v>
      </c>
      <c r="J7" s="17"/>
      <c r="K7" s="17"/>
      <c r="L7" s="17"/>
      <c r="M7" s="17"/>
      <c r="N7" s="18"/>
      <c r="O7" s="16" t="s">
        <v>83</v>
      </c>
      <c r="P7" s="18"/>
    </row>
    <row r="8" spans="1:16" ht="16.5" customHeight="1">
      <c r="A8" s="10">
        <v>7</v>
      </c>
      <c r="B8" s="10">
        <v>4</v>
      </c>
      <c r="C8" s="10">
        <v>314</v>
      </c>
      <c r="D8" s="11" t="s">
        <v>4903</v>
      </c>
      <c r="E8" s="12" t="s">
        <v>4904</v>
      </c>
      <c r="F8" s="11" t="s">
        <v>4905</v>
      </c>
      <c r="G8" s="10"/>
      <c r="H8" s="13" t="s">
        <v>4906</v>
      </c>
      <c r="I8" s="16" t="s">
        <v>82</v>
      </c>
      <c r="J8" s="17"/>
      <c r="K8" s="17"/>
      <c r="L8" s="17"/>
      <c r="M8" s="17"/>
      <c r="N8" s="18"/>
      <c r="O8" s="16" t="s">
        <v>83</v>
      </c>
      <c r="P8" s="18"/>
    </row>
    <row r="9" spans="1:16" ht="16.5" customHeight="1">
      <c r="A9" s="10">
        <v>8</v>
      </c>
      <c r="B9" s="10">
        <v>4</v>
      </c>
      <c r="C9" s="10">
        <v>315</v>
      </c>
      <c r="D9" s="11" t="s">
        <v>4904</v>
      </c>
      <c r="E9" s="19" t="s">
        <v>4905</v>
      </c>
      <c r="F9" s="11" t="s">
        <v>4907</v>
      </c>
      <c r="G9" s="10" t="s">
        <v>540</v>
      </c>
      <c r="H9" s="13" t="s">
        <v>4908</v>
      </c>
      <c r="I9" s="16" t="s">
        <v>82</v>
      </c>
      <c r="J9" s="17"/>
      <c r="K9" s="17"/>
      <c r="L9" s="17"/>
      <c r="M9" s="17"/>
      <c r="N9" s="18"/>
      <c r="O9" s="16" t="s">
        <v>83</v>
      </c>
      <c r="P9" s="18"/>
    </row>
    <row r="10" spans="1:16" ht="16.5" customHeight="1">
      <c r="A10" s="10">
        <v>9</v>
      </c>
      <c r="B10" s="10">
        <v>4</v>
      </c>
      <c r="C10" s="10">
        <v>316</v>
      </c>
      <c r="D10" s="11" t="s">
        <v>4905</v>
      </c>
      <c r="E10" s="12" t="s">
        <v>4907</v>
      </c>
      <c r="F10" s="11" t="s">
        <v>4909</v>
      </c>
      <c r="G10" s="10"/>
      <c r="H10" s="13" t="s">
        <v>4910</v>
      </c>
      <c r="I10" s="16" t="s">
        <v>82</v>
      </c>
      <c r="J10" s="17"/>
      <c r="K10" s="17"/>
      <c r="L10" s="17"/>
      <c r="M10" s="17"/>
      <c r="N10" s="18"/>
      <c r="O10" s="16" t="s">
        <v>83</v>
      </c>
      <c r="P10" s="18"/>
    </row>
    <row r="11" spans="1:16" ht="16.5" customHeight="1">
      <c r="A11" s="10">
        <v>10</v>
      </c>
      <c r="B11" s="10">
        <v>4</v>
      </c>
      <c r="C11" s="10">
        <v>353</v>
      </c>
      <c r="D11" s="11" t="s">
        <v>4911</v>
      </c>
      <c r="E11" s="12" t="s">
        <v>4912</v>
      </c>
      <c r="F11" s="11" t="s">
        <v>4913</v>
      </c>
      <c r="G11" s="10"/>
      <c r="H11" s="13" t="s">
        <v>4914</v>
      </c>
      <c r="I11" s="16" t="s">
        <v>82</v>
      </c>
      <c r="J11" s="17"/>
      <c r="K11" s="17"/>
      <c r="L11" s="17"/>
      <c r="M11" s="17"/>
      <c r="N11" s="18"/>
      <c r="O11" s="16" t="s">
        <v>83</v>
      </c>
      <c r="P11" s="18"/>
    </row>
    <row r="12" spans="1:16" ht="16.5" customHeight="1">
      <c r="A12" s="10">
        <v>11</v>
      </c>
      <c r="B12" s="10">
        <v>4</v>
      </c>
      <c r="C12" s="10">
        <v>354</v>
      </c>
      <c r="D12" s="11" t="s">
        <v>4912</v>
      </c>
      <c r="E12" s="19" t="s">
        <v>4913</v>
      </c>
      <c r="F12" s="11" t="s">
        <v>4915</v>
      </c>
      <c r="G12" s="10" t="s">
        <v>569</v>
      </c>
      <c r="H12" s="13" t="s">
        <v>4916</v>
      </c>
      <c r="I12" s="16" t="s">
        <v>82</v>
      </c>
      <c r="J12" s="17"/>
      <c r="K12" s="17"/>
      <c r="L12" s="17"/>
      <c r="M12" s="17"/>
      <c r="N12" s="18"/>
      <c r="O12" s="16" t="s">
        <v>83</v>
      </c>
      <c r="P12" s="18"/>
    </row>
    <row r="13" spans="1:16" ht="16.5" customHeight="1">
      <c r="A13" s="10">
        <v>12</v>
      </c>
      <c r="B13" s="10">
        <v>4</v>
      </c>
      <c r="C13" s="10">
        <v>355</v>
      </c>
      <c r="D13" s="11" t="s">
        <v>4913</v>
      </c>
      <c r="E13" s="12" t="s">
        <v>4915</v>
      </c>
      <c r="F13" s="11" t="s">
        <v>4917</v>
      </c>
      <c r="G13" s="10"/>
      <c r="H13" s="13" t="s">
        <v>4918</v>
      </c>
      <c r="I13" s="16" t="s">
        <v>82</v>
      </c>
      <c r="J13" s="17"/>
      <c r="K13" s="17"/>
      <c r="L13" s="17"/>
      <c r="M13" s="17"/>
      <c r="N13" s="18"/>
      <c r="O13" s="16" t="s">
        <v>83</v>
      </c>
      <c r="P13" s="18"/>
    </row>
    <row r="14" spans="1:16" ht="16.5" customHeight="1">
      <c r="A14" s="10">
        <v>13</v>
      </c>
      <c r="B14" s="10">
        <v>4</v>
      </c>
      <c r="C14" s="10">
        <v>389</v>
      </c>
      <c r="D14" s="11" t="s">
        <v>4919</v>
      </c>
      <c r="E14" s="12" t="s">
        <v>4920</v>
      </c>
      <c r="F14" s="11" t="s">
        <v>4921</v>
      </c>
      <c r="G14" s="10"/>
      <c r="H14" s="13" t="s">
        <v>4922</v>
      </c>
      <c r="I14" s="16" t="s">
        <v>82</v>
      </c>
      <c r="J14" s="17"/>
      <c r="K14" s="17"/>
      <c r="L14" s="17"/>
      <c r="M14" s="17"/>
      <c r="N14" s="18"/>
      <c r="O14" s="16" t="s">
        <v>83</v>
      </c>
      <c r="P14" s="18"/>
    </row>
    <row r="15" spans="1:16" ht="16.5" customHeight="1">
      <c r="A15" s="10">
        <v>14</v>
      </c>
      <c r="B15" s="10">
        <v>4</v>
      </c>
      <c r="C15" s="10">
        <v>390</v>
      </c>
      <c r="D15" s="11" t="s">
        <v>4920</v>
      </c>
      <c r="E15" s="19" t="s">
        <v>4921</v>
      </c>
      <c r="F15" s="11" t="s">
        <v>4923</v>
      </c>
      <c r="G15" s="10" t="s">
        <v>3300</v>
      </c>
      <c r="H15" s="13" t="s">
        <v>4924</v>
      </c>
      <c r="I15" s="16" t="s">
        <v>89</v>
      </c>
      <c r="J15" s="17" t="s">
        <v>155</v>
      </c>
      <c r="K15" s="17" t="s">
        <v>164</v>
      </c>
      <c r="L15" s="17" t="s">
        <v>4925</v>
      </c>
      <c r="M15" s="17" t="s">
        <v>2667</v>
      </c>
      <c r="N15" s="18" t="s">
        <v>4926</v>
      </c>
      <c r="O15" s="16" t="s">
        <v>83</v>
      </c>
      <c r="P15" s="18"/>
    </row>
    <row r="16" spans="1:16" ht="16.5" customHeight="1">
      <c r="A16" s="10">
        <v>15</v>
      </c>
      <c r="B16" s="10">
        <v>4</v>
      </c>
      <c r="C16" s="10">
        <v>391</v>
      </c>
      <c r="D16" s="11" t="s">
        <v>4921</v>
      </c>
      <c r="E16" s="12" t="s">
        <v>4923</v>
      </c>
      <c r="F16" s="11" t="s">
        <v>4927</v>
      </c>
      <c r="G16" s="10"/>
      <c r="H16" s="13" t="s">
        <v>4928</v>
      </c>
      <c r="I16" s="16" t="s">
        <v>82</v>
      </c>
      <c r="J16" s="17"/>
      <c r="K16" s="17"/>
      <c r="L16" s="17"/>
      <c r="M16" s="17"/>
      <c r="N16" s="18"/>
      <c r="O16" s="16" t="s">
        <v>83</v>
      </c>
      <c r="P16" s="18"/>
    </row>
    <row r="17" spans="1:16" ht="16.5" customHeight="1">
      <c r="A17" s="10">
        <v>16</v>
      </c>
      <c r="B17" s="10">
        <v>4</v>
      </c>
      <c r="C17" s="10">
        <v>397</v>
      </c>
      <c r="D17" s="11" t="s">
        <v>4929</v>
      </c>
      <c r="E17" s="12" t="s">
        <v>4930</v>
      </c>
      <c r="F17" s="11" t="s">
        <v>4931</v>
      </c>
      <c r="G17" s="10"/>
      <c r="H17" s="13" t="s">
        <v>4932</v>
      </c>
      <c r="I17" s="16" t="s">
        <v>82</v>
      </c>
      <c r="J17" s="17"/>
      <c r="K17" s="17"/>
      <c r="L17" s="17"/>
      <c r="M17" s="17"/>
      <c r="N17" s="18"/>
      <c r="O17" s="16" t="s">
        <v>83</v>
      </c>
      <c r="P17" s="18"/>
    </row>
    <row r="18" spans="1:16" ht="16.5" customHeight="1">
      <c r="A18" s="10">
        <v>17</v>
      </c>
      <c r="B18" s="10">
        <v>4</v>
      </c>
      <c r="C18" s="10">
        <v>398</v>
      </c>
      <c r="D18" s="11" t="s">
        <v>4930</v>
      </c>
      <c r="E18" s="19" t="s">
        <v>4931</v>
      </c>
      <c r="F18" s="11" t="s">
        <v>4933</v>
      </c>
      <c r="G18" s="10" t="s">
        <v>540</v>
      </c>
      <c r="H18" s="13" t="s">
        <v>4934</v>
      </c>
      <c r="I18" s="16" t="s">
        <v>82</v>
      </c>
      <c r="J18" s="17"/>
      <c r="K18" s="17"/>
      <c r="L18" s="17"/>
      <c r="M18" s="17"/>
      <c r="N18" s="18"/>
      <c r="O18" s="16" t="s">
        <v>83</v>
      </c>
      <c r="P18" s="18"/>
    </row>
    <row r="19" spans="1:16" ht="16.5" customHeight="1">
      <c r="A19" s="10">
        <v>18</v>
      </c>
      <c r="B19" s="10">
        <v>4</v>
      </c>
      <c r="C19" s="10">
        <v>399</v>
      </c>
      <c r="D19" s="11" t="s">
        <v>4931</v>
      </c>
      <c r="E19" s="12" t="s">
        <v>4933</v>
      </c>
      <c r="F19" s="11" t="s">
        <v>4935</v>
      </c>
      <c r="G19" s="10"/>
      <c r="H19" s="13" t="s">
        <v>4936</v>
      </c>
      <c r="I19" s="16" t="s">
        <v>82</v>
      </c>
      <c r="J19" s="17"/>
      <c r="K19" s="17"/>
      <c r="L19" s="17"/>
      <c r="M19" s="17"/>
      <c r="N19" s="18"/>
      <c r="O19" s="16" t="s">
        <v>83</v>
      </c>
      <c r="P19" s="18"/>
    </row>
    <row r="20" spans="1:16" ht="16.5" customHeight="1">
      <c r="A20" s="10">
        <v>19</v>
      </c>
      <c r="B20" s="10">
        <v>4</v>
      </c>
      <c r="C20" s="10">
        <v>435</v>
      </c>
      <c r="D20" s="11" t="s">
        <v>4937</v>
      </c>
      <c r="E20" s="12" t="s">
        <v>4938</v>
      </c>
      <c r="F20" s="11" t="s">
        <v>4939</v>
      </c>
      <c r="G20" s="10"/>
      <c r="H20" s="13" t="s">
        <v>4940</v>
      </c>
      <c r="I20" s="16" t="s">
        <v>82</v>
      </c>
      <c r="J20" s="17"/>
      <c r="K20" s="17"/>
      <c r="L20" s="17"/>
      <c r="M20" s="17"/>
      <c r="N20" s="18"/>
      <c r="O20" s="16" t="s">
        <v>83</v>
      </c>
      <c r="P20" s="18"/>
    </row>
    <row r="21" spans="1:16" ht="16.5" customHeight="1">
      <c r="A21" s="10">
        <v>20</v>
      </c>
      <c r="B21" s="10">
        <v>4</v>
      </c>
      <c r="C21" s="10">
        <v>436</v>
      </c>
      <c r="D21" s="11" t="s">
        <v>4938</v>
      </c>
      <c r="E21" s="19" t="s">
        <v>4939</v>
      </c>
      <c r="F21" s="11" t="s">
        <v>4941</v>
      </c>
      <c r="G21" s="10" t="s">
        <v>575</v>
      </c>
      <c r="H21" s="13" t="s">
        <v>4942</v>
      </c>
      <c r="I21" s="16" t="s">
        <v>82</v>
      </c>
      <c r="J21" s="17"/>
      <c r="K21" s="17"/>
      <c r="L21" s="17"/>
      <c r="M21" s="17"/>
      <c r="N21" s="18"/>
      <c r="O21" s="16" t="s">
        <v>83</v>
      </c>
      <c r="P21" s="18"/>
    </row>
    <row r="22" spans="1:16" ht="16.5" customHeight="1">
      <c r="A22" s="10">
        <v>21</v>
      </c>
      <c r="B22" s="10">
        <v>4</v>
      </c>
      <c r="C22" s="10">
        <v>437</v>
      </c>
      <c r="D22" s="11" t="s">
        <v>4939</v>
      </c>
      <c r="E22" s="12" t="s">
        <v>4941</v>
      </c>
      <c r="F22" s="11" t="s">
        <v>4943</v>
      </c>
      <c r="G22" s="10"/>
      <c r="H22" s="13" t="s">
        <v>3011</v>
      </c>
      <c r="I22" s="16" t="s">
        <v>82</v>
      </c>
      <c r="J22" s="17"/>
      <c r="K22" s="17"/>
      <c r="L22" s="17"/>
      <c r="M22" s="17"/>
      <c r="N22" s="18"/>
      <c r="O22" s="16" t="s">
        <v>83</v>
      </c>
      <c r="P22" s="18"/>
    </row>
    <row r="23" spans="1:16" ht="16.5" customHeight="1">
      <c r="A23" s="10">
        <v>22</v>
      </c>
      <c r="B23" s="10">
        <v>4</v>
      </c>
      <c r="C23" s="10">
        <v>457</v>
      </c>
      <c r="D23" s="11" t="s">
        <v>3573</v>
      </c>
      <c r="E23" s="12" t="s">
        <v>4944</v>
      </c>
      <c r="F23" s="11" t="s">
        <v>4945</v>
      </c>
      <c r="G23" s="10"/>
      <c r="H23" s="13" t="s">
        <v>4946</v>
      </c>
      <c r="I23" s="16" t="s">
        <v>82</v>
      </c>
      <c r="J23" s="17"/>
      <c r="K23" s="17"/>
      <c r="L23" s="17"/>
      <c r="M23" s="17"/>
      <c r="N23" s="18"/>
      <c r="O23" s="16" t="s">
        <v>83</v>
      </c>
      <c r="P23" s="18"/>
    </row>
    <row r="24" spans="1:16" ht="16.5" customHeight="1">
      <c r="A24" s="10">
        <v>23</v>
      </c>
      <c r="B24" s="10">
        <v>4</v>
      </c>
      <c r="C24" s="10">
        <v>458</v>
      </c>
      <c r="D24" s="11" t="s">
        <v>4944</v>
      </c>
      <c r="E24" s="19" t="s">
        <v>4945</v>
      </c>
      <c r="F24" s="11" t="s">
        <v>4947</v>
      </c>
      <c r="G24" s="10" t="s">
        <v>633</v>
      </c>
      <c r="H24" s="13" t="s">
        <v>4948</v>
      </c>
      <c r="I24" s="16" t="s">
        <v>82</v>
      </c>
      <c r="J24" s="17"/>
      <c r="K24" s="17"/>
      <c r="L24" s="17"/>
      <c r="M24" s="17"/>
      <c r="N24" s="18"/>
      <c r="O24" s="16" t="s">
        <v>83</v>
      </c>
      <c r="P24" s="18"/>
    </row>
    <row r="25" spans="1:16" ht="26.25" customHeight="1">
      <c r="A25" s="10">
        <v>24</v>
      </c>
      <c r="B25" s="10">
        <v>4</v>
      </c>
      <c r="C25" s="10">
        <v>459</v>
      </c>
      <c r="D25" s="11" t="s">
        <v>4945</v>
      </c>
      <c r="E25" s="12" t="s">
        <v>4947</v>
      </c>
      <c r="F25" s="11" t="s">
        <v>4949</v>
      </c>
      <c r="G25" s="10"/>
      <c r="H25" s="13" t="s">
        <v>4950</v>
      </c>
      <c r="I25" s="16" t="s">
        <v>82</v>
      </c>
      <c r="J25" s="17"/>
      <c r="K25" s="17"/>
      <c r="L25" s="17"/>
      <c r="M25" s="17"/>
      <c r="N25" s="18"/>
      <c r="O25" s="16" t="s">
        <v>83</v>
      </c>
      <c r="P25" s="18"/>
    </row>
    <row r="26" spans="1:16" ht="16.5" customHeight="1">
      <c r="A26" s="10">
        <v>25</v>
      </c>
      <c r="B26" s="10">
        <v>4</v>
      </c>
      <c r="C26" s="10">
        <v>460</v>
      </c>
      <c r="D26" s="11" t="s">
        <v>4947</v>
      </c>
      <c r="E26" s="12" t="s">
        <v>4949</v>
      </c>
      <c r="F26" s="11" t="s">
        <v>4951</v>
      </c>
      <c r="G26" s="10"/>
      <c r="H26" s="13" t="s">
        <v>4952</v>
      </c>
      <c r="I26" s="16" t="s">
        <v>89</v>
      </c>
      <c r="J26" s="17" t="s">
        <v>128</v>
      </c>
      <c r="K26" s="17" t="s">
        <v>1145</v>
      </c>
      <c r="L26" s="17" t="s">
        <v>4953</v>
      </c>
      <c r="M26" s="17" t="s">
        <v>4954</v>
      </c>
      <c r="N26" s="18" t="s">
        <v>4955</v>
      </c>
      <c r="O26" s="16" t="s">
        <v>83</v>
      </c>
      <c r="P26" s="18"/>
    </row>
    <row r="27" spans="1:16" ht="16.5" customHeight="1">
      <c r="A27" s="10">
        <v>26</v>
      </c>
      <c r="B27" s="10">
        <v>4</v>
      </c>
      <c r="C27" s="10">
        <v>461</v>
      </c>
      <c r="D27" s="11" t="s">
        <v>4949</v>
      </c>
      <c r="E27" s="19" t="s">
        <v>4951</v>
      </c>
      <c r="F27" s="11" t="s">
        <v>4956</v>
      </c>
      <c r="G27" s="10" t="s">
        <v>4957</v>
      </c>
      <c r="H27" s="13" t="s">
        <v>4958</v>
      </c>
      <c r="I27" s="16" t="s">
        <v>82</v>
      </c>
      <c r="J27" s="17"/>
      <c r="K27" s="17"/>
      <c r="L27" s="17"/>
      <c r="M27" s="17"/>
      <c r="N27" s="18"/>
      <c r="O27" s="16" t="s">
        <v>83</v>
      </c>
      <c r="P27" s="18"/>
    </row>
    <row r="28" spans="1:16" ht="16.5" customHeight="1">
      <c r="A28" s="10">
        <v>27</v>
      </c>
      <c r="B28" s="10">
        <v>4</v>
      </c>
      <c r="C28" s="10">
        <v>462</v>
      </c>
      <c r="D28" s="11" t="s">
        <v>4951</v>
      </c>
      <c r="E28" s="12" t="s">
        <v>4956</v>
      </c>
      <c r="F28" s="11" t="s">
        <v>4959</v>
      </c>
      <c r="G28" s="10"/>
      <c r="H28" s="13" t="s">
        <v>4960</v>
      </c>
      <c r="I28" s="16" t="s">
        <v>82</v>
      </c>
      <c r="J28" s="17"/>
      <c r="K28" s="17"/>
      <c r="L28" s="17"/>
      <c r="M28" s="17"/>
      <c r="N28" s="18"/>
      <c r="O28" s="16" t="s">
        <v>83</v>
      </c>
      <c r="P28" s="18"/>
    </row>
    <row r="29" spans="1:16" ht="16.5" customHeight="1">
      <c r="A29" s="10">
        <v>28</v>
      </c>
      <c r="B29" s="10">
        <v>4</v>
      </c>
      <c r="C29" s="10">
        <v>469</v>
      </c>
      <c r="D29" s="11" t="s">
        <v>4961</v>
      </c>
      <c r="E29" s="12" t="s">
        <v>4962</v>
      </c>
      <c r="F29" s="11" t="s">
        <v>4963</v>
      </c>
      <c r="G29" s="10"/>
      <c r="H29" s="13" t="s">
        <v>4964</v>
      </c>
      <c r="I29" s="16" t="s">
        <v>82</v>
      </c>
      <c r="J29" s="17"/>
      <c r="K29" s="17"/>
      <c r="L29" s="17"/>
      <c r="M29" s="17"/>
      <c r="N29" s="18"/>
      <c r="O29" s="16" t="s">
        <v>83</v>
      </c>
      <c r="P29" s="18"/>
    </row>
    <row r="30" spans="1:16" ht="16.5" customHeight="1">
      <c r="A30" s="10">
        <v>29</v>
      </c>
      <c r="B30" s="10">
        <v>4</v>
      </c>
      <c r="C30" s="10">
        <v>470</v>
      </c>
      <c r="D30" s="11" t="s">
        <v>4962</v>
      </c>
      <c r="E30" s="19" t="s">
        <v>4963</v>
      </c>
      <c r="F30" s="11" t="s">
        <v>4965</v>
      </c>
      <c r="G30" s="10" t="s">
        <v>802</v>
      </c>
      <c r="H30" s="13" t="s">
        <v>4966</v>
      </c>
      <c r="I30" s="16" t="s">
        <v>82</v>
      </c>
      <c r="J30" s="17"/>
      <c r="K30" s="17"/>
      <c r="L30" s="17"/>
      <c r="M30" s="17"/>
      <c r="N30" s="18"/>
      <c r="O30" s="16" t="s">
        <v>83</v>
      </c>
      <c r="P30" s="18"/>
    </row>
    <row r="31" spans="1:16" ht="16.5" customHeight="1">
      <c r="A31" s="10">
        <v>30</v>
      </c>
      <c r="B31" s="10">
        <v>4</v>
      </c>
      <c r="C31" s="10">
        <v>471</v>
      </c>
      <c r="D31" s="11" t="s">
        <v>4963</v>
      </c>
      <c r="E31" s="12" t="s">
        <v>4965</v>
      </c>
      <c r="F31" s="11" t="s">
        <v>4967</v>
      </c>
      <c r="G31" s="10"/>
      <c r="H31" s="13" t="s">
        <v>4968</v>
      </c>
      <c r="I31" s="16" t="s">
        <v>82</v>
      </c>
      <c r="J31" s="17"/>
      <c r="K31" s="17"/>
      <c r="L31" s="17"/>
      <c r="M31" s="17"/>
      <c r="N31" s="18"/>
      <c r="O31" s="16" t="s">
        <v>83</v>
      </c>
      <c r="P31" s="18"/>
    </row>
    <row r="32" spans="1:16" ht="16.5" customHeight="1">
      <c r="A32" s="10">
        <v>31</v>
      </c>
      <c r="B32" s="10">
        <v>4</v>
      </c>
      <c r="C32" s="10">
        <v>492</v>
      </c>
      <c r="D32" s="11" t="s">
        <v>4969</v>
      </c>
      <c r="E32" s="12" t="s">
        <v>4970</v>
      </c>
      <c r="F32" s="11" t="s">
        <v>4971</v>
      </c>
      <c r="G32" s="10"/>
      <c r="H32" s="13" t="s">
        <v>3569</v>
      </c>
      <c r="I32" s="16" t="s">
        <v>82</v>
      </c>
      <c r="J32" s="17"/>
      <c r="K32" s="17"/>
      <c r="L32" s="17"/>
      <c r="M32" s="17"/>
      <c r="N32" s="18"/>
      <c r="O32" s="16" t="s">
        <v>83</v>
      </c>
      <c r="P32" s="18"/>
    </row>
    <row r="33" spans="1:16" ht="16.5" customHeight="1">
      <c r="A33" s="10">
        <v>32</v>
      </c>
      <c r="B33" s="10">
        <v>4</v>
      </c>
      <c r="C33" s="10">
        <v>493</v>
      </c>
      <c r="D33" s="11" t="s">
        <v>4970</v>
      </c>
      <c r="E33" s="19" t="s">
        <v>4971</v>
      </c>
      <c r="F33" s="11" t="s">
        <v>4972</v>
      </c>
      <c r="G33" s="10" t="s">
        <v>85</v>
      </c>
      <c r="H33" s="13" t="s">
        <v>4973</v>
      </c>
      <c r="I33" s="16" t="s">
        <v>89</v>
      </c>
      <c r="J33" s="17" t="s">
        <v>368</v>
      </c>
      <c r="K33" s="17" t="s">
        <v>1961</v>
      </c>
      <c r="L33" s="17" t="s">
        <v>4974</v>
      </c>
      <c r="M33" s="17" t="s">
        <v>4975</v>
      </c>
      <c r="N33" s="18" t="s">
        <v>4976</v>
      </c>
      <c r="O33" s="16" t="s">
        <v>83</v>
      </c>
      <c r="P33" s="18"/>
    </row>
    <row r="34" spans="1:16" ht="16.5" customHeight="1">
      <c r="A34" s="10">
        <v>33</v>
      </c>
      <c r="B34" s="10">
        <v>4</v>
      </c>
      <c r="C34" s="10">
        <v>494</v>
      </c>
      <c r="D34" s="11" t="s">
        <v>4971</v>
      </c>
      <c r="E34" s="12" t="s">
        <v>4972</v>
      </c>
      <c r="F34" s="11" t="s">
        <v>4977</v>
      </c>
      <c r="G34" s="10"/>
      <c r="H34" s="13" t="s">
        <v>4978</v>
      </c>
      <c r="I34" s="16" t="s">
        <v>82</v>
      </c>
      <c r="J34" s="17"/>
      <c r="K34" s="17"/>
      <c r="L34" s="17"/>
      <c r="M34" s="17"/>
      <c r="N34" s="18"/>
      <c r="O34" s="16" t="s">
        <v>83</v>
      </c>
      <c r="P34" s="18"/>
    </row>
    <row r="35" spans="1:16" ht="16.5" customHeight="1">
      <c r="A35" s="10">
        <v>34</v>
      </c>
      <c r="B35" s="10">
        <v>4</v>
      </c>
      <c r="C35" s="10">
        <v>502</v>
      </c>
      <c r="D35" s="11" t="s">
        <v>4979</v>
      </c>
      <c r="E35" s="12" t="s">
        <v>4980</v>
      </c>
      <c r="F35" s="11" t="s">
        <v>4981</v>
      </c>
      <c r="G35" s="10"/>
      <c r="H35" s="13" t="s">
        <v>4716</v>
      </c>
      <c r="I35" s="16" t="s">
        <v>82</v>
      </c>
      <c r="J35" s="17"/>
      <c r="K35" s="17"/>
      <c r="L35" s="17"/>
      <c r="M35" s="17"/>
      <c r="N35" s="18"/>
      <c r="O35" s="16" t="s">
        <v>83</v>
      </c>
      <c r="P35" s="18"/>
    </row>
    <row r="36" spans="1:16" ht="16.5" customHeight="1">
      <c r="A36" s="10">
        <v>35</v>
      </c>
      <c r="B36" s="10">
        <v>4</v>
      </c>
      <c r="C36" s="10">
        <v>503</v>
      </c>
      <c r="D36" s="11" t="s">
        <v>4980</v>
      </c>
      <c r="E36" s="19" t="s">
        <v>4981</v>
      </c>
      <c r="F36" s="11" t="s">
        <v>4982</v>
      </c>
      <c r="G36" s="10" t="s">
        <v>2920</v>
      </c>
      <c r="H36" s="13" t="s">
        <v>4983</v>
      </c>
      <c r="I36" s="16" t="s">
        <v>82</v>
      </c>
      <c r="J36" s="17"/>
      <c r="K36" s="17"/>
      <c r="L36" s="17"/>
      <c r="M36" s="17"/>
      <c r="N36" s="18"/>
      <c r="O36" s="16" t="s">
        <v>83</v>
      </c>
      <c r="P36" s="18"/>
    </row>
    <row r="37" spans="1:16" ht="16.5" customHeight="1">
      <c r="A37" s="10">
        <v>36</v>
      </c>
      <c r="B37" s="10">
        <v>4</v>
      </c>
      <c r="C37" s="10">
        <v>504</v>
      </c>
      <c r="D37" s="11" t="s">
        <v>4981</v>
      </c>
      <c r="E37" s="12" t="s">
        <v>4982</v>
      </c>
      <c r="F37" s="11" t="s">
        <v>4984</v>
      </c>
      <c r="G37" s="10"/>
      <c r="H37" s="13" t="s">
        <v>4985</v>
      </c>
      <c r="I37" s="16" t="s">
        <v>82</v>
      </c>
      <c r="J37" s="17"/>
      <c r="K37" s="17"/>
      <c r="L37" s="17"/>
      <c r="M37" s="17"/>
      <c r="N37" s="18"/>
      <c r="O37" s="16" t="s">
        <v>83</v>
      </c>
      <c r="P37" s="18"/>
    </row>
    <row r="38" spans="1:16" ht="16.5" customHeight="1">
      <c r="A38" s="10">
        <v>37</v>
      </c>
      <c r="B38" s="10">
        <v>36</v>
      </c>
      <c r="C38" s="10">
        <v>27</v>
      </c>
      <c r="D38" s="11" t="s">
        <v>4986</v>
      </c>
      <c r="E38" s="12" t="s">
        <v>4987</v>
      </c>
      <c r="F38" s="11" t="s">
        <v>4988</v>
      </c>
      <c r="G38" s="10"/>
      <c r="H38" s="13" t="s">
        <v>4989</v>
      </c>
      <c r="I38" s="16" t="s">
        <v>82</v>
      </c>
      <c r="J38" s="17"/>
      <c r="K38" s="17"/>
      <c r="L38" s="17"/>
      <c r="M38" s="17"/>
      <c r="N38" s="18"/>
      <c r="O38" s="16" t="s">
        <v>83</v>
      </c>
      <c r="P38" s="18"/>
    </row>
    <row r="39" spans="1:16" ht="16.5" customHeight="1">
      <c r="A39" s="10">
        <v>38</v>
      </c>
      <c r="B39" s="10">
        <v>36</v>
      </c>
      <c r="C39" s="10">
        <v>28</v>
      </c>
      <c r="D39" s="11" t="s">
        <v>4987</v>
      </c>
      <c r="E39" s="19" t="s">
        <v>4988</v>
      </c>
      <c r="F39" s="11" t="s">
        <v>4990</v>
      </c>
      <c r="G39" s="10" t="s">
        <v>320</v>
      </c>
      <c r="H39" s="13" t="s">
        <v>4991</v>
      </c>
      <c r="I39" s="16" t="s">
        <v>89</v>
      </c>
      <c r="J39" s="17" t="s">
        <v>368</v>
      </c>
      <c r="K39" s="17" t="s">
        <v>91</v>
      </c>
      <c r="L39" s="17" t="s">
        <v>4988</v>
      </c>
      <c r="M39" s="17" t="s">
        <v>4992</v>
      </c>
      <c r="N39" s="18" t="s">
        <v>4993</v>
      </c>
      <c r="O39" s="16" t="s">
        <v>113</v>
      </c>
      <c r="P39" s="18"/>
    </row>
    <row r="40" spans="1:16" ht="16.5" customHeight="1">
      <c r="A40" s="10">
        <v>39</v>
      </c>
      <c r="B40" s="10">
        <v>36</v>
      </c>
      <c r="C40" s="10">
        <v>29</v>
      </c>
      <c r="D40" s="11" t="s">
        <v>4988</v>
      </c>
      <c r="E40" s="12" t="s">
        <v>4990</v>
      </c>
      <c r="F40" s="11" t="s">
        <v>4994</v>
      </c>
      <c r="G40" s="10"/>
      <c r="H40" s="13" t="s">
        <v>4995</v>
      </c>
      <c r="I40" s="16" t="s">
        <v>82</v>
      </c>
      <c r="J40" s="17"/>
      <c r="K40" s="17"/>
      <c r="L40" s="17"/>
      <c r="M40" s="17"/>
      <c r="N40" s="18"/>
      <c r="O40" s="16" t="s">
        <v>83</v>
      </c>
      <c r="P40" s="18"/>
    </row>
    <row r="41" spans="1:16" ht="16.5" customHeight="1">
      <c r="A41" s="10">
        <v>40</v>
      </c>
      <c r="B41" s="10">
        <v>36</v>
      </c>
      <c r="C41" s="10">
        <v>30</v>
      </c>
      <c r="D41" s="11" t="s">
        <v>4990</v>
      </c>
      <c r="E41" s="12" t="s">
        <v>4994</v>
      </c>
      <c r="F41" s="11" t="s">
        <v>4996</v>
      </c>
      <c r="G41" s="10"/>
      <c r="H41" s="13" t="s">
        <v>4997</v>
      </c>
      <c r="I41" s="16" t="s">
        <v>82</v>
      </c>
      <c r="J41" s="17"/>
      <c r="K41" s="17"/>
      <c r="L41" s="17"/>
      <c r="M41" s="17"/>
      <c r="N41" s="18"/>
      <c r="O41" s="16" t="s">
        <v>83</v>
      </c>
      <c r="P41" s="18"/>
    </row>
    <row r="42" spans="1:16" ht="16.5" customHeight="1">
      <c r="A42" s="10">
        <v>41</v>
      </c>
      <c r="B42" s="10">
        <v>36</v>
      </c>
      <c r="C42" s="10">
        <v>31</v>
      </c>
      <c r="D42" s="11" t="s">
        <v>4994</v>
      </c>
      <c r="E42" s="19" t="s">
        <v>4996</v>
      </c>
      <c r="F42" s="11" t="s">
        <v>4998</v>
      </c>
      <c r="G42" s="10" t="s">
        <v>3253</v>
      </c>
      <c r="H42" s="13" t="s">
        <v>4999</v>
      </c>
      <c r="I42" s="16" t="s">
        <v>82</v>
      </c>
      <c r="J42" s="17"/>
      <c r="K42" s="17"/>
      <c r="L42" s="17"/>
      <c r="M42" s="17"/>
      <c r="N42" s="18"/>
      <c r="O42" s="16" t="s">
        <v>83</v>
      </c>
      <c r="P42" s="18"/>
    </row>
    <row r="43" spans="1:16" ht="16.5" customHeight="1">
      <c r="A43" s="10">
        <v>42</v>
      </c>
      <c r="B43" s="10">
        <v>36</v>
      </c>
      <c r="C43" s="10">
        <v>32</v>
      </c>
      <c r="D43" s="11" t="s">
        <v>4996</v>
      </c>
      <c r="E43" s="12" t="s">
        <v>4998</v>
      </c>
      <c r="F43" s="11" t="s">
        <v>5000</v>
      </c>
      <c r="G43" s="10"/>
      <c r="H43" s="13" t="s">
        <v>5001</v>
      </c>
      <c r="I43" s="16" t="s">
        <v>82</v>
      </c>
      <c r="J43" s="17"/>
      <c r="K43" s="17"/>
      <c r="L43" s="17"/>
      <c r="M43" s="17"/>
      <c r="N43" s="18"/>
      <c r="O43" s="16" t="s">
        <v>83</v>
      </c>
      <c r="P43" s="18"/>
    </row>
    <row r="44" spans="1:16" ht="16.5" customHeight="1">
      <c r="A44" s="10">
        <v>43</v>
      </c>
      <c r="B44" s="10">
        <v>36</v>
      </c>
      <c r="C44" s="10">
        <v>133</v>
      </c>
      <c r="D44" s="11" t="s">
        <v>5002</v>
      </c>
      <c r="E44" s="12" t="s">
        <v>5003</v>
      </c>
      <c r="F44" s="11" t="s">
        <v>5004</v>
      </c>
      <c r="G44" s="10"/>
      <c r="H44" s="13" t="s">
        <v>5005</v>
      </c>
      <c r="I44" s="16" t="s">
        <v>82</v>
      </c>
      <c r="J44" s="17"/>
      <c r="K44" s="17"/>
      <c r="L44" s="17"/>
      <c r="M44" s="17"/>
      <c r="N44" s="18"/>
      <c r="O44" s="16" t="s">
        <v>83</v>
      </c>
      <c r="P44" s="18"/>
    </row>
    <row r="45" spans="1:16" ht="16.5" customHeight="1">
      <c r="A45" s="10">
        <v>44</v>
      </c>
      <c r="B45" s="10">
        <v>36</v>
      </c>
      <c r="C45" s="10">
        <v>134</v>
      </c>
      <c r="D45" s="11" t="s">
        <v>5003</v>
      </c>
      <c r="E45" s="19" t="s">
        <v>5004</v>
      </c>
      <c r="F45" s="11" t="s">
        <v>5006</v>
      </c>
      <c r="G45" s="10" t="s">
        <v>397</v>
      </c>
      <c r="H45" s="13" t="s">
        <v>5007</v>
      </c>
      <c r="I45" s="16" t="s">
        <v>82</v>
      </c>
      <c r="J45" s="17"/>
      <c r="K45" s="17"/>
      <c r="L45" s="17"/>
      <c r="M45" s="17"/>
      <c r="N45" s="18"/>
      <c r="O45" s="16" t="s">
        <v>83</v>
      </c>
      <c r="P45" s="18"/>
    </row>
    <row r="46" spans="1:16" ht="16.5" customHeight="1">
      <c r="A46" s="10">
        <v>45</v>
      </c>
      <c r="B46" s="10">
        <v>36</v>
      </c>
      <c r="C46" s="10">
        <v>135</v>
      </c>
      <c r="D46" s="11" t="s">
        <v>5004</v>
      </c>
      <c r="E46" s="12" t="s">
        <v>5006</v>
      </c>
      <c r="F46" s="11" t="s">
        <v>5008</v>
      </c>
      <c r="G46" s="10"/>
      <c r="H46" s="13" t="s">
        <v>5009</v>
      </c>
      <c r="I46" s="16" t="s">
        <v>82</v>
      </c>
      <c r="J46" s="17"/>
      <c r="K46" s="17"/>
      <c r="L46" s="17"/>
      <c r="M46" s="17"/>
      <c r="N46" s="18"/>
      <c r="O46" s="16" t="s">
        <v>83</v>
      </c>
      <c r="P46" s="18"/>
    </row>
    <row r="47" spans="1:16" ht="16.5" customHeight="1">
      <c r="A47" s="10">
        <v>46</v>
      </c>
      <c r="B47" s="10">
        <v>40</v>
      </c>
      <c r="C47" s="10">
        <v>62</v>
      </c>
      <c r="D47" s="11" t="s">
        <v>5010</v>
      </c>
      <c r="E47" s="12" t="s">
        <v>5011</v>
      </c>
      <c r="F47" s="11" t="s">
        <v>5012</v>
      </c>
      <c r="G47" s="10"/>
      <c r="H47" s="13" t="s">
        <v>262</v>
      </c>
      <c r="I47" s="16" t="s">
        <v>89</v>
      </c>
      <c r="J47" s="17" t="s">
        <v>155</v>
      </c>
      <c r="K47" s="17" t="s">
        <v>1961</v>
      </c>
      <c r="L47" s="17" t="s">
        <v>5013</v>
      </c>
      <c r="M47" s="17" t="s">
        <v>5014</v>
      </c>
      <c r="N47" s="18" t="s">
        <v>5015</v>
      </c>
      <c r="O47" s="16" t="s">
        <v>83</v>
      </c>
      <c r="P47" s="18"/>
    </row>
    <row r="48" spans="1:16" ht="16.5" customHeight="1">
      <c r="A48" s="10">
        <v>47</v>
      </c>
      <c r="B48" s="10">
        <v>40</v>
      </c>
      <c r="C48" s="10">
        <v>63</v>
      </c>
      <c r="D48" s="11" t="s">
        <v>5011</v>
      </c>
      <c r="E48" s="19" t="s">
        <v>5012</v>
      </c>
      <c r="F48" s="11" t="s">
        <v>5016</v>
      </c>
      <c r="G48" s="10" t="s">
        <v>575</v>
      </c>
      <c r="H48" s="13" t="s">
        <v>5017</v>
      </c>
      <c r="I48" s="16" t="s">
        <v>89</v>
      </c>
      <c r="J48" s="17" t="s">
        <v>155</v>
      </c>
      <c r="K48" s="17" t="s">
        <v>1961</v>
      </c>
      <c r="L48" s="17" t="s">
        <v>5012</v>
      </c>
      <c r="M48" s="17" t="s">
        <v>5014</v>
      </c>
      <c r="N48" s="18" t="s">
        <v>5018</v>
      </c>
      <c r="O48" s="16" t="s">
        <v>83</v>
      </c>
      <c r="P48" s="18"/>
    </row>
    <row r="49" spans="1:16" ht="16.5" customHeight="1">
      <c r="A49" s="10">
        <v>48</v>
      </c>
      <c r="B49" s="10">
        <v>40</v>
      </c>
      <c r="C49" s="10">
        <v>64</v>
      </c>
      <c r="D49" s="11" t="s">
        <v>5012</v>
      </c>
      <c r="E49" s="12" t="s">
        <v>5016</v>
      </c>
      <c r="F49" s="11"/>
      <c r="G49" s="10"/>
      <c r="H49" s="13" t="s">
        <v>5019</v>
      </c>
      <c r="I49" s="16" t="s">
        <v>82</v>
      </c>
      <c r="J49" s="17"/>
      <c r="K49" s="17"/>
      <c r="L49" s="17"/>
      <c r="M49" s="17"/>
      <c r="N49" s="18"/>
      <c r="O49" s="16" t="s">
        <v>83</v>
      </c>
      <c r="P49" s="18"/>
    </row>
    <row r="50" spans="1:16" ht="26.25" customHeight="1">
      <c r="A50" s="10">
        <v>49</v>
      </c>
      <c r="B50" s="10">
        <v>43</v>
      </c>
      <c r="C50" s="10">
        <v>116</v>
      </c>
      <c r="D50" s="11" t="s">
        <v>5020</v>
      </c>
      <c r="E50" s="12" t="s">
        <v>5021</v>
      </c>
      <c r="F50" s="11" t="s">
        <v>5022</v>
      </c>
      <c r="G50" s="10"/>
      <c r="H50" s="13" t="s">
        <v>5023</v>
      </c>
      <c r="I50" s="16" t="s">
        <v>82</v>
      </c>
      <c r="J50" s="17"/>
      <c r="K50" s="17"/>
      <c r="L50" s="17"/>
      <c r="M50" s="17"/>
      <c r="N50" s="18"/>
      <c r="O50" s="16" t="s">
        <v>83</v>
      </c>
      <c r="P50" s="18"/>
    </row>
    <row r="51" spans="1:16" ht="16.5" customHeight="1">
      <c r="A51" s="10">
        <v>50</v>
      </c>
      <c r="B51" s="10">
        <v>43</v>
      </c>
      <c r="C51" s="10">
        <v>117</v>
      </c>
      <c r="D51" s="11" t="s">
        <v>5021</v>
      </c>
      <c r="E51" s="19" t="s">
        <v>5022</v>
      </c>
      <c r="F51" s="11" t="s">
        <v>5024</v>
      </c>
      <c r="G51" s="10" t="s">
        <v>1244</v>
      </c>
      <c r="H51" s="13" t="s">
        <v>5025</v>
      </c>
      <c r="I51" s="16" t="s">
        <v>82</v>
      </c>
      <c r="J51" s="17"/>
      <c r="K51" s="17"/>
      <c r="L51" s="17"/>
      <c r="M51" s="17"/>
      <c r="N51" s="18"/>
      <c r="O51" s="16" t="s">
        <v>83</v>
      </c>
      <c r="P51" s="18"/>
    </row>
    <row r="52" spans="1:16" ht="16.5" customHeight="1">
      <c r="A52" s="10">
        <v>51</v>
      </c>
      <c r="B52" s="10">
        <v>43</v>
      </c>
      <c r="C52" s="10">
        <v>118</v>
      </c>
      <c r="D52" s="11" t="s">
        <v>5022</v>
      </c>
      <c r="E52" s="12" t="s">
        <v>5024</v>
      </c>
      <c r="F52" s="11" t="s">
        <v>5026</v>
      </c>
      <c r="G52" s="10"/>
      <c r="H52" s="13" t="s">
        <v>5027</v>
      </c>
      <c r="I52" s="16" t="s">
        <v>82</v>
      </c>
      <c r="J52" s="17"/>
      <c r="K52" s="17"/>
      <c r="L52" s="17"/>
      <c r="M52" s="17"/>
      <c r="N52" s="18"/>
      <c r="O52" s="16" t="s">
        <v>83</v>
      </c>
      <c r="P52" s="18"/>
    </row>
    <row r="53" spans="1:16" ht="16.5" customHeight="1">
      <c r="A53" s="10">
        <v>52</v>
      </c>
      <c r="B53" s="10">
        <v>43</v>
      </c>
      <c r="C53" s="10">
        <v>131</v>
      </c>
      <c r="D53" s="11" t="s">
        <v>5028</v>
      </c>
      <c r="E53" s="12" t="s">
        <v>5029</v>
      </c>
      <c r="F53" s="11" t="s">
        <v>5030</v>
      </c>
      <c r="G53" s="10"/>
      <c r="H53" s="13" t="s">
        <v>5031</v>
      </c>
      <c r="I53" s="16" t="s">
        <v>82</v>
      </c>
      <c r="J53" s="17"/>
      <c r="K53" s="17"/>
      <c r="L53" s="17"/>
      <c r="M53" s="17"/>
      <c r="N53" s="18"/>
      <c r="O53" s="16" t="s">
        <v>83</v>
      </c>
      <c r="P53" s="18"/>
    </row>
    <row r="54" spans="1:16" ht="16.5" customHeight="1">
      <c r="A54" s="10">
        <v>53</v>
      </c>
      <c r="B54" s="10">
        <v>43</v>
      </c>
      <c r="C54" s="10">
        <v>132</v>
      </c>
      <c r="D54" s="11" t="s">
        <v>5029</v>
      </c>
      <c r="E54" s="19" t="s">
        <v>5030</v>
      </c>
      <c r="F54" s="11" t="s">
        <v>5032</v>
      </c>
      <c r="G54" s="10" t="s">
        <v>1244</v>
      </c>
      <c r="H54" s="13" t="s">
        <v>5033</v>
      </c>
      <c r="I54" s="16" t="s">
        <v>82</v>
      </c>
      <c r="J54" s="17"/>
      <c r="K54" s="17"/>
      <c r="L54" s="17"/>
      <c r="M54" s="17"/>
      <c r="N54" s="18"/>
      <c r="O54" s="16" t="s">
        <v>83</v>
      </c>
      <c r="P54" s="18"/>
    </row>
    <row r="55" spans="1:16" ht="16.5" customHeight="1">
      <c r="A55" s="10">
        <v>54</v>
      </c>
      <c r="B55" s="10">
        <v>43</v>
      </c>
      <c r="C55" s="10">
        <v>133</v>
      </c>
      <c r="D55" s="11" t="s">
        <v>5030</v>
      </c>
      <c r="E55" s="12" t="s">
        <v>5032</v>
      </c>
      <c r="F55" s="11" t="s">
        <v>5034</v>
      </c>
      <c r="G55" s="10"/>
      <c r="H55" s="13" t="s">
        <v>5035</v>
      </c>
      <c r="I55" s="16" t="s">
        <v>82</v>
      </c>
      <c r="J55" s="17"/>
      <c r="K55" s="17"/>
      <c r="L55" s="17"/>
      <c r="M55" s="17"/>
      <c r="N55" s="18"/>
      <c r="O55" s="16" t="s">
        <v>83</v>
      </c>
      <c r="P55" s="18"/>
    </row>
    <row r="56" spans="1:16" ht="16.5" customHeight="1">
      <c r="A56" s="10">
        <v>55</v>
      </c>
      <c r="B56" s="10">
        <v>43</v>
      </c>
      <c r="C56" s="10">
        <v>241</v>
      </c>
      <c r="D56" s="11" t="s">
        <v>5036</v>
      </c>
      <c r="E56" s="12" t="s">
        <v>5037</v>
      </c>
      <c r="F56" s="11" t="s">
        <v>5038</v>
      </c>
      <c r="G56" s="10"/>
      <c r="H56" s="13" t="s">
        <v>5039</v>
      </c>
      <c r="I56" s="16" t="s">
        <v>82</v>
      </c>
      <c r="J56" s="17"/>
      <c r="K56" s="17"/>
      <c r="L56" s="17"/>
      <c r="M56" s="17"/>
      <c r="N56" s="18"/>
      <c r="O56" s="16" t="s">
        <v>83</v>
      </c>
      <c r="P56" s="18"/>
    </row>
    <row r="57" spans="1:16" ht="26.25" customHeight="1">
      <c r="A57" s="10">
        <v>56</v>
      </c>
      <c r="B57" s="10">
        <v>43</v>
      </c>
      <c r="C57" s="10">
        <v>242</v>
      </c>
      <c r="D57" s="11" t="s">
        <v>5037</v>
      </c>
      <c r="E57" s="19" t="s">
        <v>5038</v>
      </c>
      <c r="F57" s="11" t="s">
        <v>5040</v>
      </c>
      <c r="G57" s="10" t="s">
        <v>106</v>
      </c>
      <c r="H57" s="13" t="s">
        <v>5041</v>
      </c>
      <c r="I57" s="16" t="s">
        <v>82</v>
      </c>
      <c r="J57" s="17"/>
      <c r="K57" s="17"/>
      <c r="L57" s="17"/>
      <c r="M57" s="17"/>
      <c r="N57" s="18"/>
      <c r="O57" s="16" t="s">
        <v>83</v>
      </c>
      <c r="P57" s="18"/>
    </row>
    <row r="58" spans="1:16" ht="16.5" customHeight="1">
      <c r="A58" s="10">
        <v>57</v>
      </c>
      <c r="B58" s="10">
        <v>43</v>
      </c>
      <c r="C58" s="10">
        <v>243</v>
      </c>
      <c r="D58" s="11" t="s">
        <v>5038</v>
      </c>
      <c r="E58" s="12" t="s">
        <v>5040</v>
      </c>
      <c r="F58" s="11" t="s">
        <v>5042</v>
      </c>
      <c r="G58" s="10"/>
      <c r="H58" s="13" t="s">
        <v>3692</v>
      </c>
      <c r="I58" s="16" t="s">
        <v>82</v>
      </c>
      <c r="J58" s="17"/>
      <c r="K58" s="17"/>
      <c r="L58" s="17"/>
      <c r="M58" s="17"/>
      <c r="N58" s="18"/>
      <c r="O58" s="16" t="s">
        <v>83</v>
      </c>
      <c r="P58" s="18"/>
    </row>
    <row r="59" spans="1:16" ht="16.5" customHeight="1">
      <c r="A59" s="10">
        <v>58</v>
      </c>
      <c r="B59" s="10">
        <v>43</v>
      </c>
      <c r="C59" s="10">
        <v>274</v>
      </c>
      <c r="D59" s="11" t="s">
        <v>5043</v>
      </c>
      <c r="E59" s="12" t="s">
        <v>5044</v>
      </c>
      <c r="F59" s="11" t="s">
        <v>5045</v>
      </c>
      <c r="G59" s="10"/>
      <c r="H59" s="13"/>
      <c r="I59" s="16" t="s">
        <v>82</v>
      </c>
      <c r="J59" s="17"/>
      <c r="K59" s="17"/>
      <c r="L59" s="17"/>
      <c r="M59" s="17"/>
      <c r="N59" s="18"/>
      <c r="O59" s="16" t="s">
        <v>83</v>
      </c>
      <c r="P59" s="18"/>
    </row>
    <row r="60" spans="1:16" ht="16.5" customHeight="1">
      <c r="A60" s="10">
        <v>59</v>
      </c>
      <c r="B60" s="10">
        <v>43</v>
      </c>
      <c r="C60" s="10">
        <v>275</v>
      </c>
      <c r="D60" s="11" t="s">
        <v>5044</v>
      </c>
      <c r="E60" s="19" t="s">
        <v>5045</v>
      </c>
      <c r="F60" s="11" t="s">
        <v>5046</v>
      </c>
      <c r="G60" s="10" t="s">
        <v>2496</v>
      </c>
      <c r="H60" s="13" t="s">
        <v>5047</v>
      </c>
      <c r="I60" s="16" t="s">
        <v>82</v>
      </c>
      <c r="J60" s="17"/>
      <c r="K60" s="17"/>
      <c r="L60" s="17"/>
      <c r="M60" s="17"/>
      <c r="N60" s="18"/>
      <c r="O60" s="16" t="s">
        <v>83</v>
      </c>
      <c r="P60" s="18"/>
    </row>
    <row r="61" spans="1:16" ht="16.5" customHeight="1">
      <c r="A61" s="10">
        <v>60</v>
      </c>
      <c r="B61" s="10">
        <v>43</v>
      </c>
      <c r="C61" s="10">
        <v>276</v>
      </c>
      <c r="D61" s="11" t="s">
        <v>5045</v>
      </c>
      <c r="E61" s="12" t="s">
        <v>5046</v>
      </c>
      <c r="F61" s="11" t="s">
        <v>5048</v>
      </c>
      <c r="G61" s="10"/>
      <c r="H61" s="13" t="s">
        <v>1993</v>
      </c>
      <c r="I61" s="16" t="s">
        <v>82</v>
      </c>
      <c r="J61" s="17"/>
      <c r="K61" s="17"/>
      <c r="L61" s="17"/>
      <c r="M61" s="17"/>
      <c r="N61" s="18"/>
      <c r="O61" s="16" t="s">
        <v>83</v>
      </c>
      <c r="P61" s="18"/>
    </row>
    <row r="62" spans="1:16" ht="16.5" customHeight="1">
      <c r="A62" s="10">
        <v>61</v>
      </c>
      <c r="B62" s="10">
        <v>43</v>
      </c>
      <c r="C62" s="10">
        <v>291</v>
      </c>
      <c r="D62" s="11" t="s">
        <v>5049</v>
      </c>
      <c r="E62" s="12" t="s">
        <v>5050</v>
      </c>
      <c r="F62" s="11" t="s">
        <v>5051</v>
      </c>
      <c r="G62" s="10"/>
      <c r="H62" s="13" t="s">
        <v>5052</v>
      </c>
      <c r="I62" s="16" t="s">
        <v>89</v>
      </c>
      <c r="J62" s="17" t="s">
        <v>155</v>
      </c>
      <c r="K62" s="17" t="s">
        <v>1961</v>
      </c>
      <c r="L62" s="17" t="s">
        <v>5053</v>
      </c>
      <c r="M62" s="17" t="s">
        <v>5054</v>
      </c>
      <c r="N62" s="18" t="s">
        <v>5055</v>
      </c>
      <c r="O62" s="16" t="s">
        <v>83</v>
      </c>
      <c r="P62" s="18"/>
    </row>
    <row r="63" spans="1:16" ht="16.5" customHeight="1">
      <c r="A63" s="10">
        <v>62</v>
      </c>
      <c r="B63" s="10">
        <v>43</v>
      </c>
      <c r="C63" s="10">
        <v>292</v>
      </c>
      <c r="D63" s="11" t="s">
        <v>5050</v>
      </c>
      <c r="E63" s="19" t="s">
        <v>5051</v>
      </c>
      <c r="F63" s="11" t="s">
        <v>5056</v>
      </c>
      <c r="G63" s="10" t="s">
        <v>85</v>
      </c>
      <c r="H63" s="13" t="s">
        <v>5057</v>
      </c>
      <c r="I63" s="16" t="s">
        <v>82</v>
      </c>
      <c r="J63" s="17"/>
      <c r="K63" s="17"/>
      <c r="L63" s="17"/>
      <c r="M63" s="17"/>
      <c r="N63" s="18"/>
      <c r="O63" s="16" t="s">
        <v>83</v>
      </c>
      <c r="P63" s="18"/>
    </row>
    <row r="64" spans="1:16" ht="16.5" customHeight="1">
      <c r="A64" s="10">
        <v>63</v>
      </c>
      <c r="B64" s="10">
        <v>43</v>
      </c>
      <c r="C64" s="10">
        <v>293</v>
      </c>
      <c r="D64" s="11" t="s">
        <v>5051</v>
      </c>
      <c r="E64" s="12" t="s">
        <v>5056</v>
      </c>
      <c r="F64" s="11" t="s">
        <v>5058</v>
      </c>
      <c r="G64" s="10"/>
      <c r="H64" s="13" t="s">
        <v>5059</v>
      </c>
      <c r="I64" s="16" t="s">
        <v>82</v>
      </c>
      <c r="J64" s="17"/>
      <c r="K64" s="17"/>
      <c r="L64" s="17"/>
      <c r="M64" s="17"/>
      <c r="N64" s="18"/>
      <c r="O64" s="16" t="s">
        <v>83</v>
      </c>
      <c r="P64" s="18"/>
    </row>
    <row r="65" spans="1:16" ht="16.5" customHeight="1">
      <c r="A65" s="10">
        <v>64</v>
      </c>
      <c r="B65" s="10">
        <v>43</v>
      </c>
      <c r="C65" s="10">
        <v>304</v>
      </c>
      <c r="D65" s="11" t="s">
        <v>5060</v>
      </c>
      <c r="E65" s="12" t="s">
        <v>5061</v>
      </c>
      <c r="F65" s="11" t="s">
        <v>5062</v>
      </c>
      <c r="G65" s="10"/>
      <c r="H65" s="13" t="s">
        <v>5063</v>
      </c>
      <c r="I65" s="16" t="s">
        <v>89</v>
      </c>
      <c r="J65" s="17" t="s">
        <v>155</v>
      </c>
      <c r="K65" s="17" t="s">
        <v>1961</v>
      </c>
      <c r="L65" s="17" t="s">
        <v>5064</v>
      </c>
      <c r="M65" s="17" t="s">
        <v>5065</v>
      </c>
      <c r="N65" s="18" t="s">
        <v>5066</v>
      </c>
      <c r="O65" s="16" t="s">
        <v>83</v>
      </c>
      <c r="P65" s="18"/>
    </row>
    <row r="66" spans="1:16" ht="16.5" customHeight="1">
      <c r="A66" s="10">
        <v>65</v>
      </c>
      <c r="B66" s="10">
        <v>43</v>
      </c>
      <c r="C66" s="10">
        <v>305</v>
      </c>
      <c r="D66" s="11" t="s">
        <v>5061</v>
      </c>
      <c r="E66" s="19" t="s">
        <v>5062</v>
      </c>
      <c r="F66" s="11" t="s">
        <v>5067</v>
      </c>
      <c r="G66" s="10" t="s">
        <v>3253</v>
      </c>
      <c r="H66" s="13" t="s">
        <v>5068</v>
      </c>
      <c r="I66" s="16" t="s">
        <v>82</v>
      </c>
      <c r="J66" s="17"/>
      <c r="K66" s="17"/>
      <c r="L66" s="17"/>
      <c r="M66" s="17"/>
      <c r="N66" s="18"/>
      <c r="O66" s="16" t="s">
        <v>83</v>
      </c>
      <c r="P66" s="18"/>
    </row>
    <row r="67" spans="1:16" ht="16.5" customHeight="1">
      <c r="A67" s="10">
        <v>66</v>
      </c>
      <c r="B67" s="10">
        <v>43</v>
      </c>
      <c r="C67" s="10">
        <v>306</v>
      </c>
      <c r="D67" s="11" t="s">
        <v>5062</v>
      </c>
      <c r="E67" s="12" t="s">
        <v>5067</v>
      </c>
      <c r="F67" s="11" t="s">
        <v>5069</v>
      </c>
      <c r="G67" s="10"/>
      <c r="H67" s="13" t="s">
        <v>5070</v>
      </c>
      <c r="I67" s="16" t="s">
        <v>82</v>
      </c>
      <c r="J67" s="17"/>
      <c r="K67" s="17"/>
      <c r="L67" s="17"/>
      <c r="M67" s="17"/>
      <c r="N67" s="18"/>
      <c r="O67" s="16" t="s">
        <v>83</v>
      </c>
      <c r="P67" s="18"/>
    </row>
    <row r="68" spans="1:16" ht="16.5" customHeight="1">
      <c r="A68" s="10">
        <v>67</v>
      </c>
      <c r="B68" s="10">
        <v>43</v>
      </c>
      <c r="C68" s="10">
        <v>321</v>
      </c>
      <c r="D68" s="11" t="s">
        <v>5071</v>
      </c>
      <c r="E68" s="12" t="s">
        <v>5072</v>
      </c>
      <c r="F68" s="11" t="s">
        <v>5073</v>
      </c>
      <c r="G68" s="10"/>
      <c r="H68" s="13" t="s">
        <v>5074</v>
      </c>
      <c r="I68" s="16" t="s">
        <v>82</v>
      </c>
      <c r="J68" s="17"/>
      <c r="K68" s="17"/>
      <c r="L68" s="17"/>
      <c r="M68" s="17"/>
      <c r="N68" s="18"/>
      <c r="O68" s="16" t="s">
        <v>83</v>
      </c>
      <c r="P68" s="18"/>
    </row>
    <row r="69" spans="1:16" ht="16.5" customHeight="1">
      <c r="A69" s="10">
        <v>68</v>
      </c>
      <c r="B69" s="10">
        <v>43</v>
      </c>
      <c r="C69" s="10">
        <v>322</v>
      </c>
      <c r="D69" s="11" t="s">
        <v>5072</v>
      </c>
      <c r="E69" s="19" t="s">
        <v>5073</v>
      </c>
      <c r="F69" s="11" t="s">
        <v>5075</v>
      </c>
      <c r="G69" s="10" t="s">
        <v>160</v>
      </c>
      <c r="H69" s="13" t="s">
        <v>5076</v>
      </c>
      <c r="I69" s="16" t="s">
        <v>82</v>
      </c>
      <c r="J69" s="17"/>
      <c r="K69" s="17"/>
      <c r="L69" s="17"/>
      <c r="M69" s="17"/>
      <c r="N69" s="18"/>
      <c r="O69" s="16" t="s">
        <v>83</v>
      </c>
      <c r="P69" s="18"/>
    </row>
    <row r="70" spans="1:16" ht="16.5" customHeight="1">
      <c r="A70" s="10">
        <v>69</v>
      </c>
      <c r="B70" s="10">
        <v>43</v>
      </c>
      <c r="C70" s="10">
        <v>323</v>
      </c>
      <c r="D70" s="11" t="s">
        <v>5073</v>
      </c>
      <c r="E70" s="12" t="s">
        <v>5075</v>
      </c>
      <c r="F70" s="11" t="s">
        <v>5077</v>
      </c>
      <c r="G70" s="10"/>
      <c r="H70" s="13" t="s">
        <v>5078</v>
      </c>
      <c r="I70" s="16" t="s">
        <v>82</v>
      </c>
      <c r="J70" s="17"/>
      <c r="K70" s="17"/>
      <c r="L70" s="17"/>
      <c r="M70" s="17"/>
      <c r="N70" s="18"/>
      <c r="O70" s="16" t="s">
        <v>83</v>
      </c>
      <c r="P70" s="18"/>
    </row>
    <row r="71" spans="1:16" ht="16.5" customHeight="1">
      <c r="A71" s="10">
        <v>70</v>
      </c>
      <c r="B71" s="10">
        <v>43</v>
      </c>
      <c r="C71" s="10">
        <v>328</v>
      </c>
      <c r="D71" s="11" t="s">
        <v>5079</v>
      </c>
      <c r="E71" s="12" t="s">
        <v>5080</v>
      </c>
      <c r="F71" s="11" t="s">
        <v>5081</v>
      </c>
      <c r="G71" s="10"/>
      <c r="H71" s="13" t="s">
        <v>5082</v>
      </c>
      <c r="I71" s="16" t="s">
        <v>82</v>
      </c>
      <c r="J71" s="17"/>
      <c r="K71" s="17"/>
      <c r="L71" s="17"/>
      <c r="M71" s="17"/>
      <c r="N71" s="18"/>
      <c r="O71" s="16" t="s">
        <v>83</v>
      </c>
      <c r="P71" s="18"/>
    </row>
    <row r="72" spans="1:16" ht="16.5" customHeight="1">
      <c r="A72" s="10">
        <v>71</v>
      </c>
      <c r="B72" s="10">
        <v>43</v>
      </c>
      <c r="C72" s="10">
        <v>329</v>
      </c>
      <c r="D72" s="11" t="s">
        <v>5080</v>
      </c>
      <c r="E72" s="19" t="s">
        <v>5081</v>
      </c>
      <c r="F72" s="11" t="s">
        <v>5083</v>
      </c>
      <c r="G72" s="10" t="s">
        <v>1957</v>
      </c>
      <c r="H72" s="13" t="s">
        <v>5084</v>
      </c>
      <c r="I72" s="16" t="s">
        <v>82</v>
      </c>
      <c r="J72" s="17"/>
      <c r="K72" s="17"/>
      <c r="L72" s="17"/>
      <c r="M72" s="17"/>
      <c r="N72" s="18"/>
      <c r="O72" s="16" t="s">
        <v>83</v>
      </c>
      <c r="P72" s="18"/>
    </row>
    <row r="73" spans="1:16" ht="16.5" customHeight="1">
      <c r="A73" s="10">
        <v>72</v>
      </c>
      <c r="B73" s="10">
        <v>43</v>
      </c>
      <c r="C73" s="10">
        <v>330</v>
      </c>
      <c r="D73" s="11" t="s">
        <v>5081</v>
      </c>
      <c r="E73" s="12" t="s">
        <v>5083</v>
      </c>
      <c r="F73" s="11" t="s">
        <v>5085</v>
      </c>
      <c r="G73" s="10"/>
      <c r="H73" s="13" t="s">
        <v>5086</v>
      </c>
      <c r="I73" s="16" t="s">
        <v>82</v>
      </c>
      <c r="J73" s="17"/>
      <c r="K73" s="17"/>
      <c r="L73" s="17"/>
      <c r="M73" s="17"/>
      <c r="N73" s="18"/>
      <c r="O73" s="16" t="s">
        <v>83</v>
      </c>
      <c r="P73" s="18"/>
    </row>
    <row r="74" spans="1:16" ht="16.5" customHeight="1">
      <c r="A74" s="10">
        <v>73</v>
      </c>
      <c r="B74" s="10">
        <v>43</v>
      </c>
      <c r="C74" s="10">
        <v>332</v>
      </c>
      <c r="D74" s="11" t="s">
        <v>5085</v>
      </c>
      <c r="E74" s="12" t="s">
        <v>5087</v>
      </c>
      <c r="F74" s="11" t="s">
        <v>5088</v>
      </c>
      <c r="G74" s="10"/>
      <c r="H74" s="13" t="s">
        <v>5089</v>
      </c>
      <c r="I74" s="16" t="s">
        <v>82</v>
      </c>
      <c r="J74" s="17"/>
      <c r="K74" s="17"/>
      <c r="L74" s="17"/>
      <c r="M74" s="17"/>
      <c r="N74" s="18"/>
      <c r="O74" s="16" t="s">
        <v>83</v>
      </c>
      <c r="P74" s="18"/>
    </row>
    <row r="75" spans="1:16" ht="16.5" customHeight="1">
      <c r="A75" s="10">
        <v>74</v>
      </c>
      <c r="B75" s="10">
        <v>43</v>
      </c>
      <c r="C75" s="10">
        <v>333</v>
      </c>
      <c r="D75" s="11" t="s">
        <v>5087</v>
      </c>
      <c r="E75" s="19" t="s">
        <v>5088</v>
      </c>
      <c r="F75" s="11" t="s">
        <v>5090</v>
      </c>
      <c r="G75" s="10" t="s">
        <v>397</v>
      </c>
      <c r="H75" s="13" t="s">
        <v>5091</v>
      </c>
      <c r="I75" s="16" t="s">
        <v>82</v>
      </c>
      <c r="J75" s="17"/>
      <c r="K75" s="17"/>
      <c r="L75" s="17"/>
      <c r="M75" s="17"/>
      <c r="N75" s="18"/>
      <c r="O75" s="16" t="s">
        <v>83</v>
      </c>
      <c r="P75" s="18"/>
    </row>
    <row r="76" spans="1:16" ht="16.5" customHeight="1">
      <c r="A76" s="10">
        <v>75</v>
      </c>
      <c r="B76" s="10">
        <v>43</v>
      </c>
      <c r="C76" s="10">
        <v>334</v>
      </c>
      <c r="D76" s="11" t="s">
        <v>5088</v>
      </c>
      <c r="E76" s="12" t="s">
        <v>5090</v>
      </c>
      <c r="F76" s="11" t="s">
        <v>5092</v>
      </c>
      <c r="G76" s="10"/>
      <c r="H76" s="13" t="s">
        <v>5093</v>
      </c>
      <c r="I76" s="16" t="s">
        <v>82</v>
      </c>
      <c r="J76" s="17"/>
      <c r="K76" s="17"/>
      <c r="L76" s="17"/>
      <c r="M76" s="17"/>
      <c r="N76" s="18"/>
      <c r="O76" s="16" t="s">
        <v>83</v>
      </c>
      <c r="P76" s="18"/>
    </row>
    <row r="77" spans="1:16" ht="16.5" customHeight="1">
      <c r="A77" s="10">
        <v>76</v>
      </c>
      <c r="B77" s="10">
        <v>43</v>
      </c>
      <c r="C77" s="10">
        <v>409</v>
      </c>
      <c r="D77" s="11" t="s">
        <v>5094</v>
      </c>
      <c r="E77" s="12" t="s">
        <v>5095</v>
      </c>
      <c r="F77" s="11" t="s">
        <v>5096</v>
      </c>
      <c r="G77" s="10"/>
      <c r="H77" s="13" t="s">
        <v>5097</v>
      </c>
      <c r="I77" s="16" t="s">
        <v>82</v>
      </c>
      <c r="J77" s="17"/>
      <c r="K77" s="17"/>
      <c r="L77" s="17"/>
      <c r="M77" s="17"/>
      <c r="N77" s="18"/>
      <c r="O77" s="16" t="s">
        <v>83</v>
      </c>
      <c r="P77" s="18"/>
    </row>
    <row r="78" spans="1:16" ht="16.5" customHeight="1">
      <c r="A78" s="10">
        <v>77</v>
      </c>
      <c r="B78" s="10">
        <v>43</v>
      </c>
      <c r="C78" s="10">
        <v>410</v>
      </c>
      <c r="D78" s="11" t="s">
        <v>5095</v>
      </c>
      <c r="E78" s="19" t="s">
        <v>5096</v>
      </c>
      <c r="F78" s="11" t="s">
        <v>5098</v>
      </c>
      <c r="G78" s="10" t="s">
        <v>2496</v>
      </c>
      <c r="H78" s="13" t="s">
        <v>5099</v>
      </c>
      <c r="I78" s="16" t="s">
        <v>82</v>
      </c>
      <c r="J78" s="17"/>
      <c r="K78" s="17"/>
      <c r="L78" s="17"/>
      <c r="M78" s="17"/>
      <c r="N78" s="18"/>
      <c r="O78" s="16" t="s">
        <v>83</v>
      </c>
      <c r="P78" s="18"/>
    </row>
    <row r="79" spans="1:16" ht="16.5" customHeight="1">
      <c r="A79" s="10">
        <v>78</v>
      </c>
      <c r="B79" s="10">
        <v>43</v>
      </c>
      <c r="C79" s="10">
        <v>411</v>
      </c>
      <c r="D79" s="11" t="s">
        <v>5096</v>
      </c>
      <c r="E79" s="12" t="s">
        <v>5098</v>
      </c>
      <c r="F79" s="11" t="s">
        <v>5100</v>
      </c>
      <c r="G79" s="10"/>
      <c r="H79" s="13" t="s">
        <v>5101</v>
      </c>
      <c r="I79" s="16" t="s">
        <v>82</v>
      </c>
      <c r="J79" s="17"/>
      <c r="K79" s="17"/>
      <c r="L79" s="17"/>
      <c r="M79" s="17"/>
      <c r="N79" s="18"/>
      <c r="O79" s="16" t="s">
        <v>83</v>
      </c>
      <c r="P79" s="18"/>
    </row>
    <row r="80" spans="1:16" ht="16.5" customHeight="1">
      <c r="A80" s="10">
        <v>79</v>
      </c>
      <c r="B80" s="10">
        <v>44</v>
      </c>
      <c r="C80" s="10">
        <v>43</v>
      </c>
      <c r="D80" s="11" t="s">
        <v>5102</v>
      </c>
      <c r="E80" s="12" t="s">
        <v>5103</v>
      </c>
      <c r="F80" s="11" t="s">
        <v>5104</v>
      </c>
      <c r="G80" s="10"/>
      <c r="H80" s="13" t="s">
        <v>3451</v>
      </c>
      <c r="I80" s="16" t="s">
        <v>82</v>
      </c>
      <c r="J80" s="17"/>
      <c r="K80" s="17"/>
      <c r="L80" s="17"/>
      <c r="M80" s="17"/>
      <c r="N80" s="18"/>
      <c r="O80" s="16" t="s">
        <v>83</v>
      </c>
      <c r="P80" s="18"/>
    </row>
    <row r="81" spans="1:16" ht="16.5" customHeight="1">
      <c r="A81" s="10">
        <v>80</v>
      </c>
      <c r="B81" s="10">
        <v>44</v>
      </c>
      <c r="C81" s="10">
        <v>44</v>
      </c>
      <c r="D81" s="11" t="s">
        <v>5103</v>
      </c>
      <c r="E81" s="19" t="s">
        <v>5104</v>
      </c>
      <c r="F81" s="11" t="s">
        <v>5105</v>
      </c>
      <c r="G81" s="10" t="s">
        <v>827</v>
      </c>
      <c r="H81" s="13" t="s">
        <v>5106</v>
      </c>
      <c r="I81" s="16" t="s">
        <v>82</v>
      </c>
      <c r="J81" s="17"/>
      <c r="K81" s="17"/>
      <c r="L81" s="17"/>
      <c r="M81" s="17"/>
      <c r="N81" s="18"/>
      <c r="O81" s="16" t="s">
        <v>83</v>
      </c>
      <c r="P81" s="18"/>
    </row>
    <row r="82" spans="1:16" ht="26.25" customHeight="1">
      <c r="A82" s="10">
        <v>81</v>
      </c>
      <c r="B82" s="10">
        <v>44</v>
      </c>
      <c r="C82" s="10">
        <v>45</v>
      </c>
      <c r="D82" s="11" t="s">
        <v>5104</v>
      </c>
      <c r="E82" s="12" t="s">
        <v>5105</v>
      </c>
      <c r="F82" s="11" t="s">
        <v>5107</v>
      </c>
      <c r="G82" s="10"/>
      <c r="H82" s="13" t="s">
        <v>5108</v>
      </c>
      <c r="I82" s="16" t="s">
        <v>82</v>
      </c>
      <c r="J82" s="17"/>
      <c r="K82" s="17"/>
      <c r="L82" s="17"/>
      <c r="M82" s="17"/>
      <c r="N82" s="18"/>
      <c r="O82" s="16" t="s">
        <v>83</v>
      </c>
      <c r="P82" s="18"/>
    </row>
    <row r="83" spans="1:16" ht="16.5" customHeight="1">
      <c r="A83" s="10">
        <v>82</v>
      </c>
      <c r="B83" s="10">
        <v>44</v>
      </c>
      <c r="C83" s="10">
        <v>59</v>
      </c>
      <c r="D83" s="11" t="s">
        <v>5109</v>
      </c>
      <c r="E83" s="12" t="s">
        <v>5110</v>
      </c>
      <c r="F83" s="11" t="s">
        <v>5111</v>
      </c>
      <c r="G83" s="10"/>
      <c r="H83" s="13" t="s">
        <v>5112</v>
      </c>
      <c r="I83" s="16" t="s">
        <v>82</v>
      </c>
      <c r="J83" s="17"/>
      <c r="K83" s="17"/>
      <c r="L83" s="17"/>
      <c r="M83" s="17"/>
      <c r="N83" s="18"/>
      <c r="O83" s="16" t="s">
        <v>83</v>
      </c>
      <c r="P83" s="18"/>
    </row>
    <row r="84" spans="1:16" ht="16.5" customHeight="1">
      <c r="A84" s="10">
        <v>83</v>
      </c>
      <c r="B84" s="10">
        <v>44</v>
      </c>
      <c r="C84" s="10">
        <v>60</v>
      </c>
      <c r="D84" s="11" t="s">
        <v>5110</v>
      </c>
      <c r="E84" s="19" t="s">
        <v>5111</v>
      </c>
      <c r="F84" s="11" t="s">
        <v>5113</v>
      </c>
      <c r="G84" s="10" t="s">
        <v>85</v>
      </c>
      <c r="H84" s="13" t="s">
        <v>5114</v>
      </c>
      <c r="I84" s="16" t="s">
        <v>82</v>
      </c>
      <c r="J84" s="17"/>
      <c r="K84" s="17"/>
      <c r="L84" s="17"/>
      <c r="M84" s="17"/>
      <c r="N84" s="18"/>
      <c r="O84" s="16" t="s">
        <v>83</v>
      </c>
      <c r="P84" s="18"/>
    </row>
    <row r="85" spans="1:16" ht="16.5" customHeight="1">
      <c r="A85" s="10">
        <v>84</v>
      </c>
      <c r="B85" s="10">
        <v>44</v>
      </c>
      <c r="C85" s="10">
        <v>61</v>
      </c>
      <c r="D85" s="11" t="s">
        <v>5111</v>
      </c>
      <c r="E85" s="12" t="s">
        <v>5113</v>
      </c>
      <c r="F85" s="11" t="s">
        <v>5115</v>
      </c>
      <c r="G85" s="10"/>
      <c r="H85" s="13" t="s">
        <v>5116</v>
      </c>
      <c r="I85" s="16" t="s">
        <v>82</v>
      </c>
      <c r="J85" s="17"/>
      <c r="K85" s="17"/>
      <c r="L85" s="17"/>
      <c r="M85" s="17"/>
      <c r="N85" s="18"/>
      <c r="O85" s="16" t="s">
        <v>83</v>
      </c>
      <c r="P85" s="18"/>
    </row>
    <row r="86" spans="1:16" ht="16.5" customHeight="1">
      <c r="A86" s="10">
        <v>85</v>
      </c>
      <c r="B86" s="10">
        <v>44</v>
      </c>
      <c r="C86" s="10">
        <v>69</v>
      </c>
      <c r="D86" s="11" t="s">
        <v>5117</v>
      </c>
      <c r="E86" s="12" t="s">
        <v>5118</v>
      </c>
      <c r="F86" s="11" t="s">
        <v>5119</v>
      </c>
      <c r="G86" s="10"/>
      <c r="H86" s="13" t="s">
        <v>5120</v>
      </c>
      <c r="I86" s="16" t="s">
        <v>82</v>
      </c>
      <c r="J86" s="17"/>
      <c r="K86" s="17"/>
      <c r="L86" s="17"/>
      <c r="M86" s="17"/>
      <c r="N86" s="18"/>
      <c r="O86" s="16" t="s">
        <v>83</v>
      </c>
      <c r="P86" s="18"/>
    </row>
    <row r="87" spans="1:16" ht="16.5" customHeight="1">
      <c r="A87" s="10">
        <v>86</v>
      </c>
      <c r="B87" s="10">
        <v>44</v>
      </c>
      <c r="C87" s="10">
        <v>70</v>
      </c>
      <c r="D87" s="11" t="s">
        <v>5118</v>
      </c>
      <c r="E87" s="19" t="s">
        <v>5119</v>
      </c>
      <c r="F87" s="11" t="s">
        <v>5121</v>
      </c>
      <c r="G87" s="10" t="s">
        <v>2496</v>
      </c>
      <c r="H87" s="13" t="s">
        <v>5099</v>
      </c>
      <c r="I87" s="16" t="s">
        <v>82</v>
      </c>
      <c r="J87" s="17"/>
      <c r="K87" s="17"/>
      <c r="L87" s="17"/>
      <c r="M87" s="17"/>
      <c r="N87" s="18"/>
      <c r="O87" s="16" t="s">
        <v>83</v>
      </c>
      <c r="P87" s="18"/>
    </row>
    <row r="88" spans="1:16" ht="16.5" customHeight="1">
      <c r="A88" s="10">
        <v>87</v>
      </c>
      <c r="B88" s="10">
        <v>44</v>
      </c>
      <c r="C88" s="10">
        <v>71</v>
      </c>
      <c r="D88" s="11" t="s">
        <v>5119</v>
      </c>
      <c r="E88" s="19" t="s">
        <v>5121</v>
      </c>
      <c r="F88" s="11" t="s">
        <v>5122</v>
      </c>
      <c r="G88" s="10" t="s">
        <v>633</v>
      </c>
      <c r="H88" s="13" t="s">
        <v>5123</v>
      </c>
      <c r="I88" s="16" t="s">
        <v>82</v>
      </c>
      <c r="J88" s="17"/>
      <c r="K88" s="17"/>
      <c r="L88" s="17"/>
      <c r="M88" s="17"/>
      <c r="N88" s="18"/>
      <c r="O88" s="16" t="s">
        <v>83</v>
      </c>
      <c r="P88" s="18"/>
    </row>
    <row r="89" spans="1:16" ht="16.5" customHeight="1">
      <c r="A89" s="10">
        <v>88</v>
      </c>
      <c r="B89" s="10">
        <v>44</v>
      </c>
      <c r="C89" s="10">
        <v>72</v>
      </c>
      <c r="D89" s="11" t="s">
        <v>5121</v>
      </c>
      <c r="E89" s="19" t="s">
        <v>5122</v>
      </c>
      <c r="F89" s="11" t="s">
        <v>5124</v>
      </c>
      <c r="G89" s="10" t="s">
        <v>2920</v>
      </c>
      <c r="H89" s="13" t="s">
        <v>5125</v>
      </c>
      <c r="I89" s="16" t="s">
        <v>89</v>
      </c>
      <c r="J89" s="17" t="s">
        <v>90</v>
      </c>
      <c r="K89" s="17" t="s">
        <v>91</v>
      </c>
      <c r="L89" s="17" t="s">
        <v>3188</v>
      </c>
      <c r="M89" s="17" t="s">
        <v>3189</v>
      </c>
      <c r="N89" s="18" t="s">
        <v>3190</v>
      </c>
      <c r="O89" s="16" t="s">
        <v>83</v>
      </c>
      <c r="P89" s="18"/>
    </row>
    <row r="90" spans="1:16" ht="16.5" customHeight="1">
      <c r="A90" s="10">
        <v>89</v>
      </c>
      <c r="B90" s="10">
        <v>44</v>
      </c>
      <c r="C90" s="10">
        <v>73</v>
      </c>
      <c r="D90" s="11" t="s">
        <v>5122</v>
      </c>
      <c r="E90" s="19" t="s">
        <v>5124</v>
      </c>
      <c r="F90" s="11" t="s">
        <v>5126</v>
      </c>
      <c r="G90" s="10" t="s">
        <v>2920</v>
      </c>
      <c r="H90" s="13" t="s">
        <v>5127</v>
      </c>
      <c r="I90" s="16" t="s">
        <v>82</v>
      </c>
      <c r="J90" s="17"/>
      <c r="K90" s="17"/>
      <c r="L90" s="17"/>
      <c r="M90" s="17"/>
      <c r="N90" s="18"/>
      <c r="O90" s="16" t="s">
        <v>83</v>
      </c>
      <c r="P90" s="18"/>
    </row>
    <row r="91" spans="1:16" ht="16.5" customHeight="1">
      <c r="A91" s="10">
        <v>90</v>
      </c>
      <c r="B91" s="10">
        <v>44</v>
      </c>
      <c r="C91" s="10">
        <v>74</v>
      </c>
      <c r="D91" s="11" t="s">
        <v>5124</v>
      </c>
      <c r="E91" s="12" t="s">
        <v>5126</v>
      </c>
      <c r="F91" s="11" t="s">
        <v>5128</v>
      </c>
      <c r="G91" s="10"/>
      <c r="H91" s="13"/>
      <c r="I91" s="16" t="s">
        <v>82</v>
      </c>
      <c r="J91" s="17"/>
      <c r="K91" s="17"/>
      <c r="L91" s="17"/>
      <c r="M91" s="17"/>
      <c r="N91" s="18"/>
      <c r="O91" s="16" t="s">
        <v>83</v>
      </c>
      <c r="P91" s="18"/>
    </row>
    <row r="92" spans="1:16" ht="16.5" customHeight="1">
      <c r="A92" s="10">
        <v>91</v>
      </c>
      <c r="B92" s="10">
        <v>44</v>
      </c>
      <c r="C92" s="10">
        <v>113</v>
      </c>
      <c r="D92" s="11" t="s">
        <v>5129</v>
      </c>
      <c r="E92" s="12" t="s">
        <v>5130</v>
      </c>
      <c r="F92" s="11" t="s">
        <v>5131</v>
      </c>
      <c r="G92" s="10"/>
      <c r="H92" s="13" t="s">
        <v>5132</v>
      </c>
      <c r="I92" s="16" t="s">
        <v>82</v>
      </c>
      <c r="J92" s="17"/>
      <c r="K92" s="17"/>
      <c r="L92" s="17"/>
      <c r="M92" s="17"/>
      <c r="N92" s="18"/>
      <c r="O92" s="16" t="s">
        <v>83</v>
      </c>
      <c r="P92" s="18"/>
    </row>
    <row r="93" spans="1:16" ht="16.5" customHeight="1">
      <c r="A93" s="10">
        <v>92</v>
      </c>
      <c r="B93" s="10">
        <v>44</v>
      </c>
      <c r="C93" s="10">
        <v>114</v>
      </c>
      <c r="D93" s="11" t="s">
        <v>5130</v>
      </c>
      <c r="E93" s="19" t="s">
        <v>5131</v>
      </c>
      <c r="F93" s="11" t="s">
        <v>5133</v>
      </c>
      <c r="G93" s="10" t="s">
        <v>633</v>
      </c>
      <c r="H93" s="13" t="s">
        <v>5134</v>
      </c>
      <c r="I93" s="16" t="s">
        <v>82</v>
      </c>
      <c r="J93" s="17"/>
      <c r="K93" s="17"/>
      <c r="L93" s="17"/>
      <c r="M93" s="17"/>
      <c r="N93" s="18"/>
      <c r="O93" s="16" t="s">
        <v>83</v>
      </c>
      <c r="P93" s="18"/>
    </row>
    <row r="94" spans="1:16" ht="16.5" customHeight="1">
      <c r="A94" s="10">
        <v>93</v>
      </c>
      <c r="B94" s="10">
        <v>44</v>
      </c>
      <c r="C94" s="10">
        <v>115</v>
      </c>
      <c r="D94" s="11" t="s">
        <v>5131</v>
      </c>
      <c r="E94" s="12" t="s">
        <v>5133</v>
      </c>
      <c r="F94" s="11" t="s">
        <v>5135</v>
      </c>
      <c r="G94" s="10"/>
      <c r="H94" s="13" t="s">
        <v>5136</v>
      </c>
      <c r="I94" s="16" t="s">
        <v>82</v>
      </c>
      <c r="J94" s="17"/>
      <c r="K94" s="17"/>
      <c r="L94" s="17"/>
      <c r="M94" s="17"/>
      <c r="N94" s="18"/>
      <c r="O94" s="16" t="s">
        <v>83</v>
      </c>
      <c r="P94" s="18"/>
    </row>
    <row r="95" spans="1:16" ht="16.5" customHeight="1">
      <c r="A95" s="10">
        <v>94</v>
      </c>
      <c r="B95" s="10">
        <v>44</v>
      </c>
      <c r="C95" s="10">
        <v>176</v>
      </c>
      <c r="D95" s="11" t="s">
        <v>5137</v>
      </c>
      <c r="E95" s="12" t="s">
        <v>5138</v>
      </c>
      <c r="F95" s="11" t="s">
        <v>5139</v>
      </c>
      <c r="G95" s="10"/>
      <c r="H95" s="13" t="s">
        <v>5140</v>
      </c>
      <c r="I95" s="16" t="s">
        <v>82</v>
      </c>
      <c r="J95" s="17"/>
      <c r="K95" s="17"/>
      <c r="L95" s="17"/>
      <c r="M95" s="17"/>
      <c r="N95" s="18"/>
      <c r="O95" s="16" t="s">
        <v>83</v>
      </c>
      <c r="P95" s="18"/>
    </row>
    <row r="96" spans="1:16" ht="16.5" customHeight="1">
      <c r="A96" s="10">
        <v>95</v>
      </c>
      <c r="B96" s="10">
        <v>44</v>
      </c>
      <c r="C96" s="10">
        <v>177</v>
      </c>
      <c r="D96" s="11" t="s">
        <v>5138</v>
      </c>
      <c r="E96" s="19" t="s">
        <v>5139</v>
      </c>
      <c r="F96" s="11" t="s">
        <v>5141</v>
      </c>
      <c r="G96" s="10" t="s">
        <v>320</v>
      </c>
      <c r="H96" s="13" t="s">
        <v>5142</v>
      </c>
      <c r="I96" s="16" t="s">
        <v>82</v>
      </c>
      <c r="J96" s="17"/>
      <c r="K96" s="17"/>
      <c r="L96" s="17"/>
      <c r="M96" s="17"/>
      <c r="N96" s="18"/>
      <c r="O96" s="16" t="s">
        <v>83</v>
      </c>
      <c r="P96" s="18"/>
    </row>
    <row r="97" spans="1:16" ht="16.5" customHeight="1">
      <c r="A97" s="10">
        <v>96</v>
      </c>
      <c r="B97" s="10">
        <v>44</v>
      </c>
      <c r="C97" s="10">
        <v>178</v>
      </c>
      <c r="D97" s="11" t="s">
        <v>5139</v>
      </c>
      <c r="E97" s="12" t="s">
        <v>5141</v>
      </c>
      <c r="F97" s="11" t="s">
        <v>5143</v>
      </c>
      <c r="G97" s="10"/>
      <c r="H97" s="13" t="s">
        <v>5144</v>
      </c>
      <c r="I97" s="16" t="s">
        <v>82</v>
      </c>
      <c r="J97" s="17"/>
      <c r="K97" s="17"/>
      <c r="L97" s="17"/>
      <c r="M97" s="17"/>
      <c r="N97" s="18"/>
      <c r="O97" s="16" t="s">
        <v>83</v>
      </c>
      <c r="P97" s="18"/>
    </row>
    <row r="98" spans="1:16" ht="16.5" customHeight="1">
      <c r="A98" s="10">
        <v>97</v>
      </c>
      <c r="B98" s="10">
        <v>44</v>
      </c>
      <c r="C98" s="10">
        <v>275</v>
      </c>
      <c r="D98" s="11" t="s">
        <v>5145</v>
      </c>
      <c r="E98" s="12" t="s">
        <v>5146</v>
      </c>
      <c r="F98" s="11" t="s">
        <v>5147</v>
      </c>
      <c r="G98" s="10"/>
      <c r="H98" s="13" t="s">
        <v>262</v>
      </c>
      <c r="I98" s="16" t="s">
        <v>82</v>
      </c>
      <c r="J98" s="17"/>
      <c r="K98" s="17"/>
      <c r="L98" s="17"/>
      <c r="M98" s="17"/>
      <c r="N98" s="18"/>
      <c r="O98" s="16" t="s">
        <v>83</v>
      </c>
      <c r="P98" s="18"/>
    </row>
    <row r="99" spans="1:16" ht="16.5" customHeight="1">
      <c r="A99" s="10">
        <v>98</v>
      </c>
      <c r="B99" s="10">
        <v>44</v>
      </c>
      <c r="C99" s="10">
        <v>276</v>
      </c>
      <c r="D99" s="11" t="s">
        <v>5146</v>
      </c>
      <c r="E99" s="19" t="s">
        <v>5147</v>
      </c>
      <c r="F99" s="11" t="s">
        <v>3048</v>
      </c>
      <c r="G99" s="10" t="s">
        <v>3253</v>
      </c>
      <c r="H99" s="13" t="s">
        <v>5148</v>
      </c>
      <c r="I99" s="16" t="s">
        <v>82</v>
      </c>
      <c r="J99" s="17"/>
      <c r="K99" s="17"/>
      <c r="L99" s="17"/>
      <c r="M99" s="17"/>
      <c r="N99" s="18"/>
      <c r="O99" s="16" t="s">
        <v>83</v>
      </c>
      <c r="P99" s="18"/>
    </row>
    <row r="100" spans="1:16" ht="16.5" customHeight="1">
      <c r="A100" s="10">
        <v>99</v>
      </c>
      <c r="B100" s="10">
        <v>44</v>
      </c>
      <c r="C100" s="10">
        <v>277</v>
      </c>
      <c r="D100" s="11" t="s">
        <v>5147</v>
      </c>
      <c r="E100" s="12" t="s">
        <v>3048</v>
      </c>
      <c r="F100" s="11" t="s">
        <v>5149</v>
      </c>
      <c r="G100" s="10"/>
      <c r="H100" s="13" t="s">
        <v>3050</v>
      </c>
      <c r="I100" s="16" t="s">
        <v>82</v>
      </c>
      <c r="J100" s="17"/>
      <c r="K100" s="17"/>
      <c r="L100" s="17"/>
      <c r="M100" s="17"/>
      <c r="N100" s="18"/>
      <c r="O100" s="16" t="s">
        <v>83</v>
      </c>
      <c r="P100" s="18"/>
    </row>
    <row r="101" spans="1:16" ht="16.5" customHeight="1">
      <c r="A101" s="10">
        <v>100</v>
      </c>
      <c r="B101" s="10">
        <v>46</v>
      </c>
      <c r="C101" s="10">
        <v>97</v>
      </c>
      <c r="D101" s="11" t="s">
        <v>5150</v>
      </c>
      <c r="E101" s="12" t="s">
        <v>5151</v>
      </c>
      <c r="F101" s="11" t="s">
        <v>5152</v>
      </c>
      <c r="G101" s="10"/>
      <c r="H101" s="13" t="s">
        <v>5153</v>
      </c>
      <c r="I101" s="16" t="s">
        <v>82</v>
      </c>
      <c r="J101" s="17"/>
      <c r="K101" s="17"/>
      <c r="L101" s="17"/>
      <c r="M101" s="17"/>
      <c r="N101" s="18"/>
      <c r="O101" s="16" t="s">
        <v>83</v>
      </c>
      <c r="P101" s="18"/>
    </row>
    <row r="102" spans="1:16" ht="26.25" customHeight="1">
      <c r="A102" s="10">
        <v>101</v>
      </c>
      <c r="B102" s="10">
        <v>46</v>
      </c>
      <c r="C102" s="10">
        <v>98</v>
      </c>
      <c r="D102" s="11" t="s">
        <v>5151</v>
      </c>
      <c r="E102" s="19" t="s">
        <v>5152</v>
      </c>
      <c r="F102" s="11" t="s">
        <v>5154</v>
      </c>
      <c r="G102" s="10" t="s">
        <v>397</v>
      </c>
      <c r="H102" s="13" t="s">
        <v>5155</v>
      </c>
      <c r="I102" s="16" t="s">
        <v>89</v>
      </c>
      <c r="J102" s="17" t="s">
        <v>155</v>
      </c>
      <c r="K102" s="17" t="s">
        <v>1145</v>
      </c>
      <c r="L102" s="17" t="s">
        <v>5156</v>
      </c>
      <c r="M102" s="17" t="s">
        <v>5157</v>
      </c>
      <c r="N102" s="18" t="s">
        <v>5158</v>
      </c>
      <c r="O102" s="16" t="s">
        <v>83</v>
      </c>
      <c r="P102" s="18"/>
    </row>
    <row r="103" spans="1:16" ht="16.5" customHeight="1">
      <c r="A103" s="10">
        <v>102</v>
      </c>
      <c r="B103" s="10">
        <v>46</v>
      </c>
      <c r="C103" s="10">
        <v>99</v>
      </c>
      <c r="D103" s="11" t="s">
        <v>5152</v>
      </c>
      <c r="E103" s="12" t="s">
        <v>5154</v>
      </c>
      <c r="F103" s="11" t="s">
        <v>5159</v>
      </c>
      <c r="G103" s="10"/>
      <c r="H103" s="13" t="s">
        <v>5160</v>
      </c>
      <c r="I103" s="16" t="s">
        <v>82</v>
      </c>
      <c r="J103" s="17"/>
      <c r="K103" s="17"/>
      <c r="L103" s="17"/>
      <c r="M103" s="17"/>
      <c r="N103" s="18"/>
      <c r="O103" s="16" t="s">
        <v>83</v>
      </c>
      <c r="P103" s="18"/>
    </row>
    <row r="104" spans="1:16" ht="16.5" customHeight="1">
      <c r="A104" s="10">
        <v>103</v>
      </c>
      <c r="B104" s="10">
        <v>46</v>
      </c>
      <c r="C104" s="10">
        <v>107</v>
      </c>
      <c r="D104" s="11" t="s">
        <v>5161</v>
      </c>
      <c r="E104" s="12" t="s">
        <v>5162</v>
      </c>
      <c r="F104" s="11" t="s">
        <v>5163</v>
      </c>
      <c r="G104" s="10"/>
      <c r="H104" s="13" t="s">
        <v>5164</v>
      </c>
      <c r="I104" s="16" t="s">
        <v>82</v>
      </c>
      <c r="J104" s="17"/>
      <c r="K104" s="17"/>
      <c r="L104" s="17"/>
      <c r="M104" s="17"/>
      <c r="N104" s="18"/>
      <c r="O104" s="16" t="s">
        <v>83</v>
      </c>
      <c r="P104" s="18"/>
    </row>
    <row r="105" spans="1:16" ht="16.5" customHeight="1">
      <c r="A105" s="10">
        <v>104</v>
      </c>
      <c r="B105" s="10">
        <v>46</v>
      </c>
      <c r="C105" s="10">
        <v>108</v>
      </c>
      <c r="D105" s="11" t="s">
        <v>5162</v>
      </c>
      <c r="E105" s="19" t="s">
        <v>5163</v>
      </c>
      <c r="F105" s="11" t="s">
        <v>5165</v>
      </c>
      <c r="G105" s="10" t="s">
        <v>133</v>
      </c>
      <c r="H105" s="13" t="s">
        <v>5166</v>
      </c>
      <c r="I105" s="16" t="s">
        <v>82</v>
      </c>
      <c r="J105" s="17"/>
      <c r="K105" s="17"/>
      <c r="L105" s="17"/>
      <c r="M105" s="17"/>
      <c r="N105" s="18"/>
      <c r="O105" s="16" t="s">
        <v>83</v>
      </c>
      <c r="P105" s="18"/>
    </row>
    <row r="106" spans="1:16" ht="16.5" customHeight="1">
      <c r="A106" s="10">
        <v>105</v>
      </c>
      <c r="B106" s="10">
        <v>46</v>
      </c>
      <c r="C106" s="10">
        <v>109</v>
      </c>
      <c r="D106" s="11" t="s">
        <v>5163</v>
      </c>
      <c r="E106" s="12" t="s">
        <v>5165</v>
      </c>
      <c r="F106" s="11" t="s">
        <v>5167</v>
      </c>
      <c r="G106" s="10"/>
      <c r="H106" s="13"/>
      <c r="I106" s="16" t="s">
        <v>82</v>
      </c>
      <c r="J106" s="17"/>
      <c r="K106" s="17"/>
      <c r="L106" s="17"/>
      <c r="M106" s="17"/>
      <c r="N106" s="18"/>
      <c r="O106" s="16" t="s">
        <v>83</v>
      </c>
      <c r="P106" s="18"/>
    </row>
    <row r="107" spans="1:16" ht="26.25" customHeight="1">
      <c r="A107" s="10">
        <v>106</v>
      </c>
      <c r="B107" s="10">
        <v>46</v>
      </c>
      <c r="C107" s="10">
        <v>162</v>
      </c>
      <c r="D107" s="11" t="s">
        <v>5168</v>
      </c>
      <c r="E107" s="12" t="s">
        <v>5169</v>
      </c>
      <c r="F107" s="11" t="s">
        <v>5170</v>
      </c>
      <c r="G107" s="10"/>
      <c r="H107" s="13" t="s">
        <v>5171</v>
      </c>
      <c r="I107" s="16" t="s">
        <v>82</v>
      </c>
      <c r="J107" s="17"/>
      <c r="K107" s="17"/>
      <c r="L107" s="17"/>
      <c r="M107" s="17"/>
      <c r="N107" s="18"/>
      <c r="O107" s="16" t="s">
        <v>83</v>
      </c>
      <c r="P107" s="18"/>
    </row>
    <row r="108" spans="1:16" ht="16.5" customHeight="1">
      <c r="A108" s="10">
        <v>107</v>
      </c>
      <c r="B108" s="10">
        <v>46</v>
      </c>
      <c r="C108" s="10">
        <v>163</v>
      </c>
      <c r="D108" s="11" t="s">
        <v>5169</v>
      </c>
      <c r="E108" s="19" t="s">
        <v>5170</v>
      </c>
      <c r="F108" s="11" t="s">
        <v>5172</v>
      </c>
      <c r="G108" s="10" t="s">
        <v>1533</v>
      </c>
      <c r="H108" s="13" t="s">
        <v>5173</v>
      </c>
      <c r="I108" s="16" t="s">
        <v>82</v>
      </c>
      <c r="J108" s="17"/>
      <c r="K108" s="17"/>
      <c r="L108" s="17"/>
      <c r="M108" s="17"/>
      <c r="N108" s="18"/>
      <c r="O108" s="16" t="s">
        <v>83</v>
      </c>
      <c r="P108" s="18"/>
    </row>
    <row r="109" spans="1:16" ht="16.5" customHeight="1">
      <c r="A109" s="10">
        <v>108</v>
      </c>
      <c r="B109" s="10">
        <v>46</v>
      </c>
      <c r="C109" s="10">
        <v>164</v>
      </c>
      <c r="D109" s="11" t="s">
        <v>5170</v>
      </c>
      <c r="E109" s="12" t="s">
        <v>5172</v>
      </c>
      <c r="F109" s="11" t="s">
        <v>5174</v>
      </c>
      <c r="G109" s="10"/>
      <c r="H109" s="13" t="s">
        <v>5175</v>
      </c>
      <c r="I109" s="16" t="s">
        <v>82</v>
      </c>
      <c r="J109" s="17"/>
      <c r="K109" s="17"/>
      <c r="L109" s="17"/>
      <c r="M109" s="17"/>
      <c r="N109" s="18"/>
      <c r="O109" s="16" t="s">
        <v>83</v>
      </c>
      <c r="P109" s="18"/>
    </row>
    <row r="110" spans="1:16" ht="16.5" customHeight="1">
      <c r="A110" s="10">
        <v>109</v>
      </c>
      <c r="B110" s="10">
        <v>46</v>
      </c>
      <c r="C110" s="10">
        <v>175</v>
      </c>
      <c r="D110" s="11" t="s">
        <v>5176</v>
      </c>
      <c r="E110" s="12" t="s">
        <v>5177</v>
      </c>
      <c r="F110" s="11" t="s">
        <v>5178</v>
      </c>
      <c r="G110" s="10"/>
      <c r="H110" s="13" t="s">
        <v>5179</v>
      </c>
      <c r="I110" s="16" t="s">
        <v>82</v>
      </c>
      <c r="J110" s="17"/>
      <c r="K110" s="17"/>
      <c r="L110" s="17"/>
      <c r="M110" s="17"/>
      <c r="N110" s="18"/>
      <c r="O110" s="16" t="s">
        <v>83</v>
      </c>
      <c r="P110" s="18"/>
    </row>
    <row r="111" spans="1:16" ht="16.5" customHeight="1">
      <c r="A111" s="10">
        <v>110</v>
      </c>
      <c r="B111" s="10">
        <v>46</v>
      </c>
      <c r="C111" s="10">
        <v>176</v>
      </c>
      <c r="D111" s="11" t="s">
        <v>5177</v>
      </c>
      <c r="E111" s="19" t="s">
        <v>5178</v>
      </c>
      <c r="F111" s="11" t="s">
        <v>5180</v>
      </c>
      <c r="G111" s="10" t="s">
        <v>1655</v>
      </c>
      <c r="H111" s="13" t="s">
        <v>5181</v>
      </c>
      <c r="I111" s="16" t="s">
        <v>82</v>
      </c>
      <c r="J111" s="17"/>
      <c r="K111" s="17"/>
      <c r="L111" s="17"/>
      <c r="M111" s="17"/>
      <c r="N111" s="18"/>
      <c r="O111" s="16" t="s">
        <v>83</v>
      </c>
      <c r="P111" s="18"/>
    </row>
    <row r="112" spans="1:16" ht="16.5" customHeight="1">
      <c r="A112" s="10">
        <v>111</v>
      </c>
      <c r="B112" s="10">
        <v>46</v>
      </c>
      <c r="C112" s="10">
        <v>177</v>
      </c>
      <c r="D112" s="11" t="s">
        <v>5178</v>
      </c>
      <c r="E112" s="12" t="s">
        <v>5180</v>
      </c>
      <c r="F112" s="11" t="s">
        <v>5182</v>
      </c>
      <c r="G112" s="10"/>
      <c r="H112" s="13" t="s">
        <v>5183</v>
      </c>
      <c r="I112" s="16" t="s">
        <v>82</v>
      </c>
      <c r="J112" s="17"/>
      <c r="K112" s="17"/>
      <c r="L112" s="17"/>
      <c r="M112" s="17"/>
      <c r="N112" s="18"/>
      <c r="O112" s="16" t="s">
        <v>83</v>
      </c>
      <c r="P112" s="18"/>
    </row>
    <row r="113" spans="1:16" ht="16.5" customHeight="1">
      <c r="A113" s="10">
        <v>112</v>
      </c>
      <c r="B113" s="10">
        <v>46</v>
      </c>
      <c r="C113" s="10">
        <v>263</v>
      </c>
      <c r="D113" s="11" t="s">
        <v>5184</v>
      </c>
      <c r="E113" s="12" t="s">
        <v>5185</v>
      </c>
      <c r="F113" s="11" t="s">
        <v>5186</v>
      </c>
      <c r="G113" s="10"/>
      <c r="H113" s="13" t="s">
        <v>4290</v>
      </c>
      <c r="I113" s="16" t="s">
        <v>82</v>
      </c>
      <c r="J113" s="17"/>
      <c r="K113" s="17"/>
      <c r="L113" s="17"/>
      <c r="M113" s="17"/>
      <c r="N113" s="18"/>
      <c r="O113" s="16" t="s">
        <v>83</v>
      </c>
      <c r="P113" s="18"/>
    </row>
    <row r="114" spans="1:16" ht="16.5" customHeight="1">
      <c r="A114" s="10">
        <v>113</v>
      </c>
      <c r="B114" s="10">
        <v>46</v>
      </c>
      <c r="C114" s="10">
        <v>264</v>
      </c>
      <c r="D114" s="11" t="s">
        <v>5185</v>
      </c>
      <c r="E114" s="19" t="s">
        <v>5186</v>
      </c>
      <c r="F114" s="11" t="s">
        <v>5187</v>
      </c>
      <c r="G114" s="10" t="s">
        <v>575</v>
      </c>
      <c r="H114" s="13" t="s">
        <v>5188</v>
      </c>
      <c r="I114" s="16" t="s">
        <v>89</v>
      </c>
      <c r="J114" s="17" t="s">
        <v>128</v>
      </c>
      <c r="K114" s="17" t="s">
        <v>209</v>
      </c>
      <c r="L114" s="17" t="s">
        <v>5186</v>
      </c>
      <c r="M114" s="17" t="s">
        <v>5189</v>
      </c>
      <c r="N114" s="18" t="s">
        <v>5190</v>
      </c>
      <c r="O114" s="16" t="s">
        <v>113</v>
      </c>
      <c r="P114" s="18"/>
    </row>
    <row r="115" spans="1:16" ht="16.5" customHeight="1">
      <c r="A115" s="10">
        <v>114</v>
      </c>
      <c r="B115" s="10">
        <v>46</v>
      </c>
      <c r="C115" s="10">
        <v>265</v>
      </c>
      <c r="D115" s="11" t="s">
        <v>5186</v>
      </c>
      <c r="E115" s="12" t="s">
        <v>5187</v>
      </c>
      <c r="F115" s="11" t="s">
        <v>5191</v>
      </c>
      <c r="G115" s="10"/>
      <c r="H115" s="13" t="s">
        <v>5192</v>
      </c>
      <c r="I115" s="16" t="s">
        <v>82</v>
      </c>
      <c r="J115" s="17"/>
      <c r="K115" s="17"/>
      <c r="L115" s="17"/>
      <c r="M115" s="17"/>
      <c r="N115" s="18"/>
      <c r="O115" s="16" t="s">
        <v>83</v>
      </c>
      <c r="P115" s="18"/>
    </row>
    <row r="116" spans="1:16" ht="16.5" customHeight="1">
      <c r="A116" s="10">
        <v>115</v>
      </c>
      <c r="B116" s="10">
        <v>46</v>
      </c>
      <c r="C116" s="10">
        <v>289</v>
      </c>
      <c r="D116" s="11" t="s">
        <v>5193</v>
      </c>
      <c r="E116" s="12" t="s">
        <v>5194</v>
      </c>
      <c r="F116" s="11" t="s">
        <v>5195</v>
      </c>
      <c r="G116" s="10"/>
      <c r="H116" s="13" t="s">
        <v>866</v>
      </c>
      <c r="I116" s="16" t="s">
        <v>82</v>
      </c>
      <c r="J116" s="17"/>
      <c r="K116" s="17"/>
      <c r="L116" s="17"/>
      <c r="M116" s="17"/>
      <c r="N116" s="18"/>
      <c r="O116" s="16" t="s">
        <v>83</v>
      </c>
      <c r="P116" s="18"/>
    </row>
    <row r="117" spans="1:16" ht="16.5" customHeight="1">
      <c r="A117" s="10">
        <v>116</v>
      </c>
      <c r="B117" s="10">
        <v>46</v>
      </c>
      <c r="C117" s="10">
        <v>290</v>
      </c>
      <c r="D117" s="11" t="s">
        <v>5194</v>
      </c>
      <c r="E117" s="19" t="s">
        <v>5195</v>
      </c>
      <c r="F117" s="11" t="s">
        <v>5196</v>
      </c>
      <c r="G117" s="10" t="s">
        <v>338</v>
      </c>
      <c r="H117" s="13" t="s">
        <v>5197</v>
      </c>
      <c r="I117" s="16" t="s">
        <v>89</v>
      </c>
      <c r="J117" s="17" t="s">
        <v>155</v>
      </c>
      <c r="K117" s="17" t="s">
        <v>209</v>
      </c>
      <c r="L117" s="17" t="s">
        <v>5198</v>
      </c>
      <c r="M117" s="17" t="s">
        <v>2619</v>
      </c>
      <c r="N117" s="18" t="s">
        <v>5199</v>
      </c>
      <c r="O117" s="16" t="s">
        <v>113</v>
      </c>
      <c r="P117" s="18"/>
    </row>
    <row r="118" spans="1:16" ht="26.25" customHeight="1">
      <c r="A118" s="10">
        <v>117</v>
      </c>
      <c r="B118" s="10">
        <v>46</v>
      </c>
      <c r="C118" s="10">
        <v>291</v>
      </c>
      <c r="D118" s="11" t="s">
        <v>5195</v>
      </c>
      <c r="E118" s="12" t="s">
        <v>5196</v>
      </c>
      <c r="F118" s="11" t="s">
        <v>5200</v>
      </c>
      <c r="G118" s="10"/>
      <c r="H118" s="13" t="s">
        <v>5201</v>
      </c>
      <c r="I118" s="16" t="s">
        <v>89</v>
      </c>
      <c r="J118" s="17" t="s">
        <v>128</v>
      </c>
      <c r="K118" s="17" t="s">
        <v>209</v>
      </c>
      <c r="L118" s="17" t="s">
        <v>5202</v>
      </c>
      <c r="M118" s="17" t="s">
        <v>5203</v>
      </c>
      <c r="N118" s="18" t="s">
        <v>5204</v>
      </c>
      <c r="O118" s="16" t="s">
        <v>83</v>
      </c>
      <c r="P118" s="18"/>
    </row>
    <row r="119" spans="1:16" ht="16.5" customHeight="1">
      <c r="A119" s="10">
        <v>118</v>
      </c>
      <c r="B119" s="10">
        <v>46</v>
      </c>
      <c r="C119" s="10">
        <v>321</v>
      </c>
      <c r="D119" s="11" t="s">
        <v>5205</v>
      </c>
      <c r="E119" s="12" t="s">
        <v>5206</v>
      </c>
      <c r="F119" s="11" t="s">
        <v>5207</v>
      </c>
      <c r="G119" s="10"/>
      <c r="H119" s="13" t="s">
        <v>5208</v>
      </c>
      <c r="I119" s="16" t="s">
        <v>89</v>
      </c>
      <c r="J119" s="17" t="s">
        <v>222</v>
      </c>
      <c r="K119" s="17" t="s">
        <v>209</v>
      </c>
      <c r="L119" s="17" t="s">
        <v>5209</v>
      </c>
      <c r="M119" s="17" t="s">
        <v>5210</v>
      </c>
      <c r="N119" s="18" t="s">
        <v>5211</v>
      </c>
      <c r="O119" s="16" t="s">
        <v>83</v>
      </c>
      <c r="P119" s="18"/>
    </row>
    <row r="120" spans="1:16" ht="26.25" customHeight="1">
      <c r="A120" s="10">
        <v>119</v>
      </c>
      <c r="B120" s="10">
        <v>46</v>
      </c>
      <c r="C120" s="10">
        <v>322</v>
      </c>
      <c r="D120" s="11" t="s">
        <v>5206</v>
      </c>
      <c r="E120" s="19" t="s">
        <v>5207</v>
      </c>
      <c r="F120" s="11" t="s">
        <v>5212</v>
      </c>
      <c r="G120" s="10" t="s">
        <v>85</v>
      </c>
      <c r="H120" s="13" t="s">
        <v>5213</v>
      </c>
      <c r="I120" s="16" t="s">
        <v>82</v>
      </c>
      <c r="J120" s="17"/>
      <c r="K120" s="17"/>
      <c r="L120" s="17"/>
      <c r="M120" s="17"/>
      <c r="N120" s="18"/>
      <c r="O120" s="16" t="s">
        <v>83</v>
      </c>
      <c r="P120" s="18"/>
    </row>
    <row r="121" spans="1:16" ht="16.5" customHeight="1">
      <c r="A121" s="10">
        <v>120</v>
      </c>
      <c r="B121" s="10">
        <v>46</v>
      </c>
      <c r="C121" s="10">
        <v>323</v>
      </c>
      <c r="D121" s="11" t="s">
        <v>5207</v>
      </c>
      <c r="E121" s="12" t="s">
        <v>5212</v>
      </c>
      <c r="F121" s="11" t="s">
        <v>5214</v>
      </c>
      <c r="G121" s="10"/>
      <c r="H121" s="13" t="s">
        <v>5215</v>
      </c>
      <c r="I121" s="16" t="s">
        <v>82</v>
      </c>
      <c r="J121" s="17"/>
      <c r="K121" s="17"/>
      <c r="L121" s="17"/>
      <c r="M121" s="17"/>
      <c r="N121" s="18"/>
      <c r="O121" s="16" t="s">
        <v>83</v>
      </c>
      <c r="P121" s="18"/>
    </row>
    <row r="122" spans="1:16" ht="16.5" customHeight="1">
      <c r="A122" s="10">
        <v>121</v>
      </c>
      <c r="B122" s="10">
        <v>46</v>
      </c>
      <c r="C122" s="10">
        <v>327</v>
      </c>
      <c r="D122" s="11" t="s">
        <v>5216</v>
      </c>
      <c r="E122" s="12" t="s">
        <v>5217</v>
      </c>
      <c r="F122" s="11" t="s">
        <v>5218</v>
      </c>
      <c r="G122" s="10"/>
      <c r="H122" s="13" t="s">
        <v>5219</v>
      </c>
      <c r="I122" s="16" t="s">
        <v>82</v>
      </c>
      <c r="J122" s="17"/>
      <c r="K122" s="17"/>
      <c r="L122" s="17"/>
      <c r="M122" s="17"/>
      <c r="N122" s="18"/>
      <c r="O122" s="16" t="s">
        <v>83</v>
      </c>
      <c r="P122" s="18"/>
    </row>
    <row r="123" spans="1:16" ht="26.25" customHeight="1">
      <c r="A123" s="10">
        <v>122</v>
      </c>
      <c r="B123" s="10">
        <v>46</v>
      </c>
      <c r="C123" s="10">
        <v>328</v>
      </c>
      <c r="D123" s="11" t="s">
        <v>5217</v>
      </c>
      <c r="E123" s="19" t="s">
        <v>5218</v>
      </c>
      <c r="F123" s="11" t="s">
        <v>5220</v>
      </c>
      <c r="G123" s="10" t="s">
        <v>85</v>
      </c>
      <c r="H123" s="13" t="s">
        <v>5221</v>
      </c>
      <c r="I123" s="16" t="s">
        <v>89</v>
      </c>
      <c r="J123" s="17" t="s">
        <v>368</v>
      </c>
      <c r="K123" s="17" t="s">
        <v>447</v>
      </c>
      <c r="L123" s="17" t="s">
        <v>5222</v>
      </c>
      <c r="M123" s="17" t="s">
        <v>5223</v>
      </c>
      <c r="N123" s="18" t="s">
        <v>5224</v>
      </c>
      <c r="O123" s="16" t="s">
        <v>113</v>
      </c>
      <c r="P123" s="18"/>
    </row>
    <row r="124" spans="1:16" ht="26.25" customHeight="1">
      <c r="A124" s="10">
        <v>123</v>
      </c>
      <c r="B124" s="10">
        <v>46</v>
      </c>
      <c r="C124" s="10">
        <v>329</v>
      </c>
      <c r="D124" s="11" t="s">
        <v>5218</v>
      </c>
      <c r="E124" s="12" t="s">
        <v>5220</v>
      </c>
      <c r="F124" s="11" t="s">
        <v>5225</v>
      </c>
      <c r="G124" s="10"/>
      <c r="H124" s="13" t="s">
        <v>5226</v>
      </c>
      <c r="I124" s="16" t="s">
        <v>82</v>
      </c>
      <c r="J124" s="17"/>
      <c r="K124" s="17"/>
      <c r="L124" s="17"/>
      <c r="M124" s="17"/>
      <c r="N124" s="18"/>
      <c r="O124" s="16" t="s">
        <v>83</v>
      </c>
      <c r="P124" s="18"/>
    </row>
    <row r="125" spans="1:16" ht="16.5" customHeight="1">
      <c r="A125" s="10">
        <v>124</v>
      </c>
      <c r="B125" s="10">
        <v>46</v>
      </c>
      <c r="C125" s="10">
        <v>377</v>
      </c>
      <c r="D125" s="11" t="s">
        <v>5227</v>
      </c>
      <c r="E125" s="12" t="s">
        <v>5228</v>
      </c>
      <c r="F125" s="11" t="s">
        <v>5229</v>
      </c>
      <c r="G125" s="10"/>
      <c r="H125" s="13" t="s">
        <v>5230</v>
      </c>
      <c r="I125" s="16" t="s">
        <v>82</v>
      </c>
      <c r="J125" s="17"/>
      <c r="K125" s="17"/>
      <c r="L125" s="17"/>
      <c r="M125" s="17"/>
      <c r="N125" s="18"/>
      <c r="O125" s="16" t="s">
        <v>83</v>
      </c>
      <c r="P125" s="18"/>
    </row>
    <row r="126" spans="1:16" ht="16.5" customHeight="1">
      <c r="A126" s="10">
        <v>125</v>
      </c>
      <c r="B126" s="10">
        <v>46</v>
      </c>
      <c r="C126" s="10">
        <v>378</v>
      </c>
      <c r="D126" s="11" t="s">
        <v>5228</v>
      </c>
      <c r="E126" s="19" t="s">
        <v>5229</v>
      </c>
      <c r="F126" s="11" t="s">
        <v>5231</v>
      </c>
      <c r="G126" s="10" t="s">
        <v>397</v>
      </c>
      <c r="H126" s="13" t="s">
        <v>5232</v>
      </c>
      <c r="I126" s="16" t="s">
        <v>89</v>
      </c>
      <c r="J126" s="17" t="s">
        <v>368</v>
      </c>
      <c r="K126" s="17" t="s">
        <v>447</v>
      </c>
      <c r="L126" s="17" t="s">
        <v>5229</v>
      </c>
      <c r="M126" s="17" t="s">
        <v>5233</v>
      </c>
      <c r="N126" s="18" t="s">
        <v>5234</v>
      </c>
      <c r="O126" s="16" t="s">
        <v>83</v>
      </c>
      <c r="P126" s="18"/>
    </row>
    <row r="127" spans="1:16" ht="16.5" customHeight="1">
      <c r="A127" s="10">
        <v>126</v>
      </c>
      <c r="B127" s="10">
        <v>46</v>
      </c>
      <c r="C127" s="10">
        <v>379</v>
      </c>
      <c r="D127" s="11" t="s">
        <v>5229</v>
      </c>
      <c r="E127" s="12" t="s">
        <v>5231</v>
      </c>
      <c r="F127" s="11" t="s">
        <v>5235</v>
      </c>
      <c r="G127" s="10"/>
      <c r="H127" s="13" t="s">
        <v>5236</v>
      </c>
      <c r="I127" s="16" t="s">
        <v>82</v>
      </c>
      <c r="J127" s="17"/>
      <c r="K127" s="17"/>
      <c r="L127" s="17"/>
      <c r="M127" s="17"/>
      <c r="N127" s="18"/>
      <c r="O127" s="16" t="s">
        <v>83</v>
      </c>
      <c r="P127" s="18"/>
    </row>
    <row r="128" spans="1:16" ht="16.5" customHeight="1">
      <c r="A128" s="10">
        <v>127</v>
      </c>
      <c r="B128" s="10">
        <v>48</v>
      </c>
      <c r="C128" s="10">
        <v>35</v>
      </c>
      <c r="D128" s="11" t="s">
        <v>5237</v>
      </c>
      <c r="E128" s="12" t="s">
        <v>5238</v>
      </c>
      <c r="F128" s="11" t="s">
        <v>5239</v>
      </c>
      <c r="G128" s="10"/>
      <c r="H128" s="13" t="s">
        <v>5240</v>
      </c>
      <c r="I128" s="16" t="s">
        <v>82</v>
      </c>
      <c r="J128" s="17"/>
      <c r="K128" s="17"/>
      <c r="L128" s="17"/>
      <c r="M128" s="17"/>
      <c r="N128" s="18"/>
      <c r="O128" s="16" t="s">
        <v>83</v>
      </c>
      <c r="P128" s="18"/>
    </row>
    <row r="129" spans="1:16" ht="16.5" customHeight="1">
      <c r="A129" s="10">
        <v>128</v>
      </c>
      <c r="B129" s="10">
        <v>48</v>
      </c>
      <c r="C129" s="10">
        <v>36</v>
      </c>
      <c r="D129" s="11" t="s">
        <v>5238</v>
      </c>
      <c r="E129" s="19" t="s">
        <v>5239</v>
      </c>
      <c r="F129" s="11" t="s">
        <v>5241</v>
      </c>
      <c r="G129" s="10" t="s">
        <v>160</v>
      </c>
      <c r="H129" s="13" t="s">
        <v>5242</v>
      </c>
      <c r="I129" s="16" t="s">
        <v>82</v>
      </c>
      <c r="J129" s="17"/>
      <c r="K129" s="17"/>
      <c r="L129" s="17"/>
      <c r="M129" s="17"/>
      <c r="N129" s="18"/>
      <c r="O129" s="16" t="s">
        <v>83</v>
      </c>
      <c r="P129" s="18"/>
    </row>
    <row r="130" spans="1:16" ht="16.5" customHeight="1">
      <c r="A130" s="10">
        <v>129</v>
      </c>
      <c r="B130" s="10">
        <v>48</v>
      </c>
      <c r="C130" s="10">
        <v>37</v>
      </c>
      <c r="D130" s="11" t="s">
        <v>5239</v>
      </c>
      <c r="E130" s="12" t="s">
        <v>5241</v>
      </c>
      <c r="F130" s="11" t="s">
        <v>5243</v>
      </c>
      <c r="G130" s="10"/>
      <c r="H130" s="13" t="s">
        <v>5244</v>
      </c>
      <c r="I130" s="16" t="s">
        <v>82</v>
      </c>
      <c r="J130" s="17"/>
      <c r="K130" s="17"/>
      <c r="L130" s="17"/>
      <c r="M130" s="17"/>
      <c r="N130" s="18"/>
      <c r="O130" s="16" t="s">
        <v>83</v>
      </c>
      <c r="P130" s="18"/>
    </row>
    <row r="131" spans="1:16" ht="16.5" customHeight="1">
      <c r="A131" s="10">
        <v>130</v>
      </c>
      <c r="B131" s="10">
        <v>48</v>
      </c>
      <c r="C131" s="10">
        <v>53</v>
      </c>
      <c r="D131" s="11" t="s">
        <v>5245</v>
      </c>
      <c r="E131" s="12" t="s">
        <v>5246</v>
      </c>
      <c r="F131" s="11" t="s">
        <v>5247</v>
      </c>
      <c r="G131" s="10"/>
      <c r="H131" s="13" t="s">
        <v>5248</v>
      </c>
      <c r="I131" s="16" t="s">
        <v>82</v>
      </c>
      <c r="J131" s="17"/>
      <c r="K131" s="17"/>
      <c r="L131" s="17"/>
      <c r="M131" s="17"/>
      <c r="N131" s="18"/>
      <c r="O131" s="16" t="s">
        <v>83</v>
      </c>
      <c r="P131" s="18"/>
    </row>
    <row r="132" spans="1:16" ht="16.5" customHeight="1">
      <c r="A132" s="10">
        <v>131</v>
      </c>
      <c r="B132" s="10">
        <v>48</v>
      </c>
      <c r="C132" s="10">
        <v>54</v>
      </c>
      <c r="D132" s="11" t="s">
        <v>5246</v>
      </c>
      <c r="E132" s="19" t="s">
        <v>5247</v>
      </c>
      <c r="F132" s="11" t="s">
        <v>5249</v>
      </c>
      <c r="G132" s="10" t="s">
        <v>1957</v>
      </c>
      <c r="H132" s="13" t="s">
        <v>5250</v>
      </c>
      <c r="I132" s="16" t="s">
        <v>82</v>
      </c>
      <c r="J132" s="17"/>
      <c r="K132" s="17"/>
      <c r="L132" s="17"/>
      <c r="M132" s="17"/>
      <c r="N132" s="18"/>
      <c r="O132" s="16" t="s">
        <v>83</v>
      </c>
      <c r="P132" s="18"/>
    </row>
    <row r="133" spans="1:16" ht="16.5" customHeight="1">
      <c r="A133" s="10">
        <v>132</v>
      </c>
      <c r="B133" s="10">
        <v>48</v>
      </c>
      <c r="C133" s="10">
        <v>55</v>
      </c>
      <c r="D133" s="11" t="s">
        <v>5247</v>
      </c>
      <c r="E133" s="12" t="s">
        <v>5249</v>
      </c>
      <c r="F133" s="11" t="s">
        <v>361</v>
      </c>
      <c r="G133" s="10"/>
      <c r="H133" s="13"/>
      <c r="I133" s="16" t="s">
        <v>82</v>
      </c>
      <c r="J133" s="17"/>
      <c r="K133" s="17"/>
      <c r="L133" s="17"/>
      <c r="M133" s="17"/>
      <c r="N133" s="18"/>
      <c r="O133" s="16" t="s">
        <v>83</v>
      </c>
      <c r="P133" s="18"/>
    </row>
    <row r="134" spans="1:16" ht="16.5" customHeight="1">
      <c r="A134" s="10">
        <v>133</v>
      </c>
      <c r="B134" s="10">
        <v>48</v>
      </c>
      <c r="C134" s="10">
        <v>60</v>
      </c>
      <c r="D134" s="11" t="s">
        <v>5251</v>
      </c>
      <c r="E134" s="12" t="s">
        <v>5252</v>
      </c>
      <c r="F134" s="11" t="s">
        <v>5253</v>
      </c>
      <c r="G134" s="10"/>
      <c r="H134" s="13" t="s">
        <v>5254</v>
      </c>
      <c r="I134" s="16" t="s">
        <v>82</v>
      </c>
      <c r="J134" s="17"/>
      <c r="K134" s="17"/>
      <c r="L134" s="17"/>
      <c r="M134" s="17"/>
      <c r="N134" s="18"/>
      <c r="O134" s="16" t="s">
        <v>83</v>
      </c>
      <c r="P134" s="18"/>
    </row>
    <row r="135" spans="1:16" ht="16.5" customHeight="1">
      <c r="A135" s="10">
        <v>134</v>
      </c>
      <c r="B135" s="10">
        <v>48</v>
      </c>
      <c r="C135" s="10">
        <v>61</v>
      </c>
      <c r="D135" s="11" t="s">
        <v>5252</v>
      </c>
      <c r="E135" s="19" t="s">
        <v>5253</v>
      </c>
      <c r="F135" s="11" t="s">
        <v>5255</v>
      </c>
      <c r="G135" s="10" t="s">
        <v>160</v>
      </c>
      <c r="H135" s="13" t="s">
        <v>5256</v>
      </c>
      <c r="I135" s="16" t="s">
        <v>89</v>
      </c>
      <c r="J135" s="17" t="s">
        <v>155</v>
      </c>
      <c r="K135" s="17" t="s">
        <v>164</v>
      </c>
      <c r="L135" s="17" t="s">
        <v>5257</v>
      </c>
      <c r="M135" s="17" t="s">
        <v>5258</v>
      </c>
      <c r="N135" s="18" t="s">
        <v>5259</v>
      </c>
      <c r="O135" s="16" t="s">
        <v>83</v>
      </c>
      <c r="P135" s="18"/>
    </row>
    <row r="136" spans="1:16" ht="16.5" customHeight="1">
      <c r="A136" s="10">
        <v>135</v>
      </c>
      <c r="B136" s="10">
        <v>48</v>
      </c>
      <c r="C136" s="10">
        <v>62</v>
      </c>
      <c r="D136" s="11" t="s">
        <v>5253</v>
      </c>
      <c r="E136" s="12" t="s">
        <v>5255</v>
      </c>
      <c r="F136" s="11" t="s">
        <v>5260</v>
      </c>
      <c r="G136" s="10"/>
      <c r="H136" s="13" t="s">
        <v>5261</v>
      </c>
      <c r="I136" s="16" t="s">
        <v>82</v>
      </c>
      <c r="J136" s="17"/>
      <c r="K136" s="17"/>
      <c r="L136" s="17"/>
      <c r="M136" s="17"/>
      <c r="N136" s="18"/>
      <c r="O136" s="16" t="s">
        <v>83</v>
      </c>
      <c r="P136" s="18"/>
    </row>
    <row r="137" spans="1:16" ht="16.5" customHeight="1">
      <c r="A137" s="10">
        <v>136</v>
      </c>
      <c r="B137" s="10">
        <v>48</v>
      </c>
      <c r="C137" s="10">
        <v>87</v>
      </c>
      <c r="D137" s="11" t="s">
        <v>5262</v>
      </c>
      <c r="E137" s="12" t="s">
        <v>5263</v>
      </c>
      <c r="F137" s="11" t="s">
        <v>5264</v>
      </c>
      <c r="G137" s="10"/>
      <c r="H137" s="13" t="s">
        <v>5265</v>
      </c>
      <c r="I137" s="16" t="s">
        <v>82</v>
      </c>
      <c r="J137" s="17"/>
      <c r="K137" s="17"/>
      <c r="L137" s="17"/>
      <c r="M137" s="17"/>
      <c r="N137" s="18"/>
      <c r="O137" s="16" t="s">
        <v>83</v>
      </c>
      <c r="P137" s="18"/>
    </row>
    <row r="138" spans="1:16" ht="16.5" customHeight="1">
      <c r="A138" s="10">
        <v>137</v>
      </c>
      <c r="B138" s="10">
        <v>48</v>
      </c>
      <c r="C138" s="10">
        <v>88</v>
      </c>
      <c r="D138" s="11" t="s">
        <v>5263</v>
      </c>
      <c r="E138" s="19" t="s">
        <v>5264</v>
      </c>
      <c r="F138" s="11" t="s">
        <v>5266</v>
      </c>
      <c r="G138" s="10" t="s">
        <v>774</v>
      </c>
      <c r="H138" s="13" t="s">
        <v>5267</v>
      </c>
      <c r="I138" s="16" t="s">
        <v>89</v>
      </c>
      <c r="J138" s="17" t="s">
        <v>155</v>
      </c>
      <c r="K138" s="17" t="s">
        <v>91</v>
      </c>
      <c r="L138" s="17" t="s">
        <v>5268</v>
      </c>
      <c r="M138" s="17" t="s">
        <v>5269</v>
      </c>
      <c r="N138" s="18" t="s">
        <v>5270</v>
      </c>
      <c r="O138" s="16" t="s">
        <v>113</v>
      </c>
      <c r="P138" s="18"/>
    </row>
    <row r="139" spans="1:16" ht="16.5" customHeight="1">
      <c r="A139" s="10">
        <v>138</v>
      </c>
      <c r="B139" s="10">
        <v>48</v>
      </c>
      <c r="C139" s="10">
        <v>89</v>
      </c>
      <c r="D139" s="11" t="s">
        <v>5264</v>
      </c>
      <c r="E139" s="12" t="s">
        <v>5266</v>
      </c>
      <c r="F139" s="11" t="s">
        <v>5271</v>
      </c>
      <c r="G139" s="10"/>
      <c r="H139" s="13" t="s">
        <v>5272</v>
      </c>
      <c r="I139" s="16" t="s">
        <v>82</v>
      </c>
      <c r="J139" s="17"/>
      <c r="K139" s="17"/>
      <c r="L139" s="17"/>
      <c r="M139" s="17"/>
      <c r="N139" s="18"/>
      <c r="O139" s="16" t="s">
        <v>83</v>
      </c>
      <c r="P139" s="18"/>
    </row>
    <row r="140" spans="1:16" ht="16.5" customHeight="1">
      <c r="A140" s="10">
        <v>139</v>
      </c>
      <c r="B140" s="10">
        <v>48</v>
      </c>
      <c r="C140" s="10">
        <v>94</v>
      </c>
      <c r="D140" s="11" t="s">
        <v>5273</v>
      </c>
      <c r="E140" s="12" t="s">
        <v>5274</v>
      </c>
      <c r="F140" s="11" t="s">
        <v>5275</v>
      </c>
      <c r="G140" s="10"/>
      <c r="H140" s="13" t="s">
        <v>5276</v>
      </c>
      <c r="I140" s="16" t="s">
        <v>82</v>
      </c>
      <c r="J140" s="17"/>
      <c r="K140" s="17"/>
      <c r="L140" s="17"/>
      <c r="M140" s="17"/>
      <c r="N140" s="18"/>
      <c r="O140" s="16" t="s">
        <v>83</v>
      </c>
      <c r="P140" s="18"/>
    </row>
    <row r="141" spans="1:16" ht="16.5" customHeight="1">
      <c r="A141" s="10">
        <v>140</v>
      </c>
      <c r="B141" s="10">
        <v>48</v>
      </c>
      <c r="C141" s="10">
        <v>95</v>
      </c>
      <c r="D141" s="11" t="s">
        <v>5274</v>
      </c>
      <c r="E141" s="19" t="s">
        <v>5275</v>
      </c>
      <c r="F141" s="11" t="s">
        <v>5277</v>
      </c>
      <c r="G141" s="10" t="s">
        <v>633</v>
      </c>
      <c r="H141" s="13" t="s">
        <v>5278</v>
      </c>
      <c r="I141" s="16" t="s">
        <v>82</v>
      </c>
      <c r="J141" s="17"/>
      <c r="K141" s="17"/>
      <c r="L141" s="17"/>
      <c r="M141" s="17"/>
      <c r="N141" s="18"/>
      <c r="O141" s="16" t="s">
        <v>83</v>
      </c>
      <c r="P141" s="18"/>
    </row>
    <row r="142" spans="1:16" ht="16.5" customHeight="1">
      <c r="A142" s="10">
        <v>141</v>
      </c>
      <c r="B142" s="10">
        <v>48</v>
      </c>
      <c r="C142" s="10">
        <v>96</v>
      </c>
      <c r="D142" s="11" t="s">
        <v>5275</v>
      </c>
      <c r="E142" s="12" t="s">
        <v>5277</v>
      </c>
      <c r="F142" s="11" t="s">
        <v>5279</v>
      </c>
      <c r="G142" s="10"/>
      <c r="H142" s="13" t="s">
        <v>5280</v>
      </c>
      <c r="I142" s="16" t="s">
        <v>82</v>
      </c>
      <c r="J142" s="17"/>
      <c r="K142" s="17"/>
      <c r="L142" s="17"/>
      <c r="M142" s="17"/>
      <c r="N142" s="18"/>
      <c r="O142" s="16" t="s">
        <v>83</v>
      </c>
      <c r="P142" s="18"/>
    </row>
    <row r="143" spans="1:16" ht="16.5" customHeight="1">
      <c r="A143" s="10">
        <v>142</v>
      </c>
      <c r="B143" s="10">
        <v>48</v>
      </c>
      <c r="C143" s="10">
        <v>98</v>
      </c>
      <c r="D143" s="11" t="s">
        <v>5279</v>
      </c>
      <c r="E143" s="12" t="s">
        <v>5281</v>
      </c>
      <c r="F143" s="11" t="s">
        <v>633</v>
      </c>
      <c r="G143" s="10"/>
      <c r="H143" s="13" t="s">
        <v>5282</v>
      </c>
      <c r="I143" s="16" t="s">
        <v>82</v>
      </c>
      <c r="J143" s="17"/>
      <c r="K143" s="17"/>
      <c r="L143" s="17"/>
      <c r="M143" s="17"/>
      <c r="N143" s="18"/>
      <c r="O143" s="16" t="s">
        <v>83</v>
      </c>
      <c r="P143" s="18"/>
    </row>
    <row r="144" spans="1:16" ht="16.5" customHeight="1">
      <c r="A144" s="10">
        <v>143</v>
      </c>
      <c r="B144" s="10">
        <v>48</v>
      </c>
      <c r="C144" s="10">
        <v>99</v>
      </c>
      <c r="D144" s="11" t="s">
        <v>5281</v>
      </c>
      <c r="E144" s="19" t="s">
        <v>633</v>
      </c>
      <c r="F144" s="11" t="s">
        <v>5283</v>
      </c>
      <c r="G144" s="10" t="s">
        <v>633</v>
      </c>
      <c r="H144" s="13" t="s">
        <v>634</v>
      </c>
      <c r="I144" s="16" t="s">
        <v>82</v>
      </c>
      <c r="J144" s="17"/>
      <c r="K144" s="17"/>
      <c r="L144" s="17"/>
      <c r="M144" s="17"/>
      <c r="N144" s="18"/>
      <c r="O144" s="16" t="s">
        <v>83</v>
      </c>
      <c r="P144" s="18"/>
    </row>
    <row r="145" spans="1:16" ht="16.5" customHeight="1">
      <c r="A145" s="10">
        <v>144</v>
      </c>
      <c r="B145" s="10">
        <v>48</v>
      </c>
      <c r="C145" s="10">
        <v>100</v>
      </c>
      <c r="D145" s="11" t="s">
        <v>633</v>
      </c>
      <c r="E145" s="12" t="s">
        <v>5283</v>
      </c>
      <c r="F145" s="11" t="s">
        <v>5284</v>
      </c>
      <c r="G145" s="10"/>
      <c r="H145" s="13" t="s">
        <v>5285</v>
      </c>
      <c r="I145" s="16" t="s">
        <v>82</v>
      </c>
      <c r="J145" s="17"/>
      <c r="K145" s="17"/>
      <c r="L145" s="17"/>
      <c r="M145" s="17"/>
      <c r="N145" s="18"/>
      <c r="O145" s="16" t="s">
        <v>83</v>
      </c>
      <c r="P145" s="18"/>
    </row>
    <row r="146" spans="1:16" ht="16.5" customHeight="1">
      <c r="A146" s="10">
        <v>145</v>
      </c>
      <c r="B146" s="10">
        <v>49</v>
      </c>
      <c r="C146" s="10">
        <v>50</v>
      </c>
      <c r="D146" s="11" t="s">
        <v>5286</v>
      </c>
      <c r="E146" s="12" t="s">
        <v>5287</v>
      </c>
      <c r="F146" s="11" t="s">
        <v>5288</v>
      </c>
      <c r="G146" s="10"/>
      <c r="H146" s="13" t="s">
        <v>5289</v>
      </c>
      <c r="I146" s="16" t="s">
        <v>82</v>
      </c>
      <c r="J146" s="17"/>
      <c r="K146" s="17"/>
      <c r="L146" s="17"/>
      <c r="M146" s="17"/>
      <c r="N146" s="18"/>
      <c r="O146" s="16" t="s">
        <v>83</v>
      </c>
      <c r="P146" s="18"/>
    </row>
    <row r="147" spans="1:16" ht="16.5" customHeight="1">
      <c r="A147" s="10">
        <v>146</v>
      </c>
      <c r="B147" s="10">
        <v>49</v>
      </c>
      <c r="C147" s="10">
        <v>51</v>
      </c>
      <c r="D147" s="11" t="s">
        <v>5287</v>
      </c>
      <c r="E147" s="19" t="s">
        <v>5288</v>
      </c>
      <c r="F147" s="11" t="s">
        <v>5290</v>
      </c>
      <c r="G147" s="10" t="s">
        <v>575</v>
      </c>
      <c r="H147" s="13" t="s">
        <v>5291</v>
      </c>
      <c r="I147" s="16" t="s">
        <v>82</v>
      </c>
      <c r="J147" s="17"/>
      <c r="K147" s="17"/>
      <c r="L147" s="17"/>
      <c r="M147" s="17"/>
      <c r="N147" s="18"/>
      <c r="O147" s="16" t="s">
        <v>83</v>
      </c>
      <c r="P147" s="18"/>
    </row>
    <row r="148" spans="1:16" ht="26.25" customHeight="1">
      <c r="A148" s="10">
        <v>147</v>
      </c>
      <c r="B148" s="10">
        <v>49</v>
      </c>
      <c r="C148" s="10">
        <v>52</v>
      </c>
      <c r="D148" s="11" t="s">
        <v>5288</v>
      </c>
      <c r="E148" s="12" t="s">
        <v>5290</v>
      </c>
      <c r="F148" s="11" t="s">
        <v>5292</v>
      </c>
      <c r="G148" s="10"/>
      <c r="H148" s="13" t="s">
        <v>5293</v>
      </c>
      <c r="I148" s="16" t="s">
        <v>82</v>
      </c>
      <c r="J148" s="17"/>
      <c r="K148" s="17"/>
      <c r="L148" s="17"/>
      <c r="M148" s="17"/>
      <c r="N148" s="18"/>
      <c r="O148" s="16" t="s">
        <v>83</v>
      </c>
      <c r="P148" s="18"/>
    </row>
    <row r="149" spans="1:16" ht="16.5" customHeight="1">
      <c r="A149" s="10">
        <v>148</v>
      </c>
      <c r="B149" s="10">
        <v>49</v>
      </c>
      <c r="C149" s="10">
        <v>55</v>
      </c>
      <c r="D149" s="11" t="s">
        <v>5294</v>
      </c>
      <c r="E149" s="12" t="s">
        <v>5295</v>
      </c>
      <c r="F149" s="11" t="s">
        <v>5296</v>
      </c>
      <c r="G149" s="10"/>
      <c r="H149" s="13" t="s">
        <v>5297</v>
      </c>
      <c r="I149" s="16" t="s">
        <v>82</v>
      </c>
      <c r="J149" s="17"/>
      <c r="K149" s="17"/>
      <c r="L149" s="17"/>
      <c r="M149" s="17"/>
      <c r="N149" s="18"/>
      <c r="O149" s="16" t="s">
        <v>83</v>
      </c>
      <c r="P149" s="18"/>
    </row>
    <row r="150" spans="1:16" ht="16.5" customHeight="1">
      <c r="A150" s="10">
        <v>149</v>
      </c>
      <c r="B150" s="10">
        <v>49</v>
      </c>
      <c r="C150" s="10">
        <v>56</v>
      </c>
      <c r="D150" s="11" t="s">
        <v>5295</v>
      </c>
      <c r="E150" s="19" t="s">
        <v>5296</v>
      </c>
      <c r="F150" s="11" t="s">
        <v>5298</v>
      </c>
      <c r="G150" s="10" t="s">
        <v>575</v>
      </c>
      <c r="H150" s="13" t="s">
        <v>5299</v>
      </c>
      <c r="I150" s="16" t="s">
        <v>89</v>
      </c>
      <c r="J150" s="17" t="s">
        <v>155</v>
      </c>
      <c r="K150" s="17" t="s">
        <v>91</v>
      </c>
      <c r="L150" s="17" t="s">
        <v>4392</v>
      </c>
      <c r="M150" s="17" t="s">
        <v>4393</v>
      </c>
      <c r="N150" s="18" t="s">
        <v>4394</v>
      </c>
      <c r="O150" s="16" t="s">
        <v>83</v>
      </c>
      <c r="P150" s="18"/>
    </row>
    <row r="151" spans="1:16" ht="16.5" customHeight="1">
      <c r="A151" s="10">
        <v>150</v>
      </c>
      <c r="B151" s="10">
        <v>49</v>
      </c>
      <c r="C151" s="10">
        <v>57</v>
      </c>
      <c r="D151" s="11" t="s">
        <v>5296</v>
      </c>
      <c r="E151" s="12" t="s">
        <v>5298</v>
      </c>
      <c r="F151" s="11" t="s">
        <v>5300</v>
      </c>
      <c r="G151" s="10"/>
      <c r="H151" s="13" t="s">
        <v>5301</v>
      </c>
      <c r="I151" s="16" t="s">
        <v>82</v>
      </c>
      <c r="J151" s="17"/>
      <c r="K151" s="17"/>
      <c r="L151" s="17"/>
      <c r="M151" s="17"/>
      <c r="N151" s="18"/>
      <c r="O151" s="16" t="s">
        <v>83</v>
      </c>
      <c r="P151" s="18"/>
    </row>
    <row r="152" spans="1:16" ht="16.5" customHeight="1">
      <c r="A152" s="10">
        <v>151</v>
      </c>
      <c r="B152" s="10">
        <v>49</v>
      </c>
      <c r="C152" s="10">
        <v>107</v>
      </c>
      <c r="D152" s="11" t="s">
        <v>5302</v>
      </c>
      <c r="E152" s="12" t="s">
        <v>5303</v>
      </c>
      <c r="F152" s="11" t="s">
        <v>5304</v>
      </c>
      <c r="G152" s="10"/>
      <c r="H152" s="13"/>
      <c r="I152" s="16" t="s">
        <v>82</v>
      </c>
      <c r="J152" s="17"/>
      <c r="K152" s="17"/>
      <c r="L152" s="17"/>
      <c r="M152" s="17"/>
      <c r="N152" s="18"/>
      <c r="O152" s="16" t="s">
        <v>83</v>
      </c>
      <c r="P152" s="18"/>
    </row>
    <row r="153" spans="1:16" ht="16.5" customHeight="1">
      <c r="A153" s="10">
        <v>152</v>
      </c>
      <c r="B153" s="10">
        <v>49</v>
      </c>
      <c r="C153" s="10">
        <v>108</v>
      </c>
      <c r="D153" s="11" t="s">
        <v>5303</v>
      </c>
      <c r="E153" s="19" t="s">
        <v>5304</v>
      </c>
      <c r="F153" s="11" t="s">
        <v>5305</v>
      </c>
      <c r="G153" s="10" t="s">
        <v>160</v>
      </c>
      <c r="H153" s="13" t="s">
        <v>5306</v>
      </c>
      <c r="I153" s="16" t="s">
        <v>82</v>
      </c>
      <c r="J153" s="17"/>
      <c r="K153" s="17"/>
      <c r="L153" s="17"/>
      <c r="M153" s="17"/>
      <c r="N153" s="18"/>
      <c r="O153" s="16" t="s">
        <v>83</v>
      </c>
      <c r="P153" s="18"/>
    </row>
    <row r="154" spans="1:16" ht="16.5" customHeight="1">
      <c r="A154" s="10">
        <v>153</v>
      </c>
      <c r="B154" s="10">
        <v>49</v>
      </c>
      <c r="C154" s="10">
        <v>109</v>
      </c>
      <c r="D154" s="11" t="s">
        <v>5304</v>
      </c>
      <c r="E154" s="12" t="s">
        <v>5305</v>
      </c>
      <c r="F154" s="11" t="s">
        <v>5307</v>
      </c>
      <c r="G154" s="10"/>
      <c r="H154" s="13" t="s">
        <v>5308</v>
      </c>
      <c r="I154" s="16" t="s">
        <v>89</v>
      </c>
      <c r="J154" s="17" t="s">
        <v>90</v>
      </c>
      <c r="K154" s="17" t="s">
        <v>1961</v>
      </c>
      <c r="L154" s="17" t="s">
        <v>5305</v>
      </c>
      <c r="M154" s="17" t="s">
        <v>5309</v>
      </c>
      <c r="N154" s="18" t="s">
        <v>5310</v>
      </c>
      <c r="O154" s="16" t="s">
        <v>83</v>
      </c>
      <c r="P154" s="18"/>
    </row>
    <row r="155" spans="1:16" ht="16.5" customHeight="1">
      <c r="A155" s="10">
        <v>154</v>
      </c>
      <c r="B155" s="10">
        <v>49</v>
      </c>
      <c r="C155" s="10">
        <v>133</v>
      </c>
      <c r="D155" s="11" t="s">
        <v>5311</v>
      </c>
      <c r="E155" s="12" t="s">
        <v>5312</v>
      </c>
      <c r="F155" s="11" t="s">
        <v>5313</v>
      </c>
      <c r="G155" s="10"/>
      <c r="H155" s="13" t="s">
        <v>5314</v>
      </c>
      <c r="I155" s="16" t="s">
        <v>82</v>
      </c>
      <c r="J155" s="17"/>
      <c r="K155" s="17"/>
      <c r="L155" s="17"/>
      <c r="M155" s="17"/>
      <c r="N155" s="18"/>
      <c r="O155" s="16" t="s">
        <v>83</v>
      </c>
      <c r="P155" s="18"/>
    </row>
    <row r="156" spans="1:16" ht="16.5" customHeight="1">
      <c r="A156" s="10">
        <v>155</v>
      </c>
      <c r="B156" s="10">
        <v>49</v>
      </c>
      <c r="C156" s="10">
        <v>134</v>
      </c>
      <c r="D156" s="11" t="s">
        <v>5312</v>
      </c>
      <c r="E156" s="19" t="s">
        <v>5313</v>
      </c>
      <c r="F156" s="11" t="s">
        <v>5315</v>
      </c>
      <c r="G156" s="10" t="s">
        <v>106</v>
      </c>
      <c r="H156" s="13" t="s">
        <v>5316</v>
      </c>
      <c r="I156" s="16" t="s">
        <v>82</v>
      </c>
      <c r="J156" s="17"/>
      <c r="K156" s="17"/>
      <c r="L156" s="17"/>
      <c r="M156" s="17"/>
      <c r="N156" s="18"/>
      <c r="O156" s="16" t="s">
        <v>83</v>
      </c>
      <c r="P156" s="18"/>
    </row>
    <row r="157" spans="1:16" ht="16.5" customHeight="1">
      <c r="A157" s="10">
        <v>156</v>
      </c>
      <c r="B157" s="10">
        <v>49</v>
      </c>
      <c r="C157" s="10">
        <v>135</v>
      </c>
      <c r="D157" s="11" t="s">
        <v>5313</v>
      </c>
      <c r="E157" s="12" t="s">
        <v>5315</v>
      </c>
      <c r="F157" s="11" t="s">
        <v>5317</v>
      </c>
      <c r="G157" s="10"/>
      <c r="H157" s="13" t="s">
        <v>1985</v>
      </c>
      <c r="I157" s="16" t="s">
        <v>82</v>
      </c>
      <c r="J157" s="17"/>
      <c r="K157" s="17"/>
      <c r="L157" s="17"/>
      <c r="M157" s="17"/>
      <c r="N157" s="18"/>
      <c r="O157" s="16" t="s">
        <v>83</v>
      </c>
      <c r="P157" s="18"/>
    </row>
    <row r="158" spans="1:16" ht="26.25" customHeight="1">
      <c r="A158" s="10">
        <v>157</v>
      </c>
      <c r="B158" s="10">
        <v>49</v>
      </c>
      <c r="C158" s="10">
        <v>136</v>
      </c>
      <c r="D158" s="11" t="s">
        <v>5315</v>
      </c>
      <c r="E158" s="19" t="s">
        <v>5317</v>
      </c>
      <c r="F158" s="11" t="s">
        <v>5318</v>
      </c>
      <c r="G158" s="10" t="s">
        <v>1957</v>
      </c>
      <c r="H158" s="13" t="s">
        <v>5319</v>
      </c>
      <c r="I158" s="16" t="s">
        <v>82</v>
      </c>
      <c r="J158" s="17"/>
      <c r="K158" s="17"/>
      <c r="L158" s="17"/>
      <c r="M158" s="17"/>
      <c r="N158" s="18"/>
      <c r="O158" s="16" t="s">
        <v>83</v>
      </c>
      <c r="P158" s="18"/>
    </row>
    <row r="159" spans="1:16" ht="16.5" customHeight="1">
      <c r="A159" s="10">
        <v>158</v>
      </c>
      <c r="B159" s="10">
        <v>49</v>
      </c>
      <c r="C159" s="10">
        <v>137</v>
      </c>
      <c r="D159" s="11" t="s">
        <v>5317</v>
      </c>
      <c r="E159" s="12" t="s">
        <v>5318</v>
      </c>
      <c r="F159" s="11" t="s">
        <v>5320</v>
      </c>
      <c r="G159" s="10"/>
      <c r="H159" s="13" t="s">
        <v>5321</v>
      </c>
      <c r="I159" s="16" t="s">
        <v>82</v>
      </c>
      <c r="J159" s="17"/>
      <c r="K159" s="17"/>
      <c r="L159" s="17"/>
      <c r="M159" s="17"/>
      <c r="N159" s="18"/>
      <c r="O159" s="16" t="s">
        <v>83</v>
      </c>
      <c r="P159" s="18"/>
    </row>
    <row r="160" spans="1:16" ht="16.5" customHeight="1">
      <c r="A160" s="10">
        <v>159</v>
      </c>
      <c r="B160" s="10">
        <v>49</v>
      </c>
      <c r="C160" s="10">
        <v>144</v>
      </c>
      <c r="D160" s="11" t="s">
        <v>5322</v>
      </c>
      <c r="E160" s="12" t="s">
        <v>5323</v>
      </c>
      <c r="F160" s="11" t="s">
        <v>5324</v>
      </c>
      <c r="G160" s="10"/>
      <c r="H160" s="13" t="s">
        <v>5325</v>
      </c>
      <c r="I160" s="16" t="s">
        <v>82</v>
      </c>
      <c r="J160" s="17"/>
      <c r="K160" s="17"/>
      <c r="L160" s="17"/>
      <c r="M160" s="17"/>
      <c r="N160" s="18"/>
      <c r="O160" s="16" t="s">
        <v>83</v>
      </c>
      <c r="P160" s="18"/>
    </row>
    <row r="161" spans="1:16" ht="16.5" customHeight="1">
      <c r="A161" s="10">
        <v>160</v>
      </c>
      <c r="B161" s="10">
        <v>49</v>
      </c>
      <c r="C161" s="10">
        <v>145</v>
      </c>
      <c r="D161" s="11" t="s">
        <v>5323</v>
      </c>
      <c r="E161" s="19" t="s">
        <v>5324</v>
      </c>
      <c r="F161" s="11" t="s">
        <v>5326</v>
      </c>
      <c r="G161" s="10" t="s">
        <v>2496</v>
      </c>
      <c r="H161" s="13" t="s">
        <v>5327</v>
      </c>
      <c r="I161" s="16" t="s">
        <v>82</v>
      </c>
      <c r="J161" s="17"/>
      <c r="K161" s="17"/>
      <c r="L161" s="17"/>
      <c r="M161" s="17"/>
      <c r="N161" s="18"/>
      <c r="O161" s="16" t="s">
        <v>83</v>
      </c>
      <c r="P161" s="18"/>
    </row>
    <row r="162" spans="1:16" ht="16.5" customHeight="1">
      <c r="A162" s="10">
        <v>161</v>
      </c>
      <c r="B162" s="10">
        <v>49</v>
      </c>
      <c r="C162" s="10">
        <v>146</v>
      </c>
      <c r="D162" s="11" t="s">
        <v>5324</v>
      </c>
      <c r="E162" s="12" t="s">
        <v>5326</v>
      </c>
      <c r="F162" s="11" t="s">
        <v>5328</v>
      </c>
      <c r="G162" s="10"/>
      <c r="H162" s="13" t="s">
        <v>5329</v>
      </c>
      <c r="I162" s="16" t="s">
        <v>82</v>
      </c>
      <c r="J162" s="17"/>
      <c r="K162" s="17"/>
      <c r="L162" s="17"/>
      <c r="M162" s="17"/>
      <c r="N162" s="18"/>
      <c r="O162" s="16" t="s">
        <v>83</v>
      </c>
      <c r="P162" s="18"/>
    </row>
    <row r="163" spans="1:16" ht="16.5" customHeight="1">
      <c r="A163" s="10">
        <v>162</v>
      </c>
      <c r="B163" s="10">
        <v>49</v>
      </c>
      <c r="C163" s="10">
        <v>147</v>
      </c>
      <c r="D163" s="11" t="s">
        <v>5326</v>
      </c>
      <c r="E163" s="12" t="s">
        <v>5328</v>
      </c>
      <c r="F163" s="11" t="s">
        <v>5330</v>
      </c>
      <c r="G163" s="10"/>
      <c r="H163" s="13" t="s">
        <v>5331</v>
      </c>
      <c r="I163" s="16" t="s">
        <v>82</v>
      </c>
      <c r="J163" s="17"/>
      <c r="K163" s="17"/>
      <c r="L163" s="17"/>
      <c r="M163" s="17"/>
      <c r="N163" s="18"/>
      <c r="O163" s="16" t="s">
        <v>83</v>
      </c>
      <c r="P163" s="18"/>
    </row>
    <row r="164" spans="1:16" ht="16.5" customHeight="1">
      <c r="A164" s="10">
        <v>163</v>
      </c>
      <c r="B164" s="10">
        <v>49</v>
      </c>
      <c r="C164" s="10">
        <v>148</v>
      </c>
      <c r="D164" s="11" t="s">
        <v>5328</v>
      </c>
      <c r="E164" s="19" t="s">
        <v>5330</v>
      </c>
      <c r="F164" s="11" t="s">
        <v>5332</v>
      </c>
      <c r="G164" s="10" t="s">
        <v>338</v>
      </c>
      <c r="H164" s="13" t="s">
        <v>5333</v>
      </c>
      <c r="I164" s="16" t="s">
        <v>82</v>
      </c>
      <c r="J164" s="17"/>
      <c r="K164" s="17"/>
      <c r="L164" s="17"/>
      <c r="M164" s="17"/>
      <c r="N164" s="18"/>
      <c r="O164" s="16" t="s">
        <v>83</v>
      </c>
      <c r="P164" s="18"/>
    </row>
    <row r="165" spans="1:16" ht="16.5" customHeight="1">
      <c r="A165" s="10">
        <v>164</v>
      </c>
      <c r="B165" s="10">
        <v>49</v>
      </c>
      <c r="C165" s="10">
        <v>149</v>
      </c>
      <c r="D165" s="11" t="s">
        <v>5330</v>
      </c>
      <c r="E165" s="12" t="s">
        <v>5332</v>
      </c>
      <c r="F165" s="11" t="s">
        <v>5334</v>
      </c>
      <c r="G165" s="10"/>
      <c r="H165" s="13" t="s">
        <v>5335</v>
      </c>
      <c r="I165" s="16" t="s">
        <v>82</v>
      </c>
      <c r="J165" s="17"/>
      <c r="K165" s="17"/>
      <c r="L165" s="17"/>
      <c r="M165" s="17"/>
      <c r="N165" s="18"/>
      <c r="O165" s="16" t="s">
        <v>83</v>
      </c>
      <c r="P165" s="18"/>
    </row>
    <row r="166" spans="1:16" ht="16.5" customHeight="1">
      <c r="A166" s="10">
        <v>165</v>
      </c>
      <c r="B166" s="10">
        <v>49</v>
      </c>
      <c r="C166" s="10">
        <v>151</v>
      </c>
      <c r="D166" s="11" t="s">
        <v>5334</v>
      </c>
      <c r="E166" s="12" t="s">
        <v>5336</v>
      </c>
      <c r="F166" s="11" t="s">
        <v>5337</v>
      </c>
      <c r="G166" s="10"/>
      <c r="H166" s="13" t="s">
        <v>5338</v>
      </c>
      <c r="I166" s="16" t="s">
        <v>82</v>
      </c>
      <c r="J166" s="17"/>
      <c r="K166" s="17"/>
      <c r="L166" s="17"/>
      <c r="M166" s="17"/>
      <c r="N166" s="18"/>
      <c r="O166" s="16" t="s">
        <v>83</v>
      </c>
      <c r="P166" s="18"/>
    </row>
    <row r="167" spans="1:16" ht="26.25" customHeight="1">
      <c r="A167" s="10">
        <v>166</v>
      </c>
      <c r="B167" s="10">
        <v>49</v>
      </c>
      <c r="C167" s="10">
        <v>152</v>
      </c>
      <c r="D167" s="11" t="s">
        <v>5336</v>
      </c>
      <c r="E167" s="19" t="s">
        <v>5337</v>
      </c>
      <c r="F167" s="11" t="s">
        <v>5339</v>
      </c>
      <c r="G167" s="10" t="s">
        <v>1957</v>
      </c>
      <c r="H167" s="13" t="s">
        <v>5340</v>
      </c>
      <c r="I167" s="16" t="s">
        <v>82</v>
      </c>
      <c r="J167" s="17"/>
      <c r="K167" s="17"/>
      <c r="L167" s="17"/>
      <c r="M167" s="17"/>
      <c r="N167" s="18"/>
      <c r="O167" s="16" t="s">
        <v>83</v>
      </c>
      <c r="P167" s="18"/>
    </row>
    <row r="168" spans="1:16" ht="16.5" customHeight="1">
      <c r="A168" s="10">
        <v>167</v>
      </c>
      <c r="B168" s="10">
        <v>49</v>
      </c>
      <c r="C168" s="10">
        <v>153</v>
      </c>
      <c r="D168" s="11" t="s">
        <v>5337</v>
      </c>
      <c r="E168" s="12" t="s">
        <v>5339</v>
      </c>
      <c r="F168" s="11" t="s">
        <v>5341</v>
      </c>
      <c r="G168" s="10"/>
      <c r="H168" s="13" t="s">
        <v>5342</v>
      </c>
      <c r="I168" s="16" t="s">
        <v>82</v>
      </c>
      <c r="J168" s="17"/>
      <c r="K168" s="17"/>
      <c r="L168" s="17"/>
      <c r="M168" s="17"/>
      <c r="N168" s="18"/>
      <c r="O168" s="16" t="s">
        <v>83</v>
      </c>
      <c r="P168" s="18"/>
    </row>
    <row r="169" spans="1:16" ht="16.5" customHeight="1">
      <c r="A169" s="10">
        <v>168</v>
      </c>
      <c r="B169" s="10">
        <v>49</v>
      </c>
      <c r="C169" s="10">
        <v>171</v>
      </c>
      <c r="D169" s="11" t="s">
        <v>5343</v>
      </c>
      <c r="E169" s="12" t="s">
        <v>5344</v>
      </c>
      <c r="F169" s="11" t="s">
        <v>5345</v>
      </c>
      <c r="G169" s="10"/>
      <c r="H169" s="13" t="s">
        <v>5346</v>
      </c>
      <c r="I169" s="16" t="s">
        <v>82</v>
      </c>
      <c r="J169" s="17"/>
      <c r="K169" s="17"/>
      <c r="L169" s="17"/>
      <c r="M169" s="17"/>
      <c r="N169" s="18"/>
      <c r="O169" s="16" t="s">
        <v>83</v>
      </c>
      <c r="P169" s="18"/>
    </row>
    <row r="170" spans="1:16" ht="26.25" customHeight="1">
      <c r="A170" s="10">
        <v>169</v>
      </c>
      <c r="B170" s="10">
        <v>49</v>
      </c>
      <c r="C170" s="10">
        <v>172</v>
      </c>
      <c r="D170" s="11" t="s">
        <v>5344</v>
      </c>
      <c r="E170" s="19" t="s">
        <v>5345</v>
      </c>
      <c r="F170" s="11" t="s">
        <v>5347</v>
      </c>
      <c r="G170" s="10" t="s">
        <v>305</v>
      </c>
      <c r="H170" s="13" t="s">
        <v>5348</v>
      </c>
      <c r="I170" s="16" t="s">
        <v>89</v>
      </c>
      <c r="J170" s="17" t="s">
        <v>368</v>
      </c>
      <c r="K170" s="17" t="s">
        <v>91</v>
      </c>
      <c r="L170" s="17" t="s">
        <v>5349</v>
      </c>
      <c r="M170" s="17" t="s">
        <v>5350</v>
      </c>
      <c r="N170" s="18" t="s">
        <v>5351</v>
      </c>
      <c r="O170" s="16" t="s">
        <v>83</v>
      </c>
      <c r="P170" s="18"/>
    </row>
    <row r="171" spans="1:16" ht="16.5" customHeight="1">
      <c r="A171" s="10">
        <v>170</v>
      </c>
      <c r="B171" s="10">
        <v>49</v>
      </c>
      <c r="C171" s="10">
        <v>173</v>
      </c>
      <c r="D171" s="11" t="s">
        <v>5345</v>
      </c>
      <c r="E171" s="12" t="s">
        <v>5347</v>
      </c>
      <c r="F171" s="11" t="s">
        <v>5352</v>
      </c>
      <c r="G171" s="10"/>
      <c r="H171" s="13" t="s">
        <v>5353</v>
      </c>
      <c r="I171" s="16" t="s">
        <v>82</v>
      </c>
      <c r="J171" s="17"/>
      <c r="K171" s="17"/>
      <c r="L171" s="17"/>
      <c r="M171" s="17"/>
      <c r="N171" s="18"/>
      <c r="O171" s="16" t="s">
        <v>83</v>
      </c>
      <c r="P171" s="18"/>
    </row>
    <row r="172" spans="1:16" ht="16.5" customHeight="1">
      <c r="A172" s="10">
        <v>171</v>
      </c>
      <c r="B172" s="10">
        <v>50</v>
      </c>
      <c r="C172" s="10">
        <v>215</v>
      </c>
      <c r="D172" s="11" t="s">
        <v>5354</v>
      </c>
      <c r="E172" s="12" t="s">
        <v>5355</v>
      </c>
      <c r="F172" s="11" t="s">
        <v>5356</v>
      </c>
      <c r="G172" s="10"/>
      <c r="H172" s="13" t="s">
        <v>5357</v>
      </c>
      <c r="I172" s="16" t="s">
        <v>82</v>
      </c>
      <c r="J172" s="17"/>
      <c r="K172" s="17"/>
      <c r="L172" s="17"/>
      <c r="M172" s="17"/>
      <c r="N172" s="18"/>
      <c r="O172" s="16" t="s">
        <v>83</v>
      </c>
      <c r="P172" s="18"/>
    </row>
    <row r="173" spans="1:16" ht="16.5" customHeight="1">
      <c r="A173" s="10">
        <v>172</v>
      </c>
      <c r="B173" s="10">
        <v>50</v>
      </c>
      <c r="C173" s="10">
        <v>216</v>
      </c>
      <c r="D173" s="11" t="s">
        <v>5355</v>
      </c>
      <c r="E173" s="19" t="s">
        <v>5356</v>
      </c>
      <c r="F173" s="11" t="s">
        <v>5358</v>
      </c>
      <c r="G173" s="10" t="s">
        <v>1244</v>
      </c>
      <c r="H173" s="13" t="s">
        <v>5359</v>
      </c>
      <c r="I173" s="16" t="s">
        <v>82</v>
      </c>
      <c r="J173" s="17"/>
      <c r="K173" s="17"/>
      <c r="L173" s="17"/>
      <c r="M173" s="17"/>
      <c r="N173" s="18"/>
      <c r="O173" s="16" t="s">
        <v>83</v>
      </c>
      <c r="P173" s="18"/>
    </row>
    <row r="174" spans="1:16" ht="16.5" customHeight="1">
      <c r="A174" s="10">
        <v>173</v>
      </c>
      <c r="B174" s="10">
        <v>50</v>
      </c>
      <c r="C174" s="10">
        <v>217</v>
      </c>
      <c r="D174" s="11" t="s">
        <v>5356</v>
      </c>
      <c r="E174" s="12" t="s">
        <v>5358</v>
      </c>
      <c r="F174" s="11" t="s">
        <v>5360</v>
      </c>
      <c r="G174" s="10"/>
      <c r="H174" s="13" t="s">
        <v>5361</v>
      </c>
      <c r="I174" s="16" t="s">
        <v>82</v>
      </c>
      <c r="J174" s="17"/>
      <c r="K174" s="17"/>
      <c r="L174" s="17"/>
      <c r="M174" s="17"/>
      <c r="N174" s="18"/>
      <c r="O174" s="16" t="s">
        <v>83</v>
      </c>
      <c r="P174" s="18"/>
    </row>
    <row r="175" spans="1:16" ht="16.5" customHeight="1">
      <c r="A175" s="10">
        <v>174</v>
      </c>
      <c r="B175" s="10">
        <v>50</v>
      </c>
      <c r="C175" s="10">
        <v>225</v>
      </c>
      <c r="D175" s="11" t="s">
        <v>5362</v>
      </c>
      <c r="E175" s="12" t="s">
        <v>5363</v>
      </c>
      <c r="F175" s="11" t="s">
        <v>5364</v>
      </c>
      <c r="G175" s="10"/>
      <c r="H175" s="13" t="s">
        <v>5365</v>
      </c>
      <c r="I175" s="16" t="s">
        <v>82</v>
      </c>
      <c r="J175" s="17"/>
      <c r="K175" s="17"/>
      <c r="L175" s="17"/>
      <c r="M175" s="17"/>
      <c r="N175" s="18"/>
      <c r="O175" s="16" t="s">
        <v>83</v>
      </c>
      <c r="P175" s="18"/>
    </row>
    <row r="176" spans="1:16" ht="16.5" customHeight="1">
      <c r="A176" s="10">
        <v>175</v>
      </c>
      <c r="B176" s="10">
        <v>50</v>
      </c>
      <c r="C176" s="10">
        <v>226</v>
      </c>
      <c r="D176" s="11" t="s">
        <v>5363</v>
      </c>
      <c r="E176" s="19" t="s">
        <v>5364</v>
      </c>
      <c r="F176" s="11" t="s">
        <v>5366</v>
      </c>
      <c r="G176" s="10" t="s">
        <v>160</v>
      </c>
      <c r="H176" s="13" t="s">
        <v>5367</v>
      </c>
      <c r="I176" s="16" t="s">
        <v>89</v>
      </c>
      <c r="J176" s="17" t="s">
        <v>155</v>
      </c>
      <c r="K176" s="17" t="s">
        <v>164</v>
      </c>
      <c r="L176" s="17" t="s">
        <v>5368</v>
      </c>
      <c r="M176" s="17" t="s">
        <v>5369</v>
      </c>
      <c r="N176" s="18" t="s">
        <v>5370</v>
      </c>
      <c r="O176" s="16" t="s">
        <v>83</v>
      </c>
      <c r="P176" s="18"/>
    </row>
    <row r="177" spans="1:16" ht="26.25" customHeight="1">
      <c r="A177" s="10">
        <v>176</v>
      </c>
      <c r="B177" s="10">
        <v>50</v>
      </c>
      <c r="C177" s="10">
        <v>227</v>
      </c>
      <c r="D177" s="11" t="s">
        <v>5364</v>
      </c>
      <c r="E177" s="12" t="s">
        <v>5366</v>
      </c>
      <c r="F177" s="11" t="s">
        <v>5371</v>
      </c>
      <c r="G177" s="10"/>
      <c r="H177" s="13" t="s">
        <v>5372</v>
      </c>
      <c r="I177" s="16" t="s">
        <v>82</v>
      </c>
      <c r="J177" s="17"/>
      <c r="K177" s="17"/>
      <c r="L177" s="17"/>
      <c r="M177" s="17"/>
      <c r="N177" s="18"/>
      <c r="O177" s="16" t="s">
        <v>83</v>
      </c>
      <c r="P177" s="18"/>
    </row>
    <row r="178" spans="1:16" ht="16.5" customHeight="1">
      <c r="A178" s="10">
        <v>177</v>
      </c>
      <c r="B178" s="10">
        <v>50</v>
      </c>
      <c r="C178" s="10">
        <v>286</v>
      </c>
      <c r="D178" s="11" t="s">
        <v>5373</v>
      </c>
      <c r="E178" s="12" t="s">
        <v>5374</v>
      </c>
      <c r="F178" s="11" t="s">
        <v>5375</v>
      </c>
      <c r="G178" s="10"/>
      <c r="H178" s="13" t="s">
        <v>5376</v>
      </c>
      <c r="I178" s="16" t="s">
        <v>82</v>
      </c>
      <c r="J178" s="17"/>
      <c r="K178" s="17"/>
      <c r="L178" s="17"/>
      <c r="M178" s="17"/>
      <c r="N178" s="18"/>
      <c r="O178" s="16" t="s">
        <v>83</v>
      </c>
      <c r="P178" s="18"/>
    </row>
    <row r="179" spans="1:16" ht="16.5" customHeight="1">
      <c r="A179" s="10">
        <v>178</v>
      </c>
      <c r="B179" s="10">
        <v>50</v>
      </c>
      <c r="C179" s="10">
        <v>287</v>
      </c>
      <c r="D179" s="11" t="s">
        <v>5374</v>
      </c>
      <c r="E179" s="19" t="s">
        <v>5375</v>
      </c>
      <c r="F179" s="11" t="s">
        <v>5377</v>
      </c>
      <c r="G179" s="10" t="s">
        <v>3493</v>
      </c>
      <c r="H179" s="13" t="s">
        <v>5378</v>
      </c>
      <c r="I179" s="16" t="s">
        <v>82</v>
      </c>
      <c r="J179" s="17"/>
      <c r="K179" s="17"/>
      <c r="L179" s="17"/>
      <c r="M179" s="17"/>
      <c r="N179" s="18"/>
      <c r="O179" s="16" t="s">
        <v>83</v>
      </c>
      <c r="P179" s="18"/>
    </row>
    <row r="180" spans="1:16" ht="16.5" customHeight="1">
      <c r="A180" s="10">
        <v>179</v>
      </c>
      <c r="B180" s="10">
        <v>50</v>
      </c>
      <c r="C180" s="10">
        <v>288</v>
      </c>
      <c r="D180" s="11" t="s">
        <v>5375</v>
      </c>
      <c r="E180" s="12" t="s">
        <v>5377</v>
      </c>
      <c r="F180" s="11" t="s">
        <v>5379</v>
      </c>
      <c r="G180" s="10"/>
      <c r="H180" s="13" t="s">
        <v>5380</v>
      </c>
      <c r="I180" s="16" t="s">
        <v>82</v>
      </c>
      <c r="J180" s="17"/>
      <c r="K180" s="17"/>
      <c r="L180" s="17"/>
      <c r="M180" s="17"/>
      <c r="N180" s="18"/>
      <c r="O180" s="16" t="s">
        <v>83</v>
      </c>
      <c r="P180" s="18"/>
    </row>
    <row r="181" spans="1:16" ht="16.5" customHeight="1">
      <c r="A181" s="10">
        <v>180</v>
      </c>
      <c r="B181" s="10">
        <v>50</v>
      </c>
      <c r="C181" s="10">
        <v>350</v>
      </c>
      <c r="D181" s="11" t="s">
        <v>5381</v>
      </c>
      <c r="E181" s="12" t="s">
        <v>5382</v>
      </c>
      <c r="F181" s="11" t="s">
        <v>5383</v>
      </c>
      <c r="G181" s="10"/>
      <c r="H181" s="13" t="s">
        <v>5384</v>
      </c>
      <c r="I181" s="16" t="s">
        <v>82</v>
      </c>
      <c r="J181" s="17"/>
      <c r="K181" s="17"/>
      <c r="L181" s="17"/>
      <c r="M181" s="17"/>
      <c r="N181" s="18"/>
      <c r="O181" s="16" t="s">
        <v>83</v>
      </c>
      <c r="P181" s="18"/>
    </row>
    <row r="182" spans="1:16" ht="16.5" customHeight="1">
      <c r="A182" s="10">
        <v>181</v>
      </c>
      <c r="B182" s="10">
        <v>50</v>
      </c>
      <c r="C182" s="10">
        <v>351</v>
      </c>
      <c r="D182" s="11" t="s">
        <v>5382</v>
      </c>
      <c r="E182" s="19" t="s">
        <v>5383</v>
      </c>
      <c r="F182" s="11" t="s">
        <v>5385</v>
      </c>
      <c r="G182" s="10" t="s">
        <v>2753</v>
      </c>
      <c r="H182" s="13" t="s">
        <v>5386</v>
      </c>
      <c r="I182" s="16" t="s">
        <v>82</v>
      </c>
      <c r="J182" s="17"/>
      <c r="K182" s="17"/>
      <c r="L182" s="17"/>
      <c r="M182" s="17"/>
      <c r="N182" s="18"/>
      <c r="O182" s="16" t="s">
        <v>83</v>
      </c>
      <c r="P182" s="18"/>
    </row>
    <row r="183" spans="1:16" ht="16.5" customHeight="1">
      <c r="A183" s="10">
        <v>182</v>
      </c>
      <c r="B183" s="10">
        <v>50</v>
      </c>
      <c r="C183" s="10">
        <v>352</v>
      </c>
      <c r="D183" s="11" t="s">
        <v>5383</v>
      </c>
      <c r="E183" s="12" t="s">
        <v>5385</v>
      </c>
      <c r="F183" s="11" t="s">
        <v>5387</v>
      </c>
      <c r="G183" s="10"/>
      <c r="H183" s="13" t="s">
        <v>5388</v>
      </c>
      <c r="I183" s="16" t="s">
        <v>82</v>
      </c>
      <c r="J183" s="17"/>
      <c r="K183" s="17"/>
      <c r="L183" s="17"/>
      <c r="M183" s="17"/>
      <c r="N183" s="18"/>
      <c r="O183" s="16" t="s">
        <v>83</v>
      </c>
      <c r="P183" s="18"/>
    </row>
    <row r="184" spans="1:16" ht="26.25" customHeight="1">
      <c r="A184" s="10">
        <v>183</v>
      </c>
      <c r="B184" s="10">
        <v>50</v>
      </c>
      <c r="C184" s="10">
        <v>353</v>
      </c>
      <c r="D184" s="11" t="s">
        <v>5385</v>
      </c>
      <c r="E184" s="19" t="s">
        <v>5387</v>
      </c>
      <c r="F184" s="11" t="s">
        <v>5389</v>
      </c>
      <c r="G184" s="10" t="s">
        <v>2753</v>
      </c>
      <c r="H184" s="13" t="s">
        <v>5390</v>
      </c>
      <c r="I184" s="16" t="s">
        <v>82</v>
      </c>
      <c r="J184" s="17"/>
      <c r="K184" s="17"/>
      <c r="L184" s="17"/>
      <c r="M184" s="17"/>
      <c r="N184" s="18"/>
      <c r="O184" s="16" t="s">
        <v>83</v>
      </c>
      <c r="P184" s="18"/>
    </row>
    <row r="185" spans="1:16" ht="16.5" customHeight="1">
      <c r="A185" s="10">
        <v>184</v>
      </c>
      <c r="B185" s="10">
        <v>50</v>
      </c>
      <c r="C185" s="10">
        <v>354</v>
      </c>
      <c r="D185" s="11" t="s">
        <v>5387</v>
      </c>
      <c r="E185" s="12" t="s">
        <v>5389</v>
      </c>
      <c r="F185" s="11" t="s">
        <v>5391</v>
      </c>
      <c r="G185" s="10"/>
      <c r="H185" s="13" t="s">
        <v>5392</v>
      </c>
      <c r="I185" s="16" t="s">
        <v>82</v>
      </c>
      <c r="J185" s="17"/>
      <c r="K185" s="17"/>
      <c r="L185" s="17"/>
      <c r="M185" s="17"/>
      <c r="N185" s="18"/>
      <c r="O185" s="16" t="s">
        <v>83</v>
      </c>
      <c r="P185" s="18"/>
    </row>
    <row r="186" spans="1:16" ht="16.5" customHeight="1">
      <c r="A186" s="10">
        <v>185</v>
      </c>
      <c r="B186" s="10">
        <v>50</v>
      </c>
      <c r="C186" s="10">
        <v>361</v>
      </c>
      <c r="D186" s="11" t="s">
        <v>5393</v>
      </c>
      <c r="E186" s="12" t="s">
        <v>5394</v>
      </c>
      <c r="F186" s="11" t="s">
        <v>5395</v>
      </c>
      <c r="G186" s="10"/>
      <c r="H186" s="13" t="s">
        <v>5396</v>
      </c>
      <c r="I186" s="16" t="s">
        <v>82</v>
      </c>
      <c r="J186" s="17"/>
      <c r="K186" s="17"/>
      <c r="L186" s="17"/>
      <c r="M186" s="17"/>
      <c r="N186" s="18"/>
      <c r="O186" s="16" t="s">
        <v>83</v>
      </c>
      <c r="P186" s="18"/>
    </row>
    <row r="187" spans="1:16" ht="16.5" customHeight="1">
      <c r="A187" s="10">
        <v>186</v>
      </c>
      <c r="B187" s="10">
        <v>50</v>
      </c>
      <c r="C187" s="10">
        <v>362</v>
      </c>
      <c r="D187" s="11" t="s">
        <v>5394</v>
      </c>
      <c r="E187" s="19" t="s">
        <v>5395</v>
      </c>
      <c r="F187" s="11" t="s">
        <v>5397</v>
      </c>
      <c r="G187" s="10" t="s">
        <v>5398</v>
      </c>
      <c r="H187" s="13" t="s">
        <v>5399</v>
      </c>
      <c r="I187" s="16" t="s">
        <v>82</v>
      </c>
      <c r="J187" s="17"/>
      <c r="K187" s="17"/>
      <c r="L187" s="17"/>
      <c r="M187" s="17"/>
      <c r="N187" s="18"/>
      <c r="O187" s="16" t="s">
        <v>83</v>
      </c>
      <c r="P187" s="18"/>
    </row>
    <row r="188" spans="1:16" ht="16.5" customHeight="1">
      <c r="A188" s="10">
        <v>187</v>
      </c>
      <c r="B188" s="10">
        <v>50</v>
      </c>
      <c r="C188" s="10">
        <v>363</v>
      </c>
      <c r="D188" s="11" t="s">
        <v>5395</v>
      </c>
      <c r="E188" s="12" t="s">
        <v>5397</v>
      </c>
      <c r="F188" s="11" t="s">
        <v>5400</v>
      </c>
      <c r="G188" s="10"/>
      <c r="H188" s="13" t="s">
        <v>5401</v>
      </c>
      <c r="I188" s="16" t="s">
        <v>82</v>
      </c>
      <c r="J188" s="17"/>
      <c r="K188" s="17"/>
      <c r="L188" s="17"/>
      <c r="M188" s="17"/>
      <c r="N188" s="18"/>
      <c r="O188" s="16" t="s">
        <v>83</v>
      </c>
      <c r="P188" s="18"/>
    </row>
    <row r="189" spans="1:16" ht="26.25" customHeight="1">
      <c r="A189" s="10">
        <v>188</v>
      </c>
      <c r="B189" s="10">
        <v>50</v>
      </c>
      <c r="C189" s="10">
        <v>370</v>
      </c>
      <c r="D189" s="11" t="s">
        <v>5402</v>
      </c>
      <c r="E189" s="12" t="s">
        <v>5403</v>
      </c>
      <c r="F189" s="11" t="s">
        <v>5404</v>
      </c>
      <c r="G189" s="10"/>
      <c r="H189" s="13" t="s">
        <v>5405</v>
      </c>
      <c r="I189" s="16" t="s">
        <v>82</v>
      </c>
      <c r="J189" s="17"/>
      <c r="K189" s="17"/>
      <c r="L189" s="17"/>
      <c r="M189" s="17"/>
      <c r="N189" s="18"/>
      <c r="O189" s="16" t="s">
        <v>83</v>
      </c>
      <c r="P189" s="18"/>
    </row>
    <row r="190" spans="1:16" ht="32.25" customHeight="1">
      <c r="A190" s="10">
        <v>189</v>
      </c>
      <c r="B190" s="10">
        <v>50</v>
      </c>
      <c r="C190" s="10">
        <v>371</v>
      </c>
      <c r="D190" s="11" t="s">
        <v>5403</v>
      </c>
      <c r="E190" s="19" t="s">
        <v>5404</v>
      </c>
      <c r="F190" s="11" t="s">
        <v>5406</v>
      </c>
      <c r="G190" s="10" t="s">
        <v>2753</v>
      </c>
      <c r="H190" s="13" t="s">
        <v>5407</v>
      </c>
      <c r="I190" s="16" t="s">
        <v>82</v>
      </c>
      <c r="J190" s="17"/>
      <c r="K190" s="17"/>
      <c r="L190" s="17"/>
      <c r="M190" s="17"/>
      <c r="N190" s="18"/>
      <c r="O190" s="16" t="s">
        <v>83</v>
      </c>
      <c r="P190" s="18"/>
    </row>
    <row r="191" spans="1:16" ht="32.25" customHeight="1">
      <c r="A191" s="10">
        <v>190</v>
      </c>
      <c r="B191" s="10">
        <v>50</v>
      </c>
      <c r="C191" s="10">
        <v>372</v>
      </c>
      <c r="D191" s="11" t="s">
        <v>5404</v>
      </c>
      <c r="E191" s="12" t="s">
        <v>5406</v>
      </c>
      <c r="F191" s="11" t="s">
        <v>5408</v>
      </c>
      <c r="G191" s="10"/>
      <c r="H191" s="13" t="s">
        <v>5409</v>
      </c>
      <c r="I191" s="16" t="s">
        <v>82</v>
      </c>
      <c r="J191" s="17"/>
      <c r="K191" s="17"/>
      <c r="L191" s="17"/>
      <c r="M191" s="17"/>
      <c r="N191" s="18"/>
      <c r="O191" s="16" t="s">
        <v>83</v>
      </c>
      <c r="P191" s="18"/>
    </row>
    <row r="192" spans="1:16" ht="26.25" customHeight="1">
      <c r="A192" s="10">
        <v>191</v>
      </c>
      <c r="B192" s="10">
        <v>50</v>
      </c>
      <c r="C192" s="10">
        <v>373</v>
      </c>
      <c r="D192" s="11" t="s">
        <v>5406</v>
      </c>
      <c r="E192" s="12" t="s">
        <v>5408</v>
      </c>
      <c r="F192" s="11" t="s">
        <v>5410</v>
      </c>
      <c r="G192" s="10"/>
      <c r="H192" s="13" t="s">
        <v>5411</v>
      </c>
      <c r="I192" s="16" t="s">
        <v>82</v>
      </c>
      <c r="J192" s="17"/>
      <c r="K192" s="17"/>
      <c r="L192" s="17"/>
      <c r="M192" s="17"/>
      <c r="N192" s="18"/>
      <c r="O192" s="16" t="s">
        <v>83</v>
      </c>
      <c r="P192" s="18"/>
    </row>
    <row r="193" spans="1:16" ht="16.5" customHeight="1">
      <c r="A193" s="10">
        <v>192</v>
      </c>
      <c r="B193" s="10">
        <v>50</v>
      </c>
      <c r="C193" s="10">
        <v>374</v>
      </c>
      <c r="D193" s="11" t="s">
        <v>5408</v>
      </c>
      <c r="E193" s="19" t="s">
        <v>5410</v>
      </c>
      <c r="F193" s="11" t="s">
        <v>5412</v>
      </c>
      <c r="G193" s="10" t="s">
        <v>85</v>
      </c>
      <c r="H193" s="13" t="s">
        <v>5413</v>
      </c>
      <c r="I193" s="16" t="s">
        <v>82</v>
      </c>
      <c r="J193" s="17"/>
      <c r="K193" s="17"/>
      <c r="L193" s="17"/>
      <c r="M193" s="17"/>
      <c r="N193" s="18"/>
      <c r="O193" s="16" t="s">
        <v>83</v>
      </c>
      <c r="P193" s="18"/>
    </row>
    <row r="194" spans="1:16" ht="16.5" customHeight="1">
      <c r="A194" s="10">
        <v>193</v>
      </c>
      <c r="B194" s="10">
        <v>50</v>
      </c>
      <c r="C194" s="10">
        <v>375</v>
      </c>
      <c r="D194" s="11" t="s">
        <v>5410</v>
      </c>
      <c r="E194" s="12" t="s">
        <v>5412</v>
      </c>
      <c r="F194" s="11" t="s">
        <v>5414</v>
      </c>
      <c r="G194" s="10"/>
      <c r="H194" s="13" t="s">
        <v>5415</v>
      </c>
      <c r="I194" s="16" t="s">
        <v>82</v>
      </c>
      <c r="J194" s="17"/>
      <c r="K194" s="17"/>
      <c r="L194" s="17"/>
      <c r="M194" s="17"/>
      <c r="N194" s="18"/>
      <c r="O194" s="16" t="s">
        <v>83</v>
      </c>
      <c r="P194" s="18"/>
    </row>
    <row r="195" spans="1:16" ht="16.5" customHeight="1">
      <c r="A195" s="10">
        <v>194</v>
      </c>
      <c r="B195" s="10">
        <v>50</v>
      </c>
      <c r="C195" s="10">
        <v>387</v>
      </c>
      <c r="D195" s="11" t="s">
        <v>5416</v>
      </c>
      <c r="E195" s="12" t="s">
        <v>5417</v>
      </c>
      <c r="F195" s="11" t="s">
        <v>5418</v>
      </c>
      <c r="G195" s="10"/>
      <c r="H195" s="13" t="s">
        <v>5419</v>
      </c>
      <c r="I195" s="16" t="s">
        <v>89</v>
      </c>
      <c r="J195" s="17" t="s">
        <v>155</v>
      </c>
      <c r="K195" s="17" t="s">
        <v>209</v>
      </c>
      <c r="L195" s="17" t="s">
        <v>5420</v>
      </c>
      <c r="M195" s="17" t="s">
        <v>5421</v>
      </c>
      <c r="N195" s="18" t="s">
        <v>5422</v>
      </c>
      <c r="O195" s="16" t="s">
        <v>113</v>
      </c>
      <c r="P195" s="18"/>
    </row>
    <row r="196" spans="1:16" ht="16.5" customHeight="1">
      <c r="A196" s="10">
        <v>195</v>
      </c>
      <c r="B196" s="10">
        <v>50</v>
      </c>
      <c r="C196" s="10">
        <v>388</v>
      </c>
      <c r="D196" s="11" t="s">
        <v>5417</v>
      </c>
      <c r="E196" s="19" t="s">
        <v>5418</v>
      </c>
      <c r="F196" s="11" t="s">
        <v>5423</v>
      </c>
      <c r="G196" s="10" t="s">
        <v>85</v>
      </c>
      <c r="H196" s="13" t="s">
        <v>5424</v>
      </c>
      <c r="I196" s="16" t="s">
        <v>89</v>
      </c>
      <c r="J196" s="17" t="s">
        <v>155</v>
      </c>
      <c r="K196" s="17" t="s">
        <v>209</v>
      </c>
      <c r="L196" s="17" t="s">
        <v>5425</v>
      </c>
      <c r="M196" s="17" t="s">
        <v>5426</v>
      </c>
      <c r="N196" s="18" t="s">
        <v>5427</v>
      </c>
      <c r="O196" s="16" t="s">
        <v>113</v>
      </c>
      <c r="P196" s="18"/>
    </row>
    <row r="197" spans="1:16" ht="16.5" customHeight="1">
      <c r="A197" s="10">
        <v>196</v>
      </c>
      <c r="B197" s="10">
        <v>50</v>
      </c>
      <c r="C197" s="10">
        <v>389</v>
      </c>
      <c r="D197" s="11" t="s">
        <v>5418</v>
      </c>
      <c r="E197" s="12" t="s">
        <v>5423</v>
      </c>
      <c r="F197" s="11" t="s">
        <v>5428</v>
      </c>
      <c r="G197" s="10"/>
      <c r="H197" s="13" t="s">
        <v>5429</v>
      </c>
      <c r="I197" s="16" t="s">
        <v>82</v>
      </c>
      <c r="J197" s="17"/>
      <c r="K197" s="17"/>
      <c r="L197" s="17"/>
      <c r="M197" s="17"/>
      <c r="N197" s="18"/>
      <c r="O197" s="16" t="s">
        <v>83</v>
      </c>
      <c r="P197" s="18"/>
    </row>
    <row r="198" spans="1:16" ht="26.25" customHeight="1">
      <c r="A198" s="10">
        <v>197</v>
      </c>
      <c r="B198" s="10">
        <v>50</v>
      </c>
      <c r="C198" s="10">
        <v>402</v>
      </c>
      <c r="D198" s="11" t="s">
        <v>5430</v>
      </c>
      <c r="E198" s="12" t="s">
        <v>5431</v>
      </c>
      <c r="F198" s="11" t="s">
        <v>5432</v>
      </c>
      <c r="G198" s="10"/>
      <c r="H198" s="13" t="s">
        <v>5433</v>
      </c>
      <c r="I198" s="16" t="s">
        <v>82</v>
      </c>
      <c r="J198" s="17"/>
      <c r="K198" s="17"/>
      <c r="L198" s="17"/>
      <c r="M198" s="17"/>
      <c r="N198" s="18"/>
      <c r="O198" s="16" t="s">
        <v>83</v>
      </c>
      <c r="P198" s="18"/>
    </row>
    <row r="199" spans="1:16" ht="16.5" customHeight="1">
      <c r="A199" s="10">
        <v>198</v>
      </c>
      <c r="B199" s="10">
        <v>50</v>
      </c>
      <c r="C199" s="10">
        <v>403</v>
      </c>
      <c r="D199" s="11" t="s">
        <v>5431</v>
      </c>
      <c r="E199" s="19" t="s">
        <v>5432</v>
      </c>
      <c r="F199" s="11" t="s">
        <v>5434</v>
      </c>
      <c r="G199" s="10" t="s">
        <v>106</v>
      </c>
      <c r="H199" s="13" t="s">
        <v>5435</v>
      </c>
      <c r="I199" s="16" t="s">
        <v>82</v>
      </c>
      <c r="J199" s="17"/>
      <c r="K199" s="17"/>
      <c r="L199" s="17"/>
      <c r="M199" s="17"/>
      <c r="N199" s="18"/>
      <c r="O199" s="16" t="s">
        <v>83</v>
      </c>
      <c r="P199" s="18"/>
    </row>
    <row r="200" spans="1:16" ht="26.25" customHeight="1">
      <c r="A200" s="10">
        <v>199</v>
      </c>
      <c r="B200" s="10">
        <v>50</v>
      </c>
      <c r="C200" s="10">
        <v>404</v>
      </c>
      <c r="D200" s="11" t="s">
        <v>5432</v>
      </c>
      <c r="E200" s="12" t="s">
        <v>5434</v>
      </c>
      <c r="F200" s="11" t="s">
        <v>5436</v>
      </c>
      <c r="G200" s="10"/>
      <c r="H200" s="13" t="s">
        <v>5437</v>
      </c>
      <c r="I200" s="16" t="s">
        <v>82</v>
      </c>
      <c r="J200" s="17"/>
      <c r="K200" s="17"/>
      <c r="L200" s="17"/>
      <c r="M200" s="17"/>
      <c r="N200" s="18"/>
      <c r="O200" s="16" t="s">
        <v>83</v>
      </c>
      <c r="P200" s="18"/>
    </row>
    <row r="201" spans="1:16" ht="32.25" customHeight="1">
      <c r="A201" s="10">
        <v>200</v>
      </c>
      <c r="B201" s="10">
        <v>50</v>
      </c>
      <c r="C201" s="10">
        <v>410</v>
      </c>
      <c r="D201" s="11" t="s">
        <v>5438</v>
      </c>
      <c r="E201" s="12" t="s">
        <v>5439</v>
      </c>
      <c r="F201" s="11" t="s">
        <v>5440</v>
      </c>
      <c r="G201" s="10"/>
      <c r="H201" s="13" t="s">
        <v>5441</v>
      </c>
      <c r="I201" s="16" t="s">
        <v>82</v>
      </c>
      <c r="J201" s="17"/>
      <c r="K201" s="17"/>
      <c r="L201" s="17"/>
      <c r="M201" s="17"/>
      <c r="N201" s="18"/>
      <c r="O201" s="16" t="s">
        <v>83</v>
      </c>
      <c r="P201" s="18"/>
    </row>
    <row r="202" spans="1:16" ht="26.25" customHeight="1">
      <c r="A202" s="10">
        <v>201</v>
      </c>
      <c r="B202" s="10">
        <v>50</v>
      </c>
      <c r="C202" s="10">
        <v>411</v>
      </c>
      <c r="D202" s="11" t="s">
        <v>5439</v>
      </c>
      <c r="E202" s="19" t="s">
        <v>5440</v>
      </c>
      <c r="F202" s="11" t="s">
        <v>5442</v>
      </c>
      <c r="G202" s="10" t="s">
        <v>2753</v>
      </c>
      <c r="H202" s="13" t="s">
        <v>5443</v>
      </c>
      <c r="I202" s="16" t="s">
        <v>82</v>
      </c>
      <c r="J202" s="17"/>
      <c r="K202" s="17"/>
      <c r="L202" s="17"/>
      <c r="M202" s="17"/>
      <c r="N202" s="18"/>
      <c r="O202" s="16" t="s">
        <v>83</v>
      </c>
      <c r="P202" s="18"/>
    </row>
    <row r="203" spans="1:16" ht="16.5" customHeight="1">
      <c r="A203" s="10">
        <v>202</v>
      </c>
      <c r="B203" s="10">
        <v>50</v>
      </c>
      <c r="C203" s="10">
        <v>412</v>
      </c>
      <c r="D203" s="11" t="s">
        <v>5440</v>
      </c>
      <c r="E203" s="19" t="s">
        <v>5442</v>
      </c>
      <c r="F203" s="11" t="s">
        <v>5444</v>
      </c>
      <c r="G203" s="10" t="s">
        <v>85</v>
      </c>
      <c r="H203" s="13" t="s">
        <v>5445</v>
      </c>
      <c r="I203" s="16" t="s">
        <v>82</v>
      </c>
      <c r="J203" s="17"/>
      <c r="K203" s="17"/>
      <c r="L203" s="17"/>
      <c r="M203" s="17"/>
      <c r="N203" s="18"/>
      <c r="O203" s="16" t="s">
        <v>83</v>
      </c>
      <c r="P203" s="18"/>
    </row>
    <row r="204" spans="1:16" ht="16.5" customHeight="1">
      <c r="A204" s="10">
        <v>203</v>
      </c>
      <c r="B204" s="10">
        <v>50</v>
      </c>
      <c r="C204" s="10">
        <v>413</v>
      </c>
      <c r="D204" s="11" t="s">
        <v>5442</v>
      </c>
      <c r="E204" s="12" t="s">
        <v>5444</v>
      </c>
      <c r="F204" s="11" t="s">
        <v>5446</v>
      </c>
      <c r="G204" s="10"/>
      <c r="H204" s="13" t="s">
        <v>5447</v>
      </c>
      <c r="I204" s="16" t="s">
        <v>82</v>
      </c>
      <c r="J204" s="17"/>
      <c r="K204" s="17"/>
      <c r="L204" s="17"/>
      <c r="M204" s="17"/>
      <c r="N204" s="18"/>
      <c r="O204" s="16" t="s">
        <v>83</v>
      </c>
      <c r="P204" s="18"/>
    </row>
    <row r="205" spans="1:16" ht="26.25" customHeight="1">
      <c r="A205" s="10">
        <v>204</v>
      </c>
      <c r="B205" s="10">
        <v>50</v>
      </c>
      <c r="C205" s="10">
        <v>419</v>
      </c>
      <c r="D205" s="11" t="s">
        <v>5448</v>
      </c>
      <c r="E205" s="12" t="s">
        <v>5449</v>
      </c>
      <c r="F205" s="11" t="s">
        <v>5450</v>
      </c>
      <c r="G205" s="10"/>
      <c r="H205" s="13" t="s">
        <v>5451</v>
      </c>
      <c r="I205" s="16" t="s">
        <v>82</v>
      </c>
      <c r="J205" s="17"/>
      <c r="K205" s="17"/>
      <c r="L205" s="17"/>
      <c r="M205" s="17"/>
      <c r="N205" s="18"/>
      <c r="O205" s="16" t="s">
        <v>83</v>
      </c>
      <c r="P205" s="18"/>
    </row>
    <row r="206" spans="1:16" ht="16.5" customHeight="1">
      <c r="A206" s="10">
        <v>205</v>
      </c>
      <c r="B206" s="10">
        <v>50</v>
      </c>
      <c r="C206" s="10">
        <v>420</v>
      </c>
      <c r="D206" s="11" t="s">
        <v>5449</v>
      </c>
      <c r="E206" s="19" t="s">
        <v>5450</v>
      </c>
      <c r="F206" s="11" t="s">
        <v>5452</v>
      </c>
      <c r="G206" s="10" t="s">
        <v>106</v>
      </c>
      <c r="H206" s="13" t="s">
        <v>5453</v>
      </c>
      <c r="I206" s="16" t="s">
        <v>82</v>
      </c>
      <c r="J206" s="17"/>
      <c r="K206" s="17"/>
      <c r="L206" s="17"/>
      <c r="M206" s="17"/>
      <c r="N206" s="18"/>
      <c r="O206" s="16" t="s">
        <v>83</v>
      </c>
      <c r="P206" s="18"/>
    </row>
    <row r="207" spans="1:16" ht="16.5" customHeight="1">
      <c r="A207" s="10">
        <v>206</v>
      </c>
      <c r="B207" s="10">
        <v>50</v>
      </c>
      <c r="C207" s="10">
        <v>421</v>
      </c>
      <c r="D207" s="11" t="s">
        <v>5450</v>
      </c>
      <c r="E207" s="19" t="s">
        <v>5452</v>
      </c>
      <c r="F207" s="11" t="s">
        <v>5454</v>
      </c>
      <c r="G207" s="10" t="s">
        <v>2753</v>
      </c>
      <c r="H207" s="13" t="s">
        <v>5455</v>
      </c>
      <c r="I207" s="16" t="s">
        <v>82</v>
      </c>
      <c r="J207" s="17"/>
      <c r="K207" s="17"/>
      <c r="L207" s="17"/>
      <c r="M207" s="17"/>
      <c r="N207" s="18"/>
      <c r="O207" s="16" t="s">
        <v>83</v>
      </c>
      <c r="P207" s="18"/>
    </row>
    <row r="208" spans="1:16" ht="26.25" customHeight="1">
      <c r="A208" s="10">
        <v>207</v>
      </c>
      <c r="B208" s="10">
        <v>50</v>
      </c>
      <c r="C208" s="10">
        <v>422</v>
      </c>
      <c r="D208" s="11" t="s">
        <v>5452</v>
      </c>
      <c r="E208" s="19" t="s">
        <v>5454</v>
      </c>
      <c r="F208" s="11" t="s">
        <v>5456</v>
      </c>
      <c r="G208" s="10" t="s">
        <v>2753</v>
      </c>
      <c r="H208" s="13" t="s">
        <v>5457</v>
      </c>
      <c r="I208" s="16" t="s">
        <v>82</v>
      </c>
      <c r="J208" s="17"/>
      <c r="K208" s="17"/>
      <c r="L208" s="17"/>
      <c r="M208" s="17"/>
      <c r="N208" s="18"/>
      <c r="O208" s="16" t="s">
        <v>83</v>
      </c>
      <c r="P208" s="18"/>
    </row>
    <row r="209" spans="1:16" ht="26.25" customHeight="1">
      <c r="A209" s="10">
        <v>208</v>
      </c>
      <c r="B209" s="10">
        <v>50</v>
      </c>
      <c r="C209" s="10">
        <v>423</v>
      </c>
      <c r="D209" s="11" t="s">
        <v>5454</v>
      </c>
      <c r="E209" s="19" t="s">
        <v>5456</v>
      </c>
      <c r="F209" s="11" t="s">
        <v>5458</v>
      </c>
      <c r="G209" s="10" t="s">
        <v>2753</v>
      </c>
      <c r="H209" s="13" t="s">
        <v>5459</v>
      </c>
      <c r="I209" s="16" t="s">
        <v>82</v>
      </c>
      <c r="J209" s="17"/>
      <c r="K209" s="17"/>
      <c r="L209" s="17"/>
      <c r="M209" s="17"/>
      <c r="N209" s="18"/>
      <c r="O209" s="16" t="s">
        <v>83</v>
      </c>
      <c r="P209" s="18"/>
    </row>
    <row r="210" spans="1:16" ht="16.5" customHeight="1">
      <c r="A210" s="10">
        <v>209</v>
      </c>
      <c r="B210" s="10">
        <v>50</v>
      </c>
      <c r="C210" s="10">
        <v>424</v>
      </c>
      <c r="D210" s="11" t="s">
        <v>5456</v>
      </c>
      <c r="E210" s="12" t="s">
        <v>5458</v>
      </c>
      <c r="F210" s="11" t="s">
        <v>5460</v>
      </c>
      <c r="G210" s="10"/>
      <c r="H210" s="13" t="s">
        <v>5461</v>
      </c>
      <c r="I210" s="16" t="s">
        <v>82</v>
      </c>
      <c r="J210" s="17"/>
      <c r="K210" s="17"/>
      <c r="L210" s="17"/>
      <c r="M210" s="17"/>
      <c r="N210" s="18"/>
      <c r="O210" s="16" t="s">
        <v>83</v>
      </c>
      <c r="P210" s="18"/>
    </row>
    <row r="211" spans="1:16" ht="26.25" customHeight="1">
      <c r="A211" s="10">
        <v>210</v>
      </c>
      <c r="B211" s="10">
        <v>50</v>
      </c>
      <c r="C211" s="10">
        <v>466</v>
      </c>
      <c r="D211" s="11" t="s">
        <v>5462</v>
      </c>
      <c r="E211" s="12" t="s">
        <v>5463</v>
      </c>
      <c r="F211" s="11" t="s">
        <v>5464</v>
      </c>
      <c r="G211" s="10"/>
      <c r="H211" s="13" t="s">
        <v>5465</v>
      </c>
      <c r="I211" s="16" t="s">
        <v>82</v>
      </c>
      <c r="J211" s="17"/>
      <c r="K211" s="17"/>
      <c r="L211" s="17"/>
      <c r="M211" s="17"/>
      <c r="N211" s="18"/>
      <c r="O211" s="16" t="s">
        <v>83</v>
      </c>
      <c r="P211" s="18"/>
    </row>
    <row r="212" spans="1:16" ht="26.25" customHeight="1">
      <c r="A212" s="10">
        <v>211</v>
      </c>
      <c r="B212" s="10">
        <v>50</v>
      </c>
      <c r="C212" s="10">
        <v>467</v>
      </c>
      <c r="D212" s="11" t="s">
        <v>5463</v>
      </c>
      <c r="E212" s="19" t="s">
        <v>5464</v>
      </c>
      <c r="F212" s="11" t="s">
        <v>5466</v>
      </c>
      <c r="G212" s="10" t="s">
        <v>133</v>
      </c>
      <c r="H212" s="13" t="s">
        <v>5467</v>
      </c>
      <c r="I212" s="16" t="s">
        <v>82</v>
      </c>
      <c r="J212" s="17"/>
      <c r="K212" s="17"/>
      <c r="L212" s="17"/>
      <c r="M212" s="17"/>
      <c r="N212" s="18"/>
      <c r="O212" s="16" t="s">
        <v>83</v>
      </c>
      <c r="P212" s="18"/>
    </row>
    <row r="213" spans="1:16" ht="26.25" customHeight="1">
      <c r="A213" s="10">
        <v>212</v>
      </c>
      <c r="B213" s="10">
        <v>50</v>
      </c>
      <c r="C213" s="10">
        <v>468</v>
      </c>
      <c r="D213" s="11" t="s">
        <v>5464</v>
      </c>
      <c r="E213" s="12" t="s">
        <v>5466</v>
      </c>
      <c r="F213" s="11" t="s">
        <v>5468</v>
      </c>
      <c r="G213" s="10"/>
      <c r="H213" s="13" t="s">
        <v>5469</v>
      </c>
      <c r="I213" s="16" t="s">
        <v>82</v>
      </c>
      <c r="J213" s="17"/>
      <c r="K213" s="17"/>
      <c r="L213" s="17"/>
      <c r="M213" s="17"/>
      <c r="N213" s="18"/>
      <c r="O213" s="16" t="s">
        <v>83</v>
      </c>
      <c r="P213" s="18"/>
    </row>
    <row r="214" spans="1:16" ht="16.5" customHeight="1">
      <c r="A214" s="10">
        <v>213</v>
      </c>
      <c r="B214" s="10">
        <v>50</v>
      </c>
      <c r="C214" s="10">
        <v>471</v>
      </c>
      <c r="D214" s="11" t="s">
        <v>5470</v>
      </c>
      <c r="E214" s="12" t="s">
        <v>5471</v>
      </c>
      <c r="F214" s="11" t="s">
        <v>5472</v>
      </c>
      <c r="G214" s="10"/>
      <c r="H214" s="13" t="s">
        <v>5473</v>
      </c>
      <c r="I214" s="16" t="s">
        <v>82</v>
      </c>
      <c r="J214" s="17"/>
      <c r="K214" s="17"/>
      <c r="L214" s="17"/>
      <c r="M214" s="17"/>
      <c r="N214" s="18"/>
      <c r="O214" s="16" t="s">
        <v>83</v>
      </c>
      <c r="P214" s="18"/>
    </row>
    <row r="215" spans="1:16" ht="26.25" customHeight="1">
      <c r="A215" s="10">
        <v>214</v>
      </c>
      <c r="B215" s="10">
        <v>50</v>
      </c>
      <c r="C215" s="10">
        <v>472</v>
      </c>
      <c r="D215" s="11" t="s">
        <v>5471</v>
      </c>
      <c r="E215" s="19" t="s">
        <v>5472</v>
      </c>
      <c r="F215" s="11" t="s">
        <v>5474</v>
      </c>
      <c r="G215" s="10" t="s">
        <v>106</v>
      </c>
      <c r="H215" s="13" t="s">
        <v>5475</v>
      </c>
      <c r="I215" s="16" t="s">
        <v>82</v>
      </c>
      <c r="J215" s="17"/>
      <c r="K215" s="17"/>
      <c r="L215" s="17"/>
      <c r="M215" s="17"/>
      <c r="N215" s="18"/>
      <c r="O215" s="16" t="s">
        <v>83</v>
      </c>
      <c r="P215" s="18"/>
    </row>
    <row r="216" spans="1:16" ht="26.25" customHeight="1">
      <c r="A216" s="10">
        <v>215</v>
      </c>
      <c r="B216" s="10">
        <v>50</v>
      </c>
      <c r="C216" s="10">
        <v>473</v>
      </c>
      <c r="D216" s="11" t="s">
        <v>5472</v>
      </c>
      <c r="E216" s="12" t="s">
        <v>5474</v>
      </c>
      <c r="F216" s="11" t="s">
        <v>5476</v>
      </c>
      <c r="G216" s="10"/>
      <c r="H216" s="13" t="s">
        <v>5477</v>
      </c>
      <c r="I216" s="16" t="s">
        <v>82</v>
      </c>
      <c r="J216" s="17"/>
      <c r="K216" s="17"/>
      <c r="L216" s="17"/>
      <c r="M216" s="17"/>
      <c r="N216" s="18"/>
      <c r="O216" s="16" t="s">
        <v>83</v>
      </c>
      <c r="P216" s="18"/>
    </row>
    <row r="217" spans="1:16" ht="16.5" customHeight="1">
      <c r="A217" s="10">
        <v>216</v>
      </c>
      <c r="B217" s="10">
        <v>50</v>
      </c>
      <c r="C217" s="10">
        <v>481</v>
      </c>
      <c r="D217" s="11" t="s">
        <v>5478</v>
      </c>
      <c r="E217" s="12" t="s">
        <v>5479</v>
      </c>
      <c r="F217" s="11" t="s">
        <v>5480</v>
      </c>
      <c r="G217" s="10"/>
      <c r="H217" s="13" t="s">
        <v>5481</v>
      </c>
      <c r="I217" s="16" t="s">
        <v>82</v>
      </c>
      <c r="J217" s="17"/>
      <c r="K217" s="17"/>
      <c r="L217" s="17"/>
      <c r="M217" s="17"/>
      <c r="N217" s="18"/>
      <c r="O217" s="16" t="s">
        <v>83</v>
      </c>
      <c r="P217" s="18"/>
    </row>
    <row r="218" spans="1:16" ht="16.5" customHeight="1">
      <c r="A218" s="10">
        <v>217</v>
      </c>
      <c r="B218" s="10">
        <v>50</v>
      </c>
      <c r="C218" s="10">
        <v>482</v>
      </c>
      <c r="D218" s="11" t="s">
        <v>5479</v>
      </c>
      <c r="E218" s="19" t="s">
        <v>5480</v>
      </c>
      <c r="F218" s="11" t="s">
        <v>5482</v>
      </c>
      <c r="G218" s="10" t="s">
        <v>85</v>
      </c>
      <c r="H218" s="13" t="s">
        <v>936</v>
      </c>
      <c r="I218" s="16" t="s">
        <v>82</v>
      </c>
      <c r="J218" s="17"/>
      <c r="K218" s="17"/>
      <c r="L218" s="17"/>
      <c r="M218" s="17"/>
      <c r="N218" s="18"/>
      <c r="O218" s="16" t="s">
        <v>83</v>
      </c>
      <c r="P218" s="18"/>
    </row>
    <row r="219" spans="1:16" ht="16.5" customHeight="1">
      <c r="A219" s="10">
        <v>218</v>
      </c>
      <c r="B219" s="10">
        <v>50</v>
      </c>
      <c r="C219" s="10">
        <v>483</v>
      </c>
      <c r="D219" s="11" t="s">
        <v>5480</v>
      </c>
      <c r="E219" s="12" t="s">
        <v>5482</v>
      </c>
      <c r="F219" s="11" t="s">
        <v>5483</v>
      </c>
      <c r="G219" s="10"/>
      <c r="H219" s="13" t="s">
        <v>5484</v>
      </c>
      <c r="I219" s="16" t="s">
        <v>82</v>
      </c>
      <c r="J219" s="17"/>
      <c r="K219" s="17"/>
      <c r="L219" s="17"/>
      <c r="M219" s="17"/>
      <c r="N219" s="18"/>
      <c r="O219" s="16" t="s">
        <v>83</v>
      </c>
      <c r="P219" s="18"/>
    </row>
    <row r="220" spans="1:16" ht="26.25" customHeight="1">
      <c r="A220" s="10">
        <v>219</v>
      </c>
      <c r="B220" s="10">
        <v>50</v>
      </c>
      <c r="C220" s="10">
        <v>505</v>
      </c>
      <c r="D220" s="11" t="s">
        <v>5485</v>
      </c>
      <c r="E220" s="12" t="s">
        <v>5486</v>
      </c>
      <c r="F220" s="11" t="s">
        <v>5487</v>
      </c>
      <c r="G220" s="10"/>
      <c r="H220" s="13" t="s">
        <v>2758</v>
      </c>
      <c r="I220" s="16" t="s">
        <v>82</v>
      </c>
      <c r="J220" s="17"/>
      <c r="K220" s="17"/>
      <c r="L220" s="17"/>
      <c r="M220" s="17"/>
      <c r="N220" s="18"/>
      <c r="O220" s="16" t="s">
        <v>83</v>
      </c>
      <c r="P220" s="18"/>
    </row>
    <row r="221" spans="1:16" ht="26.25" customHeight="1">
      <c r="A221" s="10">
        <v>220</v>
      </c>
      <c r="B221" s="10">
        <v>50</v>
      </c>
      <c r="C221" s="10">
        <v>506</v>
      </c>
      <c r="D221" s="11" t="s">
        <v>5486</v>
      </c>
      <c r="E221" s="19" t="s">
        <v>5487</v>
      </c>
      <c r="F221" s="11" t="s">
        <v>5488</v>
      </c>
      <c r="G221" s="10" t="s">
        <v>160</v>
      </c>
      <c r="H221" s="13" t="s">
        <v>5489</v>
      </c>
      <c r="I221" s="16" t="s">
        <v>82</v>
      </c>
      <c r="J221" s="17"/>
      <c r="K221" s="17"/>
      <c r="L221" s="17"/>
      <c r="M221" s="17"/>
      <c r="N221" s="18"/>
      <c r="O221" s="16" t="s">
        <v>83</v>
      </c>
      <c r="P221" s="18"/>
    </row>
    <row r="222" spans="1:16" ht="26.25" customHeight="1">
      <c r="A222" s="10">
        <v>221</v>
      </c>
      <c r="B222" s="10">
        <v>50</v>
      </c>
      <c r="C222" s="10">
        <v>507</v>
      </c>
      <c r="D222" s="11" t="s">
        <v>5487</v>
      </c>
      <c r="E222" s="12" t="s">
        <v>5488</v>
      </c>
      <c r="F222" s="11" t="s">
        <v>5490</v>
      </c>
      <c r="G222" s="10"/>
      <c r="H222" s="13" t="s">
        <v>5491</v>
      </c>
      <c r="I222" s="16" t="s">
        <v>82</v>
      </c>
      <c r="J222" s="17"/>
      <c r="K222" s="17"/>
      <c r="L222" s="17"/>
      <c r="M222" s="17"/>
      <c r="N222" s="18"/>
      <c r="O222" s="16" t="s">
        <v>83</v>
      </c>
      <c r="P222" s="18"/>
    </row>
    <row r="223" spans="1:16" ht="16.5" customHeight="1">
      <c r="A223" s="10">
        <v>222</v>
      </c>
      <c r="B223" s="10">
        <v>50</v>
      </c>
      <c r="C223" s="10">
        <v>508</v>
      </c>
      <c r="D223" s="11" t="s">
        <v>5488</v>
      </c>
      <c r="E223" s="19" t="s">
        <v>5490</v>
      </c>
      <c r="F223" s="11" t="s">
        <v>5492</v>
      </c>
      <c r="G223" s="10" t="s">
        <v>85</v>
      </c>
      <c r="H223" s="13" t="s">
        <v>5493</v>
      </c>
      <c r="I223" s="16" t="s">
        <v>82</v>
      </c>
      <c r="J223" s="17"/>
      <c r="K223" s="17"/>
      <c r="L223" s="17"/>
      <c r="M223" s="17"/>
      <c r="N223" s="18"/>
      <c r="O223" s="16" t="s">
        <v>83</v>
      </c>
      <c r="P223" s="18"/>
    </row>
    <row r="224" spans="1:16" ht="16.5" customHeight="1">
      <c r="A224" s="10">
        <v>223</v>
      </c>
      <c r="B224" s="10">
        <v>50</v>
      </c>
      <c r="C224" s="10">
        <v>509</v>
      </c>
      <c r="D224" s="11" t="s">
        <v>5490</v>
      </c>
      <c r="E224" s="12" t="s">
        <v>5492</v>
      </c>
      <c r="F224" s="11" t="s">
        <v>5494</v>
      </c>
      <c r="G224" s="10"/>
      <c r="H224" s="13" t="s">
        <v>5495</v>
      </c>
      <c r="I224" s="16" t="s">
        <v>89</v>
      </c>
      <c r="J224" s="17" t="s">
        <v>90</v>
      </c>
      <c r="K224" s="17" t="s">
        <v>3814</v>
      </c>
      <c r="L224" s="17" t="s">
        <v>5496</v>
      </c>
      <c r="M224" s="17" t="s">
        <v>5497</v>
      </c>
      <c r="N224" s="18" t="s">
        <v>5498</v>
      </c>
      <c r="O224" s="16" t="s">
        <v>83</v>
      </c>
      <c r="P224" s="18"/>
    </row>
    <row r="225" spans="1:16" ht="26.25" customHeight="1">
      <c r="A225" s="10">
        <v>224</v>
      </c>
      <c r="B225" s="10">
        <v>50</v>
      </c>
      <c r="C225" s="10">
        <v>512</v>
      </c>
      <c r="D225" s="11" t="s">
        <v>5499</v>
      </c>
      <c r="E225" s="12" t="s">
        <v>5500</v>
      </c>
      <c r="F225" s="11" t="s">
        <v>5501</v>
      </c>
      <c r="G225" s="10"/>
      <c r="H225" s="13" t="s">
        <v>5502</v>
      </c>
      <c r="I225" s="16" t="s">
        <v>82</v>
      </c>
      <c r="J225" s="17"/>
      <c r="K225" s="17"/>
      <c r="L225" s="17"/>
      <c r="M225" s="17"/>
      <c r="N225" s="18"/>
      <c r="O225" s="16" t="s">
        <v>83</v>
      </c>
      <c r="P225" s="18"/>
    </row>
    <row r="226" spans="1:16" ht="16.5" customHeight="1">
      <c r="A226" s="10">
        <v>225</v>
      </c>
      <c r="B226" s="10">
        <v>50</v>
      </c>
      <c r="C226" s="10">
        <v>513</v>
      </c>
      <c r="D226" s="11" t="s">
        <v>5500</v>
      </c>
      <c r="E226" s="19" t="s">
        <v>5501</v>
      </c>
      <c r="F226" s="11" t="s">
        <v>5503</v>
      </c>
      <c r="G226" s="10" t="s">
        <v>85</v>
      </c>
      <c r="H226" s="13" t="s">
        <v>5504</v>
      </c>
      <c r="I226" s="16" t="s">
        <v>82</v>
      </c>
      <c r="J226" s="17"/>
      <c r="K226" s="17"/>
      <c r="L226" s="17"/>
      <c r="M226" s="17"/>
      <c r="N226" s="18"/>
      <c r="O226" s="16" t="s">
        <v>83</v>
      </c>
      <c r="P226" s="18"/>
    </row>
    <row r="227" spans="1:16" ht="26.25" customHeight="1">
      <c r="A227" s="10">
        <v>226</v>
      </c>
      <c r="B227" s="10">
        <v>50</v>
      </c>
      <c r="C227" s="10">
        <v>514</v>
      </c>
      <c r="D227" s="11" t="s">
        <v>5501</v>
      </c>
      <c r="E227" s="12" t="s">
        <v>5503</v>
      </c>
      <c r="F227" s="11" t="s">
        <v>5505</v>
      </c>
      <c r="G227" s="10"/>
      <c r="H227" s="13" t="s">
        <v>5506</v>
      </c>
      <c r="I227" s="16" t="s">
        <v>82</v>
      </c>
      <c r="J227" s="17"/>
      <c r="K227" s="17"/>
      <c r="L227" s="17"/>
      <c r="M227" s="17"/>
      <c r="N227" s="18"/>
      <c r="O227" s="16" t="s">
        <v>83</v>
      </c>
      <c r="P227" s="18"/>
    </row>
    <row r="228" spans="1:16" ht="26.25" customHeight="1">
      <c r="A228" s="10">
        <v>227</v>
      </c>
      <c r="B228" s="10">
        <v>50</v>
      </c>
      <c r="C228" s="10">
        <v>526</v>
      </c>
      <c r="D228" s="11" t="s">
        <v>5507</v>
      </c>
      <c r="E228" s="12" t="s">
        <v>5508</v>
      </c>
      <c r="F228" s="11" t="s">
        <v>5509</v>
      </c>
      <c r="G228" s="10"/>
      <c r="H228" s="13" t="s">
        <v>5510</v>
      </c>
      <c r="I228" s="16" t="s">
        <v>82</v>
      </c>
      <c r="J228" s="17"/>
      <c r="K228" s="17"/>
      <c r="L228" s="17"/>
      <c r="M228" s="17"/>
      <c r="N228" s="18"/>
      <c r="O228" s="16" t="s">
        <v>83</v>
      </c>
      <c r="P228" s="18"/>
    </row>
    <row r="229" spans="1:16" ht="16.5" customHeight="1">
      <c r="A229" s="10">
        <v>228</v>
      </c>
      <c r="B229" s="10">
        <v>50</v>
      </c>
      <c r="C229" s="10">
        <v>527</v>
      </c>
      <c r="D229" s="11" t="s">
        <v>5508</v>
      </c>
      <c r="E229" s="19" t="s">
        <v>5509</v>
      </c>
      <c r="F229" s="11" t="s">
        <v>5511</v>
      </c>
      <c r="G229" s="10" t="s">
        <v>540</v>
      </c>
      <c r="H229" s="13" t="s">
        <v>5512</v>
      </c>
      <c r="I229" s="16" t="s">
        <v>82</v>
      </c>
      <c r="J229" s="17"/>
      <c r="K229" s="17"/>
      <c r="L229" s="17"/>
      <c r="M229" s="17"/>
      <c r="N229" s="18"/>
      <c r="O229" s="16" t="s">
        <v>83</v>
      </c>
      <c r="P229" s="18"/>
    </row>
    <row r="230" spans="1:16" ht="16.5" customHeight="1">
      <c r="A230" s="10">
        <v>229</v>
      </c>
      <c r="B230" s="10">
        <v>50</v>
      </c>
      <c r="C230" s="10">
        <v>528</v>
      </c>
      <c r="D230" s="11" t="s">
        <v>5509</v>
      </c>
      <c r="E230" s="12" t="s">
        <v>5511</v>
      </c>
      <c r="F230" s="11" t="s">
        <v>5513</v>
      </c>
      <c r="G230" s="10"/>
      <c r="H230" s="13" t="s">
        <v>5514</v>
      </c>
      <c r="I230" s="16" t="s">
        <v>82</v>
      </c>
      <c r="J230" s="17"/>
      <c r="K230" s="17"/>
      <c r="L230" s="17"/>
      <c r="M230" s="17"/>
      <c r="N230" s="18"/>
      <c r="O230" s="16" t="s">
        <v>83</v>
      </c>
      <c r="P230" s="18"/>
    </row>
    <row r="231" spans="1:16" ht="16.5" customHeight="1">
      <c r="A231" s="10">
        <v>230</v>
      </c>
      <c r="B231" s="10">
        <v>51</v>
      </c>
      <c r="C231" s="10">
        <v>28</v>
      </c>
      <c r="D231" s="11" t="s">
        <v>5515</v>
      </c>
      <c r="E231" s="12" t="s">
        <v>5516</v>
      </c>
      <c r="F231" s="11" t="s">
        <v>5517</v>
      </c>
      <c r="G231" s="10"/>
      <c r="H231" s="13" t="s">
        <v>5518</v>
      </c>
      <c r="I231" s="16" t="s">
        <v>82</v>
      </c>
      <c r="J231" s="17"/>
      <c r="K231" s="17"/>
      <c r="L231" s="17"/>
      <c r="M231" s="17"/>
      <c r="N231" s="18"/>
      <c r="O231" s="16" t="s">
        <v>83</v>
      </c>
      <c r="P231" s="18"/>
    </row>
    <row r="232" spans="1:16" ht="16.5" customHeight="1">
      <c r="A232" s="10">
        <v>231</v>
      </c>
      <c r="B232" s="10">
        <v>51</v>
      </c>
      <c r="C232" s="10">
        <v>29</v>
      </c>
      <c r="D232" s="11" t="s">
        <v>5516</v>
      </c>
      <c r="E232" s="19" t="s">
        <v>5517</v>
      </c>
      <c r="F232" s="11" t="s">
        <v>5519</v>
      </c>
      <c r="G232" s="10" t="s">
        <v>575</v>
      </c>
      <c r="H232" s="13" t="s">
        <v>5520</v>
      </c>
      <c r="I232" s="16" t="s">
        <v>82</v>
      </c>
      <c r="J232" s="17"/>
      <c r="K232" s="17"/>
      <c r="L232" s="17"/>
      <c r="M232" s="17"/>
      <c r="N232" s="18"/>
      <c r="O232" s="16" t="s">
        <v>83</v>
      </c>
      <c r="P232" s="18"/>
    </row>
    <row r="233" spans="1:16" ht="16.5" customHeight="1">
      <c r="A233" s="10">
        <v>232</v>
      </c>
      <c r="B233" s="10">
        <v>51</v>
      </c>
      <c r="C233" s="10">
        <v>30</v>
      </c>
      <c r="D233" s="11" t="s">
        <v>5517</v>
      </c>
      <c r="E233" s="12" t="s">
        <v>5519</v>
      </c>
      <c r="F233" s="11" t="s">
        <v>5521</v>
      </c>
      <c r="G233" s="10"/>
      <c r="H233" s="13" t="s">
        <v>3115</v>
      </c>
      <c r="I233" s="16" t="s">
        <v>82</v>
      </c>
      <c r="J233" s="17"/>
      <c r="K233" s="17"/>
      <c r="L233" s="17"/>
      <c r="M233" s="17"/>
      <c r="N233" s="18"/>
      <c r="O233" s="16" t="s">
        <v>83</v>
      </c>
      <c r="P233" s="18"/>
    </row>
    <row r="234" spans="1:16" ht="16.5" customHeight="1">
      <c r="A234" s="10">
        <v>233</v>
      </c>
      <c r="B234" s="10">
        <v>51</v>
      </c>
      <c r="C234" s="10">
        <v>57</v>
      </c>
      <c r="D234" s="11" t="s">
        <v>5522</v>
      </c>
      <c r="E234" s="12" t="s">
        <v>5523</v>
      </c>
      <c r="F234" s="11" t="s">
        <v>5524</v>
      </c>
      <c r="G234" s="10"/>
      <c r="H234" s="13"/>
      <c r="I234" s="16" t="s">
        <v>82</v>
      </c>
      <c r="J234" s="17"/>
      <c r="K234" s="17"/>
      <c r="L234" s="17"/>
      <c r="M234" s="17"/>
      <c r="N234" s="18"/>
      <c r="O234" s="16" t="s">
        <v>83</v>
      </c>
      <c r="P234" s="18"/>
    </row>
    <row r="235" spans="1:16" ht="16.5" customHeight="1">
      <c r="A235" s="10">
        <v>234</v>
      </c>
      <c r="B235" s="10">
        <v>51</v>
      </c>
      <c r="C235" s="10">
        <v>58</v>
      </c>
      <c r="D235" s="11" t="s">
        <v>5523</v>
      </c>
      <c r="E235" s="19" t="s">
        <v>5524</v>
      </c>
      <c r="F235" s="11" t="s">
        <v>5525</v>
      </c>
      <c r="G235" s="10" t="s">
        <v>575</v>
      </c>
      <c r="H235" s="13" t="s">
        <v>5520</v>
      </c>
      <c r="I235" s="16" t="s">
        <v>82</v>
      </c>
      <c r="J235" s="17"/>
      <c r="K235" s="17"/>
      <c r="L235" s="17"/>
      <c r="M235" s="17"/>
      <c r="N235" s="18"/>
      <c r="O235" s="16" t="s">
        <v>83</v>
      </c>
      <c r="P235" s="18"/>
    </row>
    <row r="236" spans="1:16" ht="16.5" customHeight="1">
      <c r="A236" s="10">
        <v>235</v>
      </c>
      <c r="B236" s="10">
        <v>51</v>
      </c>
      <c r="C236" s="10">
        <v>59</v>
      </c>
      <c r="D236" s="11" t="s">
        <v>5524</v>
      </c>
      <c r="E236" s="12" t="s">
        <v>5525</v>
      </c>
      <c r="F236" s="11" t="s">
        <v>5526</v>
      </c>
      <c r="G236" s="10"/>
      <c r="H236" s="13" t="s">
        <v>5527</v>
      </c>
      <c r="I236" s="16" t="s">
        <v>82</v>
      </c>
      <c r="J236" s="17"/>
      <c r="K236" s="17"/>
      <c r="L236" s="17"/>
      <c r="M236" s="17"/>
      <c r="N236" s="18"/>
      <c r="O236" s="16" t="s">
        <v>83</v>
      </c>
      <c r="P236" s="18"/>
    </row>
    <row r="237" spans="1:16" ht="16.5" customHeight="1">
      <c r="A237" s="10">
        <v>236</v>
      </c>
      <c r="B237" s="10">
        <v>51</v>
      </c>
      <c r="C237" s="10">
        <v>87</v>
      </c>
      <c r="D237" s="11" t="s">
        <v>5528</v>
      </c>
      <c r="E237" s="12" t="s">
        <v>5529</v>
      </c>
      <c r="F237" s="11" t="s">
        <v>5530</v>
      </c>
      <c r="G237" s="10"/>
      <c r="H237" s="13" t="s">
        <v>5531</v>
      </c>
      <c r="I237" s="16" t="s">
        <v>82</v>
      </c>
      <c r="J237" s="17"/>
      <c r="K237" s="17"/>
      <c r="L237" s="17"/>
      <c r="M237" s="17"/>
      <c r="N237" s="18"/>
      <c r="O237" s="16" t="s">
        <v>83</v>
      </c>
      <c r="P237" s="18"/>
    </row>
    <row r="238" spans="1:16" ht="16.5" customHeight="1">
      <c r="A238" s="10">
        <v>237</v>
      </c>
      <c r="B238" s="10">
        <v>51</v>
      </c>
      <c r="C238" s="10">
        <v>88</v>
      </c>
      <c r="D238" s="11" t="s">
        <v>5529</v>
      </c>
      <c r="E238" s="19" t="s">
        <v>5530</v>
      </c>
      <c r="F238" s="11" t="s">
        <v>5532</v>
      </c>
      <c r="G238" s="10" t="s">
        <v>575</v>
      </c>
      <c r="H238" s="13" t="s">
        <v>5533</v>
      </c>
      <c r="I238" s="16" t="s">
        <v>82</v>
      </c>
      <c r="J238" s="17"/>
      <c r="K238" s="17"/>
      <c r="L238" s="17"/>
      <c r="M238" s="17"/>
      <c r="N238" s="18"/>
      <c r="O238" s="16" t="s">
        <v>83</v>
      </c>
      <c r="P238" s="18"/>
    </row>
    <row r="239" spans="1:16" ht="16.5" customHeight="1">
      <c r="A239" s="10">
        <v>238</v>
      </c>
      <c r="B239" s="10">
        <v>51</v>
      </c>
      <c r="C239" s="10">
        <v>89</v>
      </c>
      <c r="D239" s="11" t="s">
        <v>5530</v>
      </c>
      <c r="E239" s="12" t="s">
        <v>5532</v>
      </c>
      <c r="F239" s="11" t="s">
        <v>5534</v>
      </c>
      <c r="G239" s="10"/>
      <c r="H239" s="13" t="s">
        <v>5535</v>
      </c>
      <c r="I239" s="16" t="s">
        <v>82</v>
      </c>
      <c r="J239" s="17"/>
      <c r="K239" s="17"/>
      <c r="L239" s="17"/>
      <c r="M239" s="17"/>
      <c r="N239" s="18"/>
      <c r="O239" s="16" t="s">
        <v>83</v>
      </c>
      <c r="P239" s="18"/>
    </row>
    <row r="240" spans="1:16" ht="16.5" customHeight="1">
      <c r="A240" s="10">
        <v>239</v>
      </c>
      <c r="B240" s="10">
        <v>51</v>
      </c>
      <c r="C240" s="10">
        <v>91</v>
      </c>
      <c r="D240" s="11" t="s">
        <v>5534</v>
      </c>
      <c r="E240" s="12" t="s">
        <v>5536</v>
      </c>
      <c r="F240" s="11" t="s">
        <v>5537</v>
      </c>
      <c r="G240" s="10"/>
      <c r="H240" s="13" t="s">
        <v>5538</v>
      </c>
      <c r="I240" s="16" t="s">
        <v>82</v>
      </c>
      <c r="J240" s="17"/>
      <c r="K240" s="17"/>
      <c r="L240" s="17"/>
      <c r="M240" s="17"/>
      <c r="N240" s="18"/>
      <c r="O240" s="16" t="s">
        <v>83</v>
      </c>
      <c r="P240" s="18"/>
    </row>
    <row r="241" spans="1:16" ht="16.5" customHeight="1">
      <c r="A241" s="10">
        <v>240</v>
      </c>
      <c r="B241" s="10">
        <v>51</v>
      </c>
      <c r="C241" s="10">
        <v>92</v>
      </c>
      <c r="D241" s="11" t="s">
        <v>5536</v>
      </c>
      <c r="E241" s="19" t="s">
        <v>5537</v>
      </c>
      <c r="F241" s="11" t="s">
        <v>5539</v>
      </c>
      <c r="G241" s="10" t="s">
        <v>575</v>
      </c>
      <c r="H241" s="13" t="s">
        <v>5540</v>
      </c>
      <c r="I241" s="16" t="s">
        <v>82</v>
      </c>
      <c r="J241" s="17"/>
      <c r="K241" s="17"/>
      <c r="L241" s="17"/>
      <c r="M241" s="17"/>
      <c r="N241" s="18"/>
      <c r="O241" s="16" t="s">
        <v>83</v>
      </c>
      <c r="P241" s="18"/>
    </row>
    <row r="242" spans="1:16" ht="16.5" customHeight="1">
      <c r="A242" s="10">
        <v>241</v>
      </c>
      <c r="B242" s="10">
        <v>51</v>
      </c>
      <c r="C242" s="10">
        <v>93</v>
      </c>
      <c r="D242" s="11" t="s">
        <v>5537</v>
      </c>
      <c r="E242" s="12" t="s">
        <v>5539</v>
      </c>
      <c r="F242" s="11" t="s">
        <v>5541</v>
      </c>
      <c r="G242" s="10"/>
      <c r="H242" s="13" t="s">
        <v>1985</v>
      </c>
      <c r="I242" s="16" t="s">
        <v>82</v>
      </c>
      <c r="J242" s="17"/>
      <c r="K242" s="17"/>
      <c r="L242" s="17"/>
      <c r="M242" s="17"/>
      <c r="N242" s="18"/>
      <c r="O242" s="16" t="s">
        <v>83</v>
      </c>
      <c r="P242" s="18"/>
    </row>
    <row r="243" spans="1:16" ht="16.5" customHeight="1">
      <c r="A243" s="10">
        <v>242</v>
      </c>
      <c r="B243" s="10">
        <v>52</v>
      </c>
      <c r="C243" s="10">
        <v>8</v>
      </c>
      <c r="D243" s="11" t="s">
        <v>5542</v>
      </c>
      <c r="E243" s="12" t="s">
        <v>5543</v>
      </c>
      <c r="F243" s="11" t="s">
        <v>5544</v>
      </c>
      <c r="G243" s="10"/>
      <c r="H243" s="13" t="s">
        <v>5545</v>
      </c>
      <c r="I243" s="16" t="s">
        <v>82</v>
      </c>
      <c r="J243" s="17"/>
      <c r="K243" s="17"/>
      <c r="L243" s="17"/>
      <c r="M243" s="17"/>
      <c r="N243" s="18"/>
      <c r="O243" s="16" t="s">
        <v>83</v>
      </c>
      <c r="P243" s="18"/>
    </row>
    <row r="244" spans="1:16" ht="16.5" customHeight="1">
      <c r="A244" s="10">
        <v>243</v>
      </c>
      <c r="B244" s="10">
        <v>52</v>
      </c>
      <c r="C244" s="10">
        <v>9</v>
      </c>
      <c r="D244" s="11" t="s">
        <v>5543</v>
      </c>
      <c r="E244" s="19" t="s">
        <v>5544</v>
      </c>
      <c r="F244" s="11" t="s">
        <v>5546</v>
      </c>
      <c r="G244" s="10" t="s">
        <v>338</v>
      </c>
      <c r="H244" s="13" t="s">
        <v>5547</v>
      </c>
      <c r="I244" s="16" t="s">
        <v>82</v>
      </c>
      <c r="J244" s="17"/>
      <c r="K244" s="17"/>
      <c r="L244" s="17"/>
      <c r="M244" s="17"/>
      <c r="N244" s="18"/>
      <c r="O244" s="16" t="s">
        <v>83</v>
      </c>
      <c r="P244" s="18"/>
    </row>
    <row r="245" spans="1:16" ht="16.5" customHeight="1">
      <c r="A245" s="10">
        <v>244</v>
      </c>
      <c r="B245" s="10">
        <v>52</v>
      </c>
      <c r="C245" s="10">
        <v>10</v>
      </c>
      <c r="D245" s="11" t="s">
        <v>5544</v>
      </c>
      <c r="E245" s="19" t="s">
        <v>5546</v>
      </c>
      <c r="F245" s="11" t="s">
        <v>5548</v>
      </c>
      <c r="G245" s="10" t="s">
        <v>575</v>
      </c>
      <c r="H245" s="13" t="s">
        <v>5549</v>
      </c>
      <c r="I245" s="16" t="s">
        <v>82</v>
      </c>
      <c r="J245" s="17"/>
      <c r="K245" s="17"/>
      <c r="L245" s="17"/>
      <c r="M245" s="17"/>
      <c r="N245" s="18"/>
      <c r="O245" s="16" t="s">
        <v>83</v>
      </c>
      <c r="P245" s="18"/>
    </row>
    <row r="246" spans="1:16" ht="16.5" customHeight="1">
      <c r="A246" s="10">
        <v>245</v>
      </c>
      <c r="B246" s="10">
        <v>52</v>
      </c>
      <c r="C246" s="10">
        <v>11</v>
      </c>
      <c r="D246" s="11" t="s">
        <v>5546</v>
      </c>
      <c r="E246" s="12" t="s">
        <v>5548</v>
      </c>
      <c r="F246" s="11" t="s">
        <v>5550</v>
      </c>
      <c r="G246" s="10"/>
      <c r="H246" s="13" t="s">
        <v>5551</v>
      </c>
      <c r="I246" s="16" t="s">
        <v>82</v>
      </c>
      <c r="J246" s="17"/>
      <c r="K246" s="17"/>
      <c r="L246" s="17"/>
      <c r="M246" s="17"/>
      <c r="N246" s="18"/>
      <c r="O246" s="16" t="s">
        <v>83</v>
      </c>
      <c r="P246" s="18"/>
    </row>
    <row r="247" spans="1:16" ht="16.5" customHeight="1">
      <c r="A247" s="10">
        <v>246</v>
      </c>
      <c r="B247" s="10">
        <v>52</v>
      </c>
      <c r="C247" s="10">
        <v>12</v>
      </c>
      <c r="D247" s="11" t="s">
        <v>5548</v>
      </c>
      <c r="E247" s="19" t="s">
        <v>5550</v>
      </c>
      <c r="F247" s="11" t="s">
        <v>5552</v>
      </c>
      <c r="G247" s="10" t="s">
        <v>1957</v>
      </c>
      <c r="H247" s="13" t="s">
        <v>5553</v>
      </c>
      <c r="I247" s="16" t="s">
        <v>82</v>
      </c>
      <c r="J247" s="17"/>
      <c r="K247" s="17"/>
      <c r="L247" s="17"/>
      <c r="M247" s="17"/>
      <c r="N247" s="18"/>
      <c r="O247" s="16" t="s">
        <v>83</v>
      </c>
      <c r="P247" s="18"/>
    </row>
    <row r="248" spans="1:16" ht="16.5" customHeight="1">
      <c r="A248" s="10">
        <v>247</v>
      </c>
      <c r="B248" s="10">
        <v>52</v>
      </c>
      <c r="C248" s="10">
        <v>13</v>
      </c>
      <c r="D248" s="11" t="s">
        <v>5550</v>
      </c>
      <c r="E248" s="19" t="s">
        <v>5552</v>
      </c>
      <c r="F248" s="11" t="s">
        <v>5554</v>
      </c>
      <c r="G248" s="10" t="s">
        <v>575</v>
      </c>
      <c r="H248" s="13" t="s">
        <v>5555</v>
      </c>
      <c r="I248" s="16" t="s">
        <v>82</v>
      </c>
      <c r="J248" s="17"/>
      <c r="K248" s="17"/>
      <c r="L248" s="17"/>
      <c r="M248" s="17"/>
      <c r="N248" s="18"/>
      <c r="O248" s="16" t="s">
        <v>83</v>
      </c>
      <c r="P248" s="18"/>
    </row>
    <row r="249" spans="1:16" ht="16.5" customHeight="1">
      <c r="A249" s="10">
        <v>248</v>
      </c>
      <c r="B249" s="10">
        <v>52</v>
      </c>
      <c r="C249" s="10">
        <v>14</v>
      </c>
      <c r="D249" s="11" t="s">
        <v>5552</v>
      </c>
      <c r="E249" s="12" t="s">
        <v>5554</v>
      </c>
      <c r="F249" s="11" t="s">
        <v>5556</v>
      </c>
      <c r="G249" s="10"/>
      <c r="H249" s="13" t="s">
        <v>5557</v>
      </c>
      <c r="I249" s="16" t="s">
        <v>82</v>
      </c>
      <c r="J249" s="17"/>
      <c r="K249" s="17"/>
      <c r="L249" s="17"/>
      <c r="M249" s="17"/>
      <c r="N249" s="18"/>
      <c r="O249" s="16" t="s">
        <v>83</v>
      </c>
      <c r="P249" s="18"/>
    </row>
    <row r="250" spans="1:16" ht="16.5" customHeight="1">
      <c r="A250" s="10">
        <v>249</v>
      </c>
      <c r="B250" s="10">
        <v>53</v>
      </c>
      <c r="C250" s="10">
        <v>10</v>
      </c>
      <c r="D250" s="11" t="s">
        <v>5558</v>
      </c>
      <c r="E250" s="12" t="s">
        <v>5559</v>
      </c>
      <c r="F250" s="11" t="s">
        <v>5560</v>
      </c>
      <c r="G250" s="10"/>
      <c r="H250" s="13" t="s">
        <v>5561</v>
      </c>
      <c r="I250" s="16" t="s">
        <v>82</v>
      </c>
      <c r="J250" s="17"/>
      <c r="K250" s="17"/>
      <c r="L250" s="17"/>
      <c r="M250" s="17"/>
      <c r="N250" s="18"/>
      <c r="O250" s="16" t="s">
        <v>83</v>
      </c>
      <c r="P250" s="18"/>
    </row>
    <row r="251" spans="1:16" ht="26.25" customHeight="1">
      <c r="A251" s="10">
        <v>250</v>
      </c>
      <c r="B251" s="10">
        <v>53</v>
      </c>
      <c r="C251" s="10">
        <v>11</v>
      </c>
      <c r="D251" s="11" t="s">
        <v>5559</v>
      </c>
      <c r="E251" s="19" t="s">
        <v>5560</v>
      </c>
      <c r="F251" s="11" t="s">
        <v>5562</v>
      </c>
      <c r="G251" s="10" t="s">
        <v>320</v>
      </c>
      <c r="H251" s="13" t="s">
        <v>5563</v>
      </c>
      <c r="I251" s="16" t="s">
        <v>89</v>
      </c>
      <c r="J251" s="17" t="s">
        <v>90</v>
      </c>
      <c r="K251" s="17" t="s">
        <v>91</v>
      </c>
      <c r="L251" s="17" t="s">
        <v>5564</v>
      </c>
      <c r="M251" s="17" t="s">
        <v>5565</v>
      </c>
      <c r="N251" s="18" t="s">
        <v>5566</v>
      </c>
      <c r="O251" s="16" t="s">
        <v>83</v>
      </c>
      <c r="P251" s="18"/>
    </row>
    <row r="252" spans="1:16" ht="16.5" customHeight="1">
      <c r="A252" s="10">
        <v>251</v>
      </c>
      <c r="B252" s="10">
        <v>53</v>
      </c>
      <c r="C252" s="10">
        <v>12</v>
      </c>
      <c r="D252" s="11" t="s">
        <v>5560</v>
      </c>
      <c r="E252" s="12" t="s">
        <v>5562</v>
      </c>
      <c r="F252" s="11" t="s">
        <v>5567</v>
      </c>
      <c r="G252" s="10"/>
      <c r="H252" s="13" t="s">
        <v>5568</v>
      </c>
      <c r="I252" s="16" t="s">
        <v>82</v>
      </c>
      <c r="J252" s="17"/>
      <c r="K252" s="17"/>
      <c r="L252" s="17"/>
      <c r="M252" s="17"/>
      <c r="N252" s="18"/>
      <c r="O252" s="16" t="s">
        <v>83</v>
      </c>
      <c r="P252" s="18"/>
    </row>
    <row r="253" spans="1:16" ht="16.5" customHeight="1">
      <c r="A253" s="10">
        <v>252</v>
      </c>
      <c r="B253" s="10">
        <v>53</v>
      </c>
      <c r="C253" s="10">
        <v>60</v>
      </c>
      <c r="D253" s="11" t="s">
        <v>5569</v>
      </c>
      <c r="E253" s="12" t="s">
        <v>5570</v>
      </c>
      <c r="F253" s="11" t="s">
        <v>5571</v>
      </c>
      <c r="G253" s="10"/>
      <c r="H253" s="13" t="s">
        <v>5572</v>
      </c>
      <c r="I253" s="16" t="s">
        <v>82</v>
      </c>
      <c r="J253" s="17"/>
      <c r="K253" s="17"/>
      <c r="L253" s="17"/>
      <c r="M253" s="17"/>
      <c r="N253" s="18"/>
      <c r="O253" s="16" t="s">
        <v>83</v>
      </c>
      <c r="P253" s="18"/>
    </row>
    <row r="254" spans="1:16" ht="16.5" customHeight="1">
      <c r="A254" s="10">
        <v>253</v>
      </c>
      <c r="B254" s="10">
        <v>53</v>
      </c>
      <c r="C254" s="10">
        <v>61</v>
      </c>
      <c r="D254" s="11" t="s">
        <v>5570</v>
      </c>
      <c r="E254" s="19" t="s">
        <v>5571</v>
      </c>
      <c r="F254" s="11" t="s">
        <v>5573</v>
      </c>
      <c r="G254" s="10" t="s">
        <v>774</v>
      </c>
      <c r="H254" s="13" t="s">
        <v>5574</v>
      </c>
      <c r="I254" s="16" t="s">
        <v>82</v>
      </c>
      <c r="J254" s="17"/>
      <c r="K254" s="17"/>
      <c r="L254" s="17"/>
      <c r="M254" s="17"/>
      <c r="N254" s="18"/>
      <c r="O254" s="16" t="s">
        <v>83</v>
      </c>
      <c r="P254" s="18"/>
    </row>
    <row r="255" spans="1:16" ht="16.5" customHeight="1">
      <c r="A255" s="10">
        <v>254</v>
      </c>
      <c r="B255" s="10">
        <v>53</v>
      </c>
      <c r="C255" s="10">
        <v>62</v>
      </c>
      <c r="D255" s="11" t="s">
        <v>5571</v>
      </c>
      <c r="E255" s="12" t="s">
        <v>5573</v>
      </c>
      <c r="F255" s="11" t="s">
        <v>5575</v>
      </c>
      <c r="G255" s="10"/>
      <c r="H255" s="13" t="s">
        <v>5576</v>
      </c>
      <c r="I255" s="16" t="s">
        <v>82</v>
      </c>
      <c r="J255" s="17"/>
      <c r="K255" s="17"/>
      <c r="L255" s="17"/>
      <c r="M255" s="17"/>
      <c r="N255" s="18"/>
      <c r="O255" s="16" t="s">
        <v>83</v>
      </c>
      <c r="P255" s="18"/>
    </row>
  </sheetData>
  <phoneticPr fontId="9" type="noConversion"/>
  <dataValidations count="4">
    <dataValidation type="list" allowBlank="1" sqref="I2:I255" xr:uid="{00000000-0002-0000-0600-000000000000}">
      <formula1>"Y,N"</formula1>
      <formula2>0</formula2>
    </dataValidation>
    <dataValidation type="list" allowBlank="1" sqref="J2:J255" xr:uid="{00000000-0002-0000-0600-000001000000}">
      <formula1>"SD-1 자연·물질,SD-2 신체·감각,SD-3 공간·방위,SD-4 사냥·전쟁,SD-5 운동·시간,SD-6 문화·제도,(수사 기제)"</formula1>
      <formula2>0</formula2>
    </dataValidation>
    <dataValidation type="list" allowBlank="1" sqref="K2:K255" xr:uid="{00000000-0002-0000-0600-000002000000}">
      <formula1>"TD-1 축적·유통,TD-2 권력·지배,TD-3 인식·진위,TD-4 도덕·책무,TD-5 문명·제도,TD-7 경물·감각,TD-6 기타"</formula1>
      <formula2>0</formula2>
    </dataValidation>
    <dataValidation type="list" allowBlank="1" sqref="O2:O255" xr:uid="{00000000-0002-0000-0600-000003000000}">
      <formula1>"높음,보통,낮음"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255"/>
  <sheetViews>
    <sheetView zoomScaleNormal="100" workbookViewId="0">
      <pane xSplit="10" ySplit="1" topLeftCell="K2" activePane="bottomRight" state="frozen"/>
      <selection pane="topRight" activeCell="K1" sqref="K1"/>
      <selection pane="bottomLeft" activeCell="A2" sqref="A2"/>
      <selection pane="bottomRight"/>
    </sheetView>
  </sheetViews>
  <sheetFormatPr defaultColWidth="8.7109375" defaultRowHeight="15"/>
  <cols>
    <col min="1" max="1" width="5" style="4" customWidth="1"/>
    <col min="2" max="3" width="6" style="4" customWidth="1"/>
    <col min="4" max="4" width="20" style="4" customWidth="1"/>
    <col min="5" max="5" width="30" style="4" customWidth="1"/>
    <col min="6" max="6" width="20" style="4" customWidth="1"/>
    <col min="7" max="7" width="13" style="4" customWidth="1"/>
    <col min="8" max="8" width="58" style="4" customWidth="1"/>
    <col min="9" max="10" width="34" style="4" customWidth="1"/>
    <col min="11" max="11" width="12" style="4" customWidth="1"/>
    <col min="12" max="12" width="14" style="4" customWidth="1"/>
    <col min="13" max="13" width="26" style="4" customWidth="1"/>
    <col min="14" max="14" width="8" style="4" customWidth="1"/>
    <col min="15" max="15" width="16" style="4" customWidth="1"/>
  </cols>
  <sheetData>
    <row r="1" spans="1:18" ht="31.5" customHeight="1">
      <c r="A1" s="9" t="s">
        <v>58</v>
      </c>
      <c r="B1" s="9" t="s">
        <v>59</v>
      </c>
      <c r="C1" s="9" t="s">
        <v>60</v>
      </c>
      <c r="D1" s="9" t="s">
        <v>61</v>
      </c>
      <c r="E1" s="9" t="s">
        <v>62</v>
      </c>
      <c r="F1" s="9" t="s">
        <v>63</v>
      </c>
      <c r="G1" s="9" t="s">
        <v>64</v>
      </c>
      <c r="H1" s="9" t="s">
        <v>65</v>
      </c>
      <c r="I1" s="9" t="s">
        <v>66</v>
      </c>
      <c r="J1" s="9" t="s">
        <v>67</v>
      </c>
      <c r="K1" s="9" t="s">
        <v>68</v>
      </c>
      <c r="L1" s="9" t="s">
        <v>69</v>
      </c>
      <c r="M1" s="9" t="s">
        <v>70</v>
      </c>
      <c r="N1" s="9" t="s">
        <v>71</v>
      </c>
      <c r="O1" s="9" t="s">
        <v>72</v>
      </c>
      <c r="P1" s="9" t="s">
        <v>73</v>
      </c>
      <c r="Q1" s="9" t="s">
        <v>74</v>
      </c>
      <c r="R1" s="9" t="s">
        <v>75</v>
      </c>
    </row>
    <row r="2" spans="1:18" ht="16.5" customHeight="1">
      <c r="A2" s="10">
        <v>1</v>
      </c>
      <c r="B2" s="10">
        <v>2</v>
      </c>
      <c r="C2" s="10">
        <v>3</v>
      </c>
      <c r="D2" s="11" t="s">
        <v>5577</v>
      </c>
      <c r="E2" s="12" t="s">
        <v>5578</v>
      </c>
      <c r="F2" s="11" t="s">
        <v>5579</v>
      </c>
      <c r="G2" s="10"/>
      <c r="H2" s="13" t="s">
        <v>5580</v>
      </c>
      <c r="I2" s="14" t="s">
        <v>5581</v>
      </c>
      <c r="J2" s="15" t="s">
        <v>5582</v>
      </c>
      <c r="K2" s="16" t="s">
        <v>89</v>
      </c>
      <c r="L2" s="17" t="s">
        <v>155</v>
      </c>
      <c r="M2" s="17" t="s">
        <v>164</v>
      </c>
      <c r="N2" s="17" t="s">
        <v>5583</v>
      </c>
      <c r="O2" s="17" t="s">
        <v>5584</v>
      </c>
      <c r="P2" s="18" t="s">
        <v>5585</v>
      </c>
      <c r="Q2" s="16" t="s">
        <v>148</v>
      </c>
      <c r="R2" s="18"/>
    </row>
    <row r="3" spans="1:18" ht="16.5" customHeight="1">
      <c r="A3" s="10">
        <v>2</v>
      </c>
      <c r="B3" s="10">
        <v>2</v>
      </c>
      <c r="C3" s="10">
        <v>4</v>
      </c>
      <c r="D3" s="11" t="s">
        <v>5578</v>
      </c>
      <c r="E3" s="19" t="s">
        <v>5579</v>
      </c>
      <c r="F3" s="11" t="s">
        <v>5586</v>
      </c>
      <c r="G3" s="10" t="s">
        <v>3386</v>
      </c>
      <c r="H3" s="13" t="s">
        <v>5587</v>
      </c>
      <c r="I3" s="14" t="s">
        <v>5588</v>
      </c>
      <c r="J3" s="15" t="s">
        <v>5589</v>
      </c>
      <c r="K3" s="16" t="s">
        <v>82</v>
      </c>
      <c r="L3" s="17"/>
      <c r="M3" s="17"/>
      <c r="N3" s="17"/>
      <c r="O3" s="17"/>
      <c r="P3" s="18"/>
      <c r="Q3" s="16" t="s">
        <v>83</v>
      </c>
      <c r="R3" s="18"/>
    </row>
    <row r="4" spans="1:18" ht="16.5" customHeight="1">
      <c r="A4" s="10">
        <v>3</v>
      </c>
      <c r="B4" s="10">
        <v>2</v>
      </c>
      <c r="C4" s="10">
        <v>5</v>
      </c>
      <c r="D4" s="11" t="s">
        <v>5579</v>
      </c>
      <c r="E4" s="12" t="s">
        <v>5586</v>
      </c>
      <c r="F4" s="11" t="s">
        <v>5590</v>
      </c>
      <c r="G4" s="10"/>
      <c r="H4" s="13" t="s">
        <v>5591</v>
      </c>
      <c r="I4" s="14" t="s">
        <v>5592</v>
      </c>
      <c r="J4" s="15" t="s">
        <v>5592</v>
      </c>
      <c r="K4" s="16" t="s">
        <v>82</v>
      </c>
      <c r="L4" s="17"/>
      <c r="M4" s="17"/>
      <c r="N4" s="17"/>
      <c r="O4" s="17"/>
      <c r="P4" s="18"/>
      <c r="Q4" s="16" t="s">
        <v>83</v>
      </c>
      <c r="R4" s="18"/>
    </row>
    <row r="5" spans="1:18" ht="16.5" customHeight="1">
      <c r="A5" s="10">
        <v>4</v>
      </c>
      <c r="B5" s="10">
        <v>2</v>
      </c>
      <c r="C5" s="10">
        <v>14</v>
      </c>
      <c r="D5" s="11" t="s">
        <v>5593</v>
      </c>
      <c r="E5" s="12" t="s">
        <v>5594</v>
      </c>
      <c r="F5" s="11" t="s">
        <v>5595</v>
      </c>
      <c r="G5" s="10"/>
      <c r="H5" s="13" t="s">
        <v>5596</v>
      </c>
      <c r="I5" s="14" t="s">
        <v>5597</v>
      </c>
      <c r="J5" s="15" t="s">
        <v>5597</v>
      </c>
      <c r="K5" s="16" t="s">
        <v>82</v>
      </c>
      <c r="L5" s="17"/>
      <c r="M5" s="17"/>
      <c r="N5" s="17"/>
      <c r="O5" s="17"/>
      <c r="P5" s="18"/>
      <c r="Q5" s="16" t="s">
        <v>83</v>
      </c>
      <c r="R5" s="18"/>
    </row>
    <row r="6" spans="1:18" ht="16.5" customHeight="1">
      <c r="A6" s="10">
        <v>5</v>
      </c>
      <c r="B6" s="10">
        <v>2</v>
      </c>
      <c r="C6" s="10">
        <v>15</v>
      </c>
      <c r="D6" s="11" t="s">
        <v>5594</v>
      </c>
      <c r="E6" s="19" t="s">
        <v>5595</v>
      </c>
      <c r="F6" s="11" t="s">
        <v>5598</v>
      </c>
      <c r="G6" s="10" t="s">
        <v>1957</v>
      </c>
      <c r="H6" s="13" t="s">
        <v>5599</v>
      </c>
      <c r="I6" s="14" t="s">
        <v>5600</v>
      </c>
      <c r="J6" s="15" t="s">
        <v>5601</v>
      </c>
      <c r="K6" s="16" t="s">
        <v>89</v>
      </c>
      <c r="L6" s="17" t="s">
        <v>155</v>
      </c>
      <c r="M6" s="17" t="s">
        <v>91</v>
      </c>
      <c r="N6" s="17" t="s">
        <v>5602</v>
      </c>
      <c r="O6" s="17" t="s">
        <v>5603</v>
      </c>
      <c r="P6" s="18" t="s">
        <v>5604</v>
      </c>
      <c r="Q6" s="16" t="s">
        <v>83</v>
      </c>
      <c r="R6" s="18"/>
    </row>
    <row r="7" spans="1:18" ht="16.5" customHeight="1">
      <c r="A7" s="10">
        <v>6</v>
      </c>
      <c r="B7" s="10">
        <v>2</v>
      </c>
      <c r="C7" s="10">
        <v>16</v>
      </c>
      <c r="D7" s="11" t="s">
        <v>5595</v>
      </c>
      <c r="E7" s="12" t="s">
        <v>5598</v>
      </c>
      <c r="F7" s="11" t="s">
        <v>5605</v>
      </c>
      <c r="G7" s="10"/>
      <c r="H7" s="13" t="s">
        <v>3796</v>
      </c>
      <c r="I7" s="14" t="s">
        <v>5606</v>
      </c>
      <c r="J7" s="15" t="s">
        <v>5607</v>
      </c>
      <c r="K7" s="16" t="s">
        <v>82</v>
      </c>
      <c r="L7" s="17"/>
      <c r="M7" s="17"/>
      <c r="N7" s="17"/>
      <c r="O7" s="17"/>
      <c r="P7" s="18"/>
      <c r="Q7" s="16" t="s">
        <v>83</v>
      </c>
      <c r="R7" s="18"/>
    </row>
    <row r="8" spans="1:18" ht="16.5" customHeight="1">
      <c r="A8" s="10">
        <v>7</v>
      </c>
      <c r="B8" s="10">
        <v>2</v>
      </c>
      <c r="C8" s="10">
        <v>24</v>
      </c>
      <c r="D8" s="11" t="s">
        <v>5608</v>
      </c>
      <c r="E8" s="12" t="s">
        <v>5609</v>
      </c>
      <c r="F8" s="11" t="s">
        <v>5610</v>
      </c>
      <c r="G8" s="10"/>
      <c r="H8" s="13" t="s">
        <v>5611</v>
      </c>
      <c r="I8" s="14" t="s">
        <v>5612</v>
      </c>
      <c r="J8" s="15" t="s">
        <v>5612</v>
      </c>
      <c r="K8" s="16" t="s">
        <v>82</v>
      </c>
      <c r="L8" s="17"/>
      <c r="M8" s="17"/>
      <c r="N8" s="17"/>
      <c r="O8" s="17"/>
      <c r="P8" s="18"/>
      <c r="Q8" s="16" t="s">
        <v>83</v>
      </c>
      <c r="R8" s="18"/>
    </row>
    <row r="9" spans="1:18" ht="16.5" customHeight="1">
      <c r="A9" s="10">
        <v>8</v>
      </c>
      <c r="B9" s="10">
        <v>2</v>
      </c>
      <c r="C9" s="10">
        <v>25</v>
      </c>
      <c r="D9" s="11" t="s">
        <v>5609</v>
      </c>
      <c r="E9" s="19" t="s">
        <v>5610</v>
      </c>
      <c r="F9" s="11" t="s">
        <v>3573</v>
      </c>
      <c r="G9" s="10" t="s">
        <v>1957</v>
      </c>
      <c r="H9" s="13" t="s">
        <v>5613</v>
      </c>
      <c r="I9" s="14" t="s">
        <v>5614</v>
      </c>
      <c r="J9" s="15" t="s">
        <v>5615</v>
      </c>
      <c r="K9" s="16" t="s">
        <v>89</v>
      </c>
      <c r="L9" s="17" t="s">
        <v>155</v>
      </c>
      <c r="M9" s="17" t="s">
        <v>91</v>
      </c>
      <c r="N9" s="17" t="s">
        <v>5616</v>
      </c>
      <c r="O9" s="17" t="s">
        <v>5617</v>
      </c>
      <c r="P9" s="18" t="s">
        <v>5618</v>
      </c>
      <c r="Q9" s="16" t="s">
        <v>83</v>
      </c>
      <c r="R9" s="18"/>
    </row>
    <row r="10" spans="1:18" ht="16.5" customHeight="1">
      <c r="A10" s="10">
        <v>9</v>
      </c>
      <c r="B10" s="10">
        <v>2</v>
      </c>
      <c r="C10" s="10">
        <v>26</v>
      </c>
      <c r="D10" s="11" t="s">
        <v>5610</v>
      </c>
      <c r="E10" s="12" t="s">
        <v>3573</v>
      </c>
      <c r="F10" s="11" t="s">
        <v>5619</v>
      </c>
      <c r="G10" s="10"/>
      <c r="H10" s="13" t="s">
        <v>262</v>
      </c>
      <c r="I10" s="14" t="s">
        <v>5620</v>
      </c>
      <c r="J10" s="15" t="s">
        <v>5621</v>
      </c>
      <c r="K10" s="16" t="s">
        <v>82</v>
      </c>
      <c r="L10" s="17"/>
      <c r="M10" s="17"/>
      <c r="N10" s="17"/>
      <c r="O10" s="17"/>
      <c r="P10" s="18"/>
      <c r="Q10" s="16" t="s">
        <v>83</v>
      </c>
      <c r="R10" s="18"/>
    </row>
    <row r="11" spans="1:18" ht="16.5" customHeight="1">
      <c r="A11" s="10">
        <v>10</v>
      </c>
      <c r="B11" s="10">
        <v>2</v>
      </c>
      <c r="C11" s="10">
        <v>29</v>
      </c>
      <c r="D11" s="11" t="s">
        <v>5622</v>
      </c>
      <c r="E11" s="12" t="s">
        <v>5623</v>
      </c>
      <c r="F11" s="11" t="s">
        <v>5624</v>
      </c>
      <c r="G11" s="10"/>
      <c r="H11" s="13" t="s">
        <v>5625</v>
      </c>
      <c r="I11" s="14" t="s">
        <v>5626</v>
      </c>
      <c r="J11" s="15" t="s">
        <v>5627</v>
      </c>
      <c r="K11" s="16" t="s">
        <v>82</v>
      </c>
      <c r="L11" s="17"/>
      <c r="M11" s="17"/>
      <c r="N11" s="17"/>
      <c r="O11" s="17"/>
      <c r="P11" s="18"/>
      <c r="Q11" s="16" t="s">
        <v>83</v>
      </c>
      <c r="R11" s="18"/>
    </row>
    <row r="12" spans="1:18" ht="16.5" customHeight="1">
      <c r="A12" s="10">
        <v>11</v>
      </c>
      <c r="B12" s="10">
        <v>2</v>
      </c>
      <c r="C12" s="10">
        <v>30</v>
      </c>
      <c r="D12" s="11" t="s">
        <v>5623</v>
      </c>
      <c r="E12" s="19" t="s">
        <v>5624</v>
      </c>
      <c r="F12" s="11" t="s">
        <v>5628</v>
      </c>
      <c r="G12" s="10" t="s">
        <v>1957</v>
      </c>
      <c r="H12" s="13" t="s">
        <v>5629</v>
      </c>
      <c r="I12" s="14" t="s">
        <v>5630</v>
      </c>
      <c r="J12" s="15" t="s">
        <v>5631</v>
      </c>
      <c r="K12" s="16" t="s">
        <v>82</v>
      </c>
      <c r="L12" s="17"/>
      <c r="M12" s="17"/>
      <c r="N12" s="17"/>
      <c r="O12" s="17"/>
      <c r="P12" s="18"/>
      <c r="Q12" s="16" t="s">
        <v>83</v>
      </c>
      <c r="R12" s="18"/>
    </row>
    <row r="13" spans="1:18" ht="16.5" customHeight="1">
      <c r="A13" s="10">
        <v>12</v>
      </c>
      <c r="B13" s="10">
        <v>2</v>
      </c>
      <c r="C13" s="10">
        <v>31</v>
      </c>
      <c r="D13" s="11" t="s">
        <v>5624</v>
      </c>
      <c r="E13" s="12" t="s">
        <v>5628</v>
      </c>
      <c r="F13" s="11" t="s">
        <v>5632</v>
      </c>
      <c r="G13" s="10"/>
      <c r="H13" s="13" t="s">
        <v>5633</v>
      </c>
      <c r="I13" s="14" t="s">
        <v>5634</v>
      </c>
      <c r="J13" s="15" t="s">
        <v>5634</v>
      </c>
      <c r="K13" s="16" t="s">
        <v>82</v>
      </c>
      <c r="L13" s="17"/>
      <c r="M13" s="17"/>
      <c r="N13" s="17"/>
      <c r="O13" s="17"/>
      <c r="P13" s="18"/>
      <c r="Q13" s="16" t="s">
        <v>83</v>
      </c>
      <c r="R13" s="18"/>
    </row>
    <row r="14" spans="1:18" ht="16.5" customHeight="1">
      <c r="A14" s="10">
        <v>13</v>
      </c>
      <c r="B14" s="10">
        <v>2</v>
      </c>
      <c r="C14" s="10">
        <v>33</v>
      </c>
      <c r="D14" s="11" t="s">
        <v>5632</v>
      </c>
      <c r="E14" s="12" t="s">
        <v>5635</v>
      </c>
      <c r="F14" s="11" t="s">
        <v>5636</v>
      </c>
      <c r="G14" s="10"/>
      <c r="H14" s="13" t="s">
        <v>5637</v>
      </c>
      <c r="I14" s="14" t="s">
        <v>5638</v>
      </c>
      <c r="J14" s="15" t="s">
        <v>5638</v>
      </c>
      <c r="K14" s="16" t="s">
        <v>82</v>
      </c>
      <c r="L14" s="17"/>
      <c r="M14" s="17"/>
      <c r="N14" s="17"/>
      <c r="O14" s="17"/>
      <c r="P14" s="18"/>
      <c r="Q14" s="16" t="s">
        <v>83</v>
      </c>
      <c r="R14" s="18"/>
    </row>
    <row r="15" spans="1:18" ht="16.5" customHeight="1">
      <c r="A15" s="10">
        <v>14</v>
      </c>
      <c r="B15" s="10">
        <v>2</v>
      </c>
      <c r="C15" s="10">
        <v>34</v>
      </c>
      <c r="D15" s="11" t="s">
        <v>5635</v>
      </c>
      <c r="E15" s="19" t="s">
        <v>5636</v>
      </c>
      <c r="F15" s="11" t="s">
        <v>5639</v>
      </c>
      <c r="G15" s="10" t="s">
        <v>3386</v>
      </c>
      <c r="H15" s="13" t="s">
        <v>5640</v>
      </c>
      <c r="I15" s="14" t="s">
        <v>5641</v>
      </c>
      <c r="J15" s="15" t="s">
        <v>5641</v>
      </c>
      <c r="K15" s="16" t="s">
        <v>82</v>
      </c>
      <c r="L15" s="17"/>
      <c r="M15" s="17"/>
      <c r="N15" s="17"/>
      <c r="O15" s="17"/>
      <c r="P15" s="18"/>
      <c r="Q15" s="16" t="s">
        <v>83</v>
      </c>
      <c r="R15" s="18"/>
    </row>
    <row r="16" spans="1:18" ht="16.5" customHeight="1">
      <c r="A16" s="10">
        <v>15</v>
      </c>
      <c r="B16" s="10">
        <v>2</v>
      </c>
      <c r="C16" s="10">
        <v>35</v>
      </c>
      <c r="D16" s="11" t="s">
        <v>5636</v>
      </c>
      <c r="E16" s="19" t="s">
        <v>5639</v>
      </c>
      <c r="F16" s="11" t="s">
        <v>5642</v>
      </c>
      <c r="G16" s="10" t="s">
        <v>5643</v>
      </c>
      <c r="H16" s="13" t="s">
        <v>5644</v>
      </c>
      <c r="I16" s="14" t="s">
        <v>5645</v>
      </c>
      <c r="J16" s="15" t="s">
        <v>5646</v>
      </c>
      <c r="K16" s="16" t="s">
        <v>89</v>
      </c>
      <c r="L16" s="17" t="s">
        <v>155</v>
      </c>
      <c r="M16" s="17" t="s">
        <v>91</v>
      </c>
      <c r="N16" s="17" t="s">
        <v>739</v>
      </c>
      <c r="O16" s="17" t="s">
        <v>5647</v>
      </c>
      <c r="P16" s="18" t="s">
        <v>5648</v>
      </c>
      <c r="Q16" s="16" t="s">
        <v>113</v>
      </c>
      <c r="R16" s="18"/>
    </row>
    <row r="17" spans="1:18" ht="16.5" customHeight="1">
      <c r="A17" s="10">
        <v>16</v>
      </c>
      <c r="B17" s="10">
        <v>2</v>
      </c>
      <c r="C17" s="10">
        <v>36</v>
      </c>
      <c r="D17" s="11" t="s">
        <v>5639</v>
      </c>
      <c r="E17" s="19" t="s">
        <v>5642</v>
      </c>
      <c r="F17" s="11" t="s">
        <v>5649</v>
      </c>
      <c r="G17" s="10" t="s">
        <v>3386</v>
      </c>
      <c r="H17" s="13" t="s">
        <v>5650</v>
      </c>
      <c r="I17" s="14" t="s">
        <v>5651</v>
      </c>
      <c r="J17" s="15" t="s">
        <v>5652</v>
      </c>
      <c r="K17" s="16" t="s">
        <v>82</v>
      </c>
      <c r="L17" s="17"/>
      <c r="M17" s="17"/>
      <c r="N17" s="17"/>
      <c r="O17" s="17"/>
      <c r="P17" s="18"/>
      <c r="Q17" s="16" t="s">
        <v>83</v>
      </c>
      <c r="R17" s="18"/>
    </row>
    <row r="18" spans="1:18" ht="16.5" customHeight="1">
      <c r="A18" s="10">
        <v>17</v>
      </c>
      <c r="B18" s="10">
        <v>2</v>
      </c>
      <c r="C18" s="10">
        <v>37</v>
      </c>
      <c r="D18" s="11" t="s">
        <v>5642</v>
      </c>
      <c r="E18" s="19" t="s">
        <v>5649</v>
      </c>
      <c r="F18" s="11" t="s">
        <v>5653</v>
      </c>
      <c r="G18" s="10" t="s">
        <v>4644</v>
      </c>
      <c r="H18" s="13" t="s">
        <v>5654</v>
      </c>
      <c r="I18" s="14" t="s">
        <v>5655</v>
      </c>
      <c r="J18" s="15" t="s">
        <v>5656</v>
      </c>
      <c r="K18" s="16" t="s">
        <v>89</v>
      </c>
      <c r="L18" s="17" t="s">
        <v>155</v>
      </c>
      <c r="M18" s="17" t="s">
        <v>91</v>
      </c>
      <c r="N18" s="17" t="s">
        <v>5657</v>
      </c>
      <c r="O18" s="17" t="s">
        <v>5658</v>
      </c>
      <c r="P18" s="18" t="s">
        <v>5659</v>
      </c>
      <c r="Q18" s="16" t="s">
        <v>83</v>
      </c>
      <c r="R18" s="18"/>
    </row>
    <row r="19" spans="1:18" ht="16.5" customHeight="1">
      <c r="A19" s="10">
        <v>18</v>
      </c>
      <c r="B19" s="10">
        <v>2</v>
      </c>
      <c r="C19" s="10">
        <v>38</v>
      </c>
      <c r="D19" s="11" t="s">
        <v>5649</v>
      </c>
      <c r="E19" s="19" t="s">
        <v>5653</v>
      </c>
      <c r="F19" s="11" t="s">
        <v>5660</v>
      </c>
      <c r="G19" s="10" t="s">
        <v>3386</v>
      </c>
      <c r="H19" s="13" t="s">
        <v>5661</v>
      </c>
      <c r="I19" s="14" t="s">
        <v>5662</v>
      </c>
      <c r="J19" s="15" t="s">
        <v>5663</v>
      </c>
      <c r="K19" s="16" t="s">
        <v>82</v>
      </c>
      <c r="L19" s="17"/>
      <c r="M19" s="17"/>
      <c r="N19" s="17"/>
      <c r="O19" s="17"/>
      <c r="P19" s="18"/>
      <c r="Q19" s="16" t="s">
        <v>83</v>
      </c>
      <c r="R19" s="18"/>
    </row>
    <row r="20" spans="1:18" ht="16.5" customHeight="1">
      <c r="A20" s="10">
        <v>19</v>
      </c>
      <c r="B20" s="10">
        <v>2</v>
      </c>
      <c r="C20" s="10">
        <v>39</v>
      </c>
      <c r="D20" s="11" t="s">
        <v>5653</v>
      </c>
      <c r="E20" s="12" t="s">
        <v>5660</v>
      </c>
      <c r="F20" s="11" t="s">
        <v>5664</v>
      </c>
      <c r="G20" s="10"/>
      <c r="H20" s="13" t="s">
        <v>5665</v>
      </c>
      <c r="I20" s="14" t="s">
        <v>5666</v>
      </c>
      <c r="J20" s="15" t="s">
        <v>5667</v>
      </c>
      <c r="K20" s="16" t="s">
        <v>82</v>
      </c>
      <c r="L20" s="17"/>
      <c r="M20" s="17"/>
      <c r="N20" s="17"/>
      <c r="O20" s="17"/>
      <c r="P20" s="18"/>
      <c r="Q20" s="16" t="s">
        <v>83</v>
      </c>
      <c r="R20" s="18"/>
    </row>
    <row r="21" spans="1:18" ht="16.5" customHeight="1">
      <c r="A21" s="10">
        <v>20</v>
      </c>
      <c r="B21" s="10">
        <v>2</v>
      </c>
      <c r="C21" s="10">
        <v>41</v>
      </c>
      <c r="D21" s="11" t="s">
        <v>5664</v>
      </c>
      <c r="E21" s="12" t="s">
        <v>5668</v>
      </c>
      <c r="F21" s="11" t="s">
        <v>5669</v>
      </c>
      <c r="G21" s="10"/>
      <c r="H21" s="13" t="s">
        <v>5670</v>
      </c>
      <c r="I21" s="14" t="s">
        <v>5671</v>
      </c>
      <c r="J21" s="15" t="s">
        <v>5671</v>
      </c>
      <c r="K21" s="16" t="s">
        <v>89</v>
      </c>
      <c r="L21" s="17" t="s">
        <v>128</v>
      </c>
      <c r="M21" s="17" t="s">
        <v>3814</v>
      </c>
      <c r="N21" s="17" t="s">
        <v>5672</v>
      </c>
      <c r="O21" s="17" t="s">
        <v>5673</v>
      </c>
      <c r="P21" s="18" t="s">
        <v>5674</v>
      </c>
      <c r="Q21" s="16" t="s">
        <v>148</v>
      </c>
      <c r="R21" s="18"/>
    </row>
    <row r="22" spans="1:18" ht="16.5" customHeight="1">
      <c r="A22" s="10">
        <v>21</v>
      </c>
      <c r="B22" s="10">
        <v>2</v>
      </c>
      <c r="C22" s="10">
        <v>42</v>
      </c>
      <c r="D22" s="11" t="s">
        <v>5668</v>
      </c>
      <c r="E22" s="19" t="s">
        <v>5669</v>
      </c>
      <c r="F22" s="11" t="s">
        <v>5675</v>
      </c>
      <c r="G22" s="10" t="s">
        <v>160</v>
      </c>
      <c r="H22" s="13" t="s">
        <v>5676</v>
      </c>
      <c r="I22" s="14" t="s">
        <v>5677</v>
      </c>
      <c r="J22" s="15" t="s">
        <v>5678</v>
      </c>
      <c r="K22" s="16" t="s">
        <v>82</v>
      </c>
      <c r="L22" s="17"/>
      <c r="M22" s="17"/>
      <c r="N22" s="17"/>
      <c r="O22" s="17"/>
      <c r="P22" s="18"/>
      <c r="Q22" s="16" t="s">
        <v>83</v>
      </c>
      <c r="R22" s="18"/>
    </row>
    <row r="23" spans="1:18" ht="16.5" customHeight="1">
      <c r="A23" s="10">
        <v>22</v>
      </c>
      <c r="B23" s="10">
        <v>2</v>
      </c>
      <c r="C23" s="10">
        <v>43</v>
      </c>
      <c r="D23" s="11" t="s">
        <v>5669</v>
      </c>
      <c r="E23" s="12" t="s">
        <v>5675</v>
      </c>
      <c r="F23" s="11" t="s">
        <v>5679</v>
      </c>
      <c r="G23" s="10"/>
      <c r="H23" s="13" t="s">
        <v>5680</v>
      </c>
      <c r="I23" s="14" t="s">
        <v>5681</v>
      </c>
      <c r="J23" s="15" t="s">
        <v>5682</v>
      </c>
      <c r="K23" s="16" t="s">
        <v>82</v>
      </c>
      <c r="L23" s="17"/>
      <c r="M23" s="17"/>
      <c r="N23" s="17"/>
      <c r="O23" s="17"/>
      <c r="P23" s="18"/>
      <c r="Q23" s="16" t="s">
        <v>83</v>
      </c>
      <c r="R23" s="18"/>
    </row>
    <row r="24" spans="1:18" ht="16.5" customHeight="1">
      <c r="A24" s="10">
        <v>23</v>
      </c>
      <c r="B24" s="10">
        <v>3</v>
      </c>
      <c r="C24" s="10">
        <v>2</v>
      </c>
      <c r="D24" s="11" t="s">
        <v>5683</v>
      </c>
      <c r="E24" s="12" t="s">
        <v>5684</v>
      </c>
      <c r="F24" s="11" t="s">
        <v>5685</v>
      </c>
      <c r="G24" s="10"/>
      <c r="H24" s="13" t="s">
        <v>5686</v>
      </c>
      <c r="I24" s="14" t="s">
        <v>5687</v>
      </c>
      <c r="J24" s="15" t="s">
        <v>5687</v>
      </c>
      <c r="K24" s="16" t="s">
        <v>82</v>
      </c>
      <c r="L24" s="17"/>
      <c r="M24" s="17"/>
      <c r="N24" s="17"/>
      <c r="O24" s="17"/>
      <c r="P24" s="18"/>
      <c r="Q24" s="16" t="s">
        <v>83</v>
      </c>
      <c r="R24" s="18"/>
    </row>
    <row r="25" spans="1:18" ht="16.5" customHeight="1">
      <c r="A25" s="10">
        <v>24</v>
      </c>
      <c r="B25" s="10">
        <v>3</v>
      </c>
      <c r="C25" s="10">
        <v>3</v>
      </c>
      <c r="D25" s="11" t="s">
        <v>5684</v>
      </c>
      <c r="E25" s="19" t="s">
        <v>5685</v>
      </c>
      <c r="F25" s="11" t="s">
        <v>5688</v>
      </c>
      <c r="G25" s="10" t="s">
        <v>575</v>
      </c>
      <c r="H25" s="13" t="s">
        <v>5689</v>
      </c>
      <c r="I25" s="14" t="s">
        <v>5690</v>
      </c>
      <c r="J25" s="15" t="s">
        <v>5691</v>
      </c>
      <c r="K25" s="16" t="s">
        <v>82</v>
      </c>
      <c r="L25" s="17"/>
      <c r="M25" s="17"/>
      <c r="N25" s="17"/>
      <c r="O25" s="17"/>
      <c r="P25" s="18"/>
      <c r="Q25" s="16" t="s">
        <v>83</v>
      </c>
      <c r="R25" s="18"/>
    </row>
    <row r="26" spans="1:18" ht="16.5" customHeight="1">
      <c r="A26" s="10">
        <v>25</v>
      </c>
      <c r="B26" s="10">
        <v>3</v>
      </c>
      <c r="C26" s="10">
        <v>4</v>
      </c>
      <c r="D26" s="11" t="s">
        <v>5685</v>
      </c>
      <c r="E26" s="12" t="s">
        <v>5688</v>
      </c>
      <c r="F26" s="11" t="s">
        <v>5692</v>
      </c>
      <c r="G26" s="10"/>
      <c r="H26" s="13" t="s">
        <v>5693</v>
      </c>
      <c r="I26" s="14" t="s">
        <v>5694</v>
      </c>
      <c r="J26" s="15" t="s">
        <v>5695</v>
      </c>
      <c r="K26" s="16" t="s">
        <v>82</v>
      </c>
      <c r="L26" s="17"/>
      <c r="M26" s="17"/>
      <c r="N26" s="17"/>
      <c r="O26" s="17"/>
      <c r="P26" s="18"/>
      <c r="Q26" s="16" t="s">
        <v>83</v>
      </c>
      <c r="R26" s="18"/>
    </row>
    <row r="27" spans="1:18" ht="16.5" customHeight="1">
      <c r="A27" s="10">
        <v>26</v>
      </c>
      <c r="B27" s="10">
        <v>3</v>
      </c>
      <c r="C27" s="10">
        <v>5</v>
      </c>
      <c r="D27" s="11" t="s">
        <v>5688</v>
      </c>
      <c r="E27" s="19" t="s">
        <v>5692</v>
      </c>
      <c r="F27" s="11" t="s">
        <v>5696</v>
      </c>
      <c r="G27" s="10" t="s">
        <v>1957</v>
      </c>
      <c r="H27" s="13" t="s">
        <v>5697</v>
      </c>
      <c r="I27" s="14" t="s">
        <v>5698</v>
      </c>
      <c r="J27" s="15" t="s">
        <v>5698</v>
      </c>
      <c r="K27" s="16" t="s">
        <v>82</v>
      </c>
      <c r="L27" s="17"/>
      <c r="M27" s="17"/>
      <c r="N27" s="17"/>
      <c r="O27" s="17"/>
      <c r="P27" s="18"/>
      <c r="Q27" s="16" t="s">
        <v>83</v>
      </c>
      <c r="R27" s="18"/>
    </row>
    <row r="28" spans="1:18" ht="16.5" customHeight="1">
      <c r="A28" s="10">
        <v>27</v>
      </c>
      <c r="B28" s="10">
        <v>3</v>
      </c>
      <c r="C28" s="10">
        <v>6</v>
      </c>
      <c r="D28" s="11" t="s">
        <v>5692</v>
      </c>
      <c r="E28" s="12" t="s">
        <v>5696</v>
      </c>
      <c r="F28" s="11"/>
      <c r="G28" s="10"/>
      <c r="H28" s="13" t="s">
        <v>5699</v>
      </c>
      <c r="I28" s="14" t="s">
        <v>5700</v>
      </c>
      <c r="J28" s="15" t="s">
        <v>5701</v>
      </c>
      <c r="K28" s="16" t="s">
        <v>89</v>
      </c>
      <c r="L28" s="17" t="s">
        <v>155</v>
      </c>
      <c r="M28" s="17" t="s">
        <v>164</v>
      </c>
      <c r="N28" s="17" t="s">
        <v>5702</v>
      </c>
      <c r="O28" s="17" t="s">
        <v>5703</v>
      </c>
      <c r="P28" s="18" t="s">
        <v>5704</v>
      </c>
      <c r="Q28" s="16" t="s">
        <v>83</v>
      </c>
      <c r="R28" s="18"/>
    </row>
    <row r="29" spans="1:18" ht="16.5" customHeight="1">
      <c r="A29" s="10">
        <v>28</v>
      </c>
      <c r="B29" s="10">
        <v>4</v>
      </c>
      <c r="C29" s="10">
        <v>5</v>
      </c>
      <c r="D29" s="11" t="s">
        <v>5705</v>
      </c>
      <c r="E29" s="12" t="s">
        <v>5706</v>
      </c>
      <c r="F29" s="11" t="s">
        <v>5707</v>
      </c>
      <c r="G29" s="10"/>
      <c r="H29" s="13" t="s">
        <v>4472</v>
      </c>
      <c r="I29" s="14" t="s">
        <v>5708</v>
      </c>
      <c r="J29" s="15" t="s">
        <v>5709</v>
      </c>
      <c r="K29" s="16" t="s">
        <v>82</v>
      </c>
      <c r="L29" s="17"/>
      <c r="M29" s="17"/>
      <c r="N29" s="17"/>
      <c r="O29" s="17"/>
      <c r="P29" s="18"/>
      <c r="Q29" s="16" t="s">
        <v>83</v>
      </c>
      <c r="R29" s="18"/>
    </row>
    <row r="30" spans="1:18" ht="16.5" customHeight="1">
      <c r="A30" s="10">
        <v>29</v>
      </c>
      <c r="B30" s="10">
        <v>4</v>
      </c>
      <c r="C30" s="10">
        <v>6</v>
      </c>
      <c r="D30" s="11" t="s">
        <v>5706</v>
      </c>
      <c r="E30" s="19" t="s">
        <v>5707</v>
      </c>
      <c r="F30" s="11" t="s">
        <v>5710</v>
      </c>
      <c r="G30" s="10" t="s">
        <v>5711</v>
      </c>
      <c r="H30" s="13" t="s">
        <v>5712</v>
      </c>
      <c r="I30" s="14" t="s">
        <v>5713</v>
      </c>
      <c r="J30" s="15" t="s">
        <v>5714</v>
      </c>
      <c r="K30" s="16" t="s">
        <v>82</v>
      </c>
      <c r="L30" s="17"/>
      <c r="M30" s="17"/>
      <c r="N30" s="17"/>
      <c r="O30" s="17"/>
      <c r="P30" s="18"/>
      <c r="Q30" s="16" t="s">
        <v>83</v>
      </c>
      <c r="R30" s="18"/>
    </row>
    <row r="31" spans="1:18" ht="16.5" customHeight="1">
      <c r="A31" s="10">
        <v>30</v>
      </c>
      <c r="B31" s="10">
        <v>4</v>
      </c>
      <c r="C31" s="10">
        <v>7</v>
      </c>
      <c r="D31" s="11" t="s">
        <v>5707</v>
      </c>
      <c r="E31" s="19" t="s">
        <v>5710</v>
      </c>
      <c r="F31" s="11" t="s">
        <v>5715</v>
      </c>
      <c r="G31" s="10" t="s">
        <v>266</v>
      </c>
      <c r="H31" s="13" t="s">
        <v>5716</v>
      </c>
      <c r="I31" s="14" t="s">
        <v>5717</v>
      </c>
      <c r="J31" s="15" t="s">
        <v>5718</v>
      </c>
      <c r="K31" s="16" t="s">
        <v>82</v>
      </c>
      <c r="L31" s="17"/>
      <c r="M31" s="17"/>
      <c r="N31" s="17"/>
      <c r="O31" s="17"/>
      <c r="P31" s="18"/>
      <c r="Q31" s="16" t="s">
        <v>83</v>
      </c>
      <c r="R31" s="18"/>
    </row>
    <row r="32" spans="1:18" ht="16.5" customHeight="1">
      <c r="A32" s="10">
        <v>31</v>
      </c>
      <c r="B32" s="10">
        <v>4</v>
      </c>
      <c r="C32" s="10">
        <v>8</v>
      </c>
      <c r="D32" s="11" t="s">
        <v>5710</v>
      </c>
      <c r="E32" s="12" t="s">
        <v>5715</v>
      </c>
      <c r="F32" s="11" t="s">
        <v>5719</v>
      </c>
      <c r="G32" s="10"/>
      <c r="H32" s="13"/>
      <c r="I32" s="14" t="s">
        <v>5720</v>
      </c>
      <c r="J32" s="15" t="s">
        <v>5721</v>
      </c>
      <c r="K32" s="16" t="s">
        <v>82</v>
      </c>
      <c r="L32" s="17"/>
      <c r="M32" s="17"/>
      <c r="N32" s="17"/>
      <c r="O32" s="17"/>
      <c r="P32" s="18"/>
      <c r="Q32" s="16" t="s">
        <v>83</v>
      </c>
      <c r="R32" s="18"/>
    </row>
    <row r="33" spans="1:18" ht="16.5" customHeight="1">
      <c r="A33" s="10">
        <v>32</v>
      </c>
      <c r="B33" s="10">
        <v>4</v>
      </c>
      <c r="C33" s="10">
        <v>11</v>
      </c>
      <c r="D33" s="11" t="s">
        <v>5722</v>
      </c>
      <c r="E33" s="12" t="s">
        <v>5723</v>
      </c>
      <c r="F33" s="11" t="s">
        <v>5724</v>
      </c>
      <c r="G33" s="10"/>
      <c r="H33" s="13" t="s">
        <v>5725</v>
      </c>
      <c r="I33" s="14" t="s">
        <v>5726</v>
      </c>
      <c r="J33" s="15" t="s">
        <v>5727</v>
      </c>
      <c r="K33" s="16" t="s">
        <v>82</v>
      </c>
      <c r="L33" s="17"/>
      <c r="M33" s="17"/>
      <c r="N33" s="17"/>
      <c r="O33" s="17"/>
      <c r="P33" s="18"/>
      <c r="Q33" s="16" t="s">
        <v>83</v>
      </c>
      <c r="R33" s="18"/>
    </row>
    <row r="34" spans="1:18" ht="16.5" customHeight="1">
      <c r="A34" s="10">
        <v>33</v>
      </c>
      <c r="B34" s="10">
        <v>4</v>
      </c>
      <c r="C34" s="10">
        <v>12</v>
      </c>
      <c r="D34" s="11" t="s">
        <v>5723</v>
      </c>
      <c r="E34" s="19" t="s">
        <v>5724</v>
      </c>
      <c r="F34" s="11" t="s">
        <v>5728</v>
      </c>
      <c r="G34" s="10" t="s">
        <v>2920</v>
      </c>
      <c r="H34" s="13" t="s">
        <v>5729</v>
      </c>
      <c r="I34" s="14" t="s">
        <v>5730</v>
      </c>
      <c r="J34" s="15" t="s">
        <v>5731</v>
      </c>
      <c r="K34" s="16" t="s">
        <v>89</v>
      </c>
      <c r="L34" s="17" t="s">
        <v>90</v>
      </c>
      <c r="M34" s="17" t="s">
        <v>91</v>
      </c>
      <c r="N34" s="17" t="s">
        <v>3335</v>
      </c>
      <c r="O34" s="17" t="s">
        <v>5732</v>
      </c>
      <c r="P34" s="18" t="s">
        <v>3336</v>
      </c>
      <c r="Q34" s="16" t="s">
        <v>83</v>
      </c>
      <c r="R34" s="18"/>
    </row>
    <row r="35" spans="1:18" ht="16.5" customHeight="1">
      <c r="A35" s="10">
        <v>34</v>
      </c>
      <c r="B35" s="10">
        <v>4</v>
      </c>
      <c r="C35" s="10">
        <v>13</v>
      </c>
      <c r="D35" s="11" t="s">
        <v>5724</v>
      </c>
      <c r="E35" s="12" t="s">
        <v>5728</v>
      </c>
      <c r="F35" s="11" t="s">
        <v>5733</v>
      </c>
      <c r="G35" s="10"/>
      <c r="H35" s="13" t="s">
        <v>5734</v>
      </c>
      <c r="I35" s="14" t="s">
        <v>5735</v>
      </c>
      <c r="J35" s="15" t="s">
        <v>5736</v>
      </c>
      <c r="K35" s="16" t="s">
        <v>82</v>
      </c>
      <c r="L35" s="17"/>
      <c r="M35" s="17"/>
      <c r="N35" s="17"/>
      <c r="O35" s="17"/>
      <c r="P35" s="18"/>
      <c r="Q35" s="16" t="s">
        <v>83</v>
      </c>
      <c r="R35" s="18"/>
    </row>
    <row r="36" spans="1:18" ht="16.5" customHeight="1">
      <c r="A36" s="10">
        <v>35</v>
      </c>
      <c r="B36" s="10">
        <v>4</v>
      </c>
      <c r="C36" s="10">
        <v>14</v>
      </c>
      <c r="D36" s="11" t="s">
        <v>5728</v>
      </c>
      <c r="E36" s="19" t="s">
        <v>5733</v>
      </c>
      <c r="F36" s="11" t="s">
        <v>5737</v>
      </c>
      <c r="G36" s="10" t="s">
        <v>266</v>
      </c>
      <c r="H36" s="13" t="s">
        <v>5738</v>
      </c>
      <c r="I36" s="14" t="s">
        <v>5739</v>
      </c>
      <c r="J36" s="15" t="s">
        <v>5740</v>
      </c>
      <c r="K36" s="16" t="s">
        <v>82</v>
      </c>
      <c r="L36" s="17"/>
      <c r="M36" s="17"/>
      <c r="N36" s="17"/>
      <c r="O36" s="17"/>
      <c r="P36" s="18"/>
      <c r="Q36" s="16" t="s">
        <v>83</v>
      </c>
      <c r="R36" s="18"/>
    </row>
    <row r="37" spans="1:18" ht="16.5" customHeight="1">
      <c r="A37" s="10">
        <v>36</v>
      </c>
      <c r="B37" s="10">
        <v>4</v>
      </c>
      <c r="C37" s="10">
        <v>15</v>
      </c>
      <c r="D37" s="11" t="s">
        <v>5733</v>
      </c>
      <c r="E37" s="12" t="s">
        <v>5737</v>
      </c>
      <c r="F37" s="11" t="s">
        <v>5741</v>
      </c>
      <c r="G37" s="10"/>
      <c r="H37" s="13" t="s">
        <v>3665</v>
      </c>
      <c r="I37" s="14" t="s">
        <v>5742</v>
      </c>
      <c r="J37" s="15" t="s">
        <v>5743</v>
      </c>
      <c r="K37" s="16" t="s">
        <v>82</v>
      </c>
      <c r="L37" s="17"/>
      <c r="M37" s="17"/>
      <c r="N37" s="17"/>
      <c r="O37" s="17"/>
      <c r="P37" s="18"/>
      <c r="Q37" s="16" t="s">
        <v>83</v>
      </c>
      <c r="R37" s="18"/>
    </row>
    <row r="38" spans="1:18" ht="26.25" customHeight="1">
      <c r="A38" s="10">
        <v>37</v>
      </c>
      <c r="B38" s="10">
        <v>4</v>
      </c>
      <c r="C38" s="10">
        <v>19</v>
      </c>
      <c r="D38" s="11" t="s">
        <v>5744</v>
      </c>
      <c r="E38" s="12" t="s">
        <v>5745</v>
      </c>
      <c r="F38" s="11" t="s">
        <v>5746</v>
      </c>
      <c r="G38" s="10"/>
      <c r="H38" s="13" t="s">
        <v>5747</v>
      </c>
      <c r="I38" s="14" t="s">
        <v>5748</v>
      </c>
      <c r="J38" s="15" t="s">
        <v>5749</v>
      </c>
      <c r="K38" s="16" t="s">
        <v>82</v>
      </c>
      <c r="L38" s="17"/>
      <c r="M38" s="17"/>
      <c r="N38" s="17"/>
      <c r="O38" s="17"/>
      <c r="P38" s="18"/>
      <c r="Q38" s="16" t="s">
        <v>83</v>
      </c>
      <c r="R38" s="18"/>
    </row>
    <row r="39" spans="1:18" ht="16.5" customHeight="1">
      <c r="A39" s="10">
        <v>38</v>
      </c>
      <c r="B39" s="10">
        <v>4</v>
      </c>
      <c r="C39" s="10">
        <v>20</v>
      </c>
      <c r="D39" s="11" t="s">
        <v>5745</v>
      </c>
      <c r="E39" s="19" t="s">
        <v>5746</v>
      </c>
      <c r="F39" s="11" t="s">
        <v>5750</v>
      </c>
      <c r="G39" s="10" t="s">
        <v>5751</v>
      </c>
      <c r="H39" s="13" t="s">
        <v>5752</v>
      </c>
      <c r="I39" s="14" t="s">
        <v>5753</v>
      </c>
      <c r="J39" s="15" t="s">
        <v>5754</v>
      </c>
      <c r="K39" s="16" t="s">
        <v>89</v>
      </c>
      <c r="L39" s="17" t="s">
        <v>128</v>
      </c>
      <c r="M39" s="17" t="s">
        <v>164</v>
      </c>
      <c r="N39" s="17" t="s">
        <v>5755</v>
      </c>
      <c r="O39" s="17" t="s">
        <v>5756</v>
      </c>
      <c r="P39" s="18" t="s">
        <v>5757</v>
      </c>
      <c r="Q39" s="16" t="s">
        <v>83</v>
      </c>
      <c r="R39" s="18"/>
    </row>
    <row r="40" spans="1:18" ht="16.5" customHeight="1">
      <c r="A40" s="10">
        <v>39</v>
      </c>
      <c r="B40" s="10">
        <v>4</v>
      </c>
      <c r="C40" s="10">
        <v>21</v>
      </c>
      <c r="D40" s="11" t="s">
        <v>5746</v>
      </c>
      <c r="E40" s="12" t="s">
        <v>5750</v>
      </c>
      <c r="F40" s="11" t="s">
        <v>5758</v>
      </c>
      <c r="G40" s="10"/>
      <c r="H40" s="13" t="s">
        <v>5759</v>
      </c>
      <c r="I40" s="14" t="s">
        <v>5760</v>
      </c>
      <c r="J40" s="15" t="s">
        <v>5760</v>
      </c>
      <c r="K40" s="16" t="s">
        <v>82</v>
      </c>
      <c r="L40" s="17"/>
      <c r="M40" s="17"/>
      <c r="N40" s="17"/>
      <c r="O40" s="17"/>
      <c r="P40" s="18"/>
      <c r="Q40" s="16" t="s">
        <v>83</v>
      </c>
      <c r="R40" s="18"/>
    </row>
    <row r="41" spans="1:18" ht="26.25" customHeight="1">
      <c r="A41" s="10">
        <v>40</v>
      </c>
      <c r="B41" s="10">
        <v>4</v>
      </c>
      <c r="C41" s="10">
        <v>22</v>
      </c>
      <c r="D41" s="11" t="s">
        <v>5750</v>
      </c>
      <c r="E41" s="19" t="s">
        <v>5758</v>
      </c>
      <c r="F41" s="11" t="s">
        <v>5761</v>
      </c>
      <c r="G41" s="10" t="s">
        <v>266</v>
      </c>
      <c r="H41" s="13" t="s">
        <v>5762</v>
      </c>
      <c r="I41" s="14" t="s">
        <v>5763</v>
      </c>
      <c r="J41" s="15" t="s">
        <v>5764</v>
      </c>
      <c r="K41" s="16" t="s">
        <v>82</v>
      </c>
      <c r="L41" s="17"/>
      <c r="M41" s="17"/>
      <c r="N41" s="17"/>
      <c r="O41" s="17"/>
      <c r="P41" s="18"/>
      <c r="Q41" s="16" t="s">
        <v>83</v>
      </c>
      <c r="R41" s="18"/>
    </row>
    <row r="42" spans="1:18" ht="16.5" customHeight="1">
      <c r="A42" s="10">
        <v>41</v>
      </c>
      <c r="B42" s="10">
        <v>4</v>
      </c>
      <c r="C42" s="10">
        <v>23</v>
      </c>
      <c r="D42" s="11" t="s">
        <v>5758</v>
      </c>
      <c r="E42" s="12" t="s">
        <v>5761</v>
      </c>
      <c r="F42" s="11" t="s">
        <v>5765</v>
      </c>
      <c r="G42" s="10"/>
      <c r="H42" s="13" t="s">
        <v>5766</v>
      </c>
      <c r="I42" s="14" t="s">
        <v>5767</v>
      </c>
      <c r="J42" s="15" t="s">
        <v>5767</v>
      </c>
      <c r="K42" s="16" t="s">
        <v>82</v>
      </c>
      <c r="L42" s="17"/>
      <c r="M42" s="17"/>
      <c r="N42" s="17"/>
      <c r="O42" s="17"/>
      <c r="P42" s="18"/>
      <c r="Q42" s="16" t="s">
        <v>83</v>
      </c>
      <c r="R42" s="18"/>
    </row>
    <row r="43" spans="1:18" ht="16.5" customHeight="1">
      <c r="A43" s="10">
        <v>42</v>
      </c>
      <c r="B43" s="10">
        <v>4</v>
      </c>
      <c r="C43" s="10">
        <v>33</v>
      </c>
      <c r="D43" s="11" t="s">
        <v>5768</v>
      </c>
      <c r="E43" s="12" t="s">
        <v>5769</v>
      </c>
      <c r="F43" s="11" t="s">
        <v>5770</v>
      </c>
      <c r="G43" s="10"/>
      <c r="H43" s="13" t="s">
        <v>5771</v>
      </c>
      <c r="I43" s="14" t="s">
        <v>5772</v>
      </c>
      <c r="J43" s="15" t="s">
        <v>5773</v>
      </c>
      <c r="K43" s="16" t="s">
        <v>82</v>
      </c>
      <c r="L43" s="17"/>
      <c r="M43" s="17"/>
      <c r="N43" s="17"/>
      <c r="O43" s="17"/>
      <c r="P43" s="18"/>
      <c r="Q43" s="16" t="s">
        <v>83</v>
      </c>
      <c r="R43" s="18"/>
    </row>
    <row r="44" spans="1:18" ht="16.5" customHeight="1">
      <c r="A44" s="10">
        <v>43</v>
      </c>
      <c r="B44" s="10">
        <v>4</v>
      </c>
      <c r="C44" s="10">
        <v>34</v>
      </c>
      <c r="D44" s="11" t="s">
        <v>5769</v>
      </c>
      <c r="E44" s="19" t="s">
        <v>5770</v>
      </c>
      <c r="F44" s="11" t="s">
        <v>5774</v>
      </c>
      <c r="G44" s="10" t="s">
        <v>633</v>
      </c>
      <c r="H44" s="13" t="s">
        <v>5775</v>
      </c>
      <c r="I44" s="14" t="s">
        <v>5776</v>
      </c>
      <c r="J44" s="15" t="s">
        <v>5776</v>
      </c>
      <c r="K44" s="16" t="s">
        <v>82</v>
      </c>
      <c r="L44" s="17"/>
      <c r="M44" s="17"/>
      <c r="N44" s="17"/>
      <c r="O44" s="17"/>
      <c r="P44" s="18"/>
      <c r="Q44" s="16" t="s">
        <v>83</v>
      </c>
      <c r="R44" s="18"/>
    </row>
    <row r="45" spans="1:18" ht="16.5" customHeight="1">
      <c r="A45" s="10">
        <v>44</v>
      </c>
      <c r="B45" s="10">
        <v>4</v>
      </c>
      <c r="C45" s="10">
        <v>35</v>
      </c>
      <c r="D45" s="11" t="s">
        <v>5770</v>
      </c>
      <c r="E45" s="19" t="s">
        <v>5774</v>
      </c>
      <c r="F45" s="11" t="s">
        <v>5777</v>
      </c>
      <c r="G45" s="10" t="s">
        <v>5751</v>
      </c>
      <c r="H45" s="13" t="s">
        <v>5778</v>
      </c>
      <c r="I45" s="14" t="s">
        <v>5779</v>
      </c>
      <c r="J45" s="15" t="s">
        <v>5780</v>
      </c>
      <c r="K45" s="16" t="s">
        <v>82</v>
      </c>
      <c r="L45" s="17"/>
      <c r="M45" s="17"/>
      <c r="N45" s="17"/>
      <c r="O45" s="17"/>
      <c r="P45" s="18"/>
      <c r="Q45" s="16" t="s">
        <v>83</v>
      </c>
      <c r="R45" s="18"/>
    </row>
    <row r="46" spans="1:18" ht="16.5" customHeight="1">
      <c r="A46" s="10">
        <v>45</v>
      </c>
      <c r="B46" s="10">
        <v>4</v>
      </c>
      <c r="C46" s="10">
        <v>36</v>
      </c>
      <c r="D46" s="11" t="s">
        <v>5774</v>
      </c>
      <c r="E46" s="12" t="s">
        <v>5777</v>
      </c>
      <c r="F46" s="11" t="s">
        <v>5781</v>
      </c>
      <c r="G46" s="10"/>
      <c r="H46" s="13" t="s">
        <v>5782</v>
      </c>
      <c r="I46" s="14" t="s">
        <v>5783</v>
      </c>
      <c r="J46" s="15" t="s">
        <v>5784</v>
      </c>
      <c r="K46" s="16" t="s">
        <v>82</v>
      </c>
      <c r="L46" s="17"/>
      <c r="M46" s="17"/>
      <c r="N46" s="17"/>
      <c r="O46" s="17"/>
      <c r="P46" s="18"/>
      <c r="Q46" s="16" t="s">
        <v>83</v>
      </c>
      <c r="R46" s="18"/>
    </row>
    <row r="47" spans="1:18" ht="16.5" customHeight="1">
      <c r="A47" s="10">
        <v>46</v>
      </c>
      <c r="B47" s="10">
        <v>4</v>
      </c>
      <c r="C47" s="10">
        <v>37</v>
      </c>
      <c r="D47" s="11" t="s">
        <v>5777</v>
      </c>
      <c r="E47" s="12" t="s">
        <v>5781</v>
      </c>
      <c r="F47" s="11" t="s">
        <v>5785</v>
      </c>
      <c r="G47" s="10"/>
      <c r="H47" s="13" t="s">
        <v>5786</v>
      </c>
      <c r="I47" s="14" t="s">
        <v>5787</v>
      </c>
      <c r="J47" s="15" t="s">
        <v>5788</v>
      </c>
      <c r="K47" s="16" t="s">
        <v>82</v>
      </c>
      <c r="L47" s="17"/>
      <c r="M47" s="17"/>
      <c r="N47" s="17"/>
      <c r="O47" s="17"/>
      <c r="P47" s="18"/>
      <c r="Q47" s="16" t="s">
        <v>83</v>
      </c>
      <c r="R47" s="18"/>
    </row>
    <row r="48" spans="1:18" ht="16.5" customHeight="1">
      <c r="A48" s="10">
        <v>47</v>
      </c>
      <c r="B48" s="10">
        <v>4</v>
      </c>
      <c r="C48" s="10">
        <v>38</v>
      </c>
      <c r="D48" s="11" t="s">
        <v>5781</v>
      </c>
      <c r="E48" s="19" t="s">
        <v>5785</v>
      </c>
      <c r="F48" s="11" t="s">
        <v>5789</v>
      </c>
      <c r="G48" s="10" t="s">
        <v>5751</v>
      </c>
      <c r="H48" s="13" t="s">
        <v>5790</v>
      </c>
      <c r="I48" s="14" t="s">
        <v>5791</v>
      </c>
      <c r="J48" s="15" t="s">
        <v>5792</v>
      </c>
      <c r="K48" s="16" t="s">
        <v>82</v>
      </c>
      <c r="L48" s="17"/>
      <c r="M48" s="17"/>
      <c r="N48" s="17"/>
      <c r="O48" s="17"/>
      <c r="P48" s="18"/>
      <c r="Q48" s="16" t="s">
        <v>83</v>
      </c>
      <c r="R48" s="18"/>
    </row>
    <row r="49" spans="1:18" ht="16.5" customHeight="1">
      <c r="A49" s="10">
        <v>48</v>
      </c>
      <c r="B49" s="10">
        <v>4</v>
      </c>
      <c r="C49" s="10">
        <v>39</v>
      </c>
      <c r="D49" s="11" t="s">
        <v>5785</v>
      </c>
      <c r="E49" s="19" t="s">
        <v>5789</v>
      </c>
      <c r="F49" s="11" t="s">
        <v>5793</v>
      </c>
      <c r="G49" s="10" t="s">
        <v>5789</v>
      </c>
      <c r="H49" s="13" t="s">
        <v>5794</v>
      </c>
      <c r="I49" s="14" t="s">
        <v>5795</v>
      </c>
      <c r="J49" s="15" t="s">
        <v>5796</v>
      </c>
      <c r="K49" s="16" t="s">
        <v>82</v>
      </c>
      <c r="L49" s="17"/>
      <c r="M49" s="17"/>
      <c r="N49" s="17"/>
      <c r="O49" s="17"/>
      <c r="P49" s="18"/>
      <c r="Q49" s="16" t="s">
        <v>83</v>
      </c>
      <c r="R49" s="18"/>
    </row>
    <row r="50" spans="1:18" ht="16.5" customHeight="1">
      <c r="A50" s="10">
        <v>49</v>
      </c>
      <c r="B50" s="10">
        <v>4</v>
      </c>
      <c r="C50" s="10">
        <v>40</v>
      </c>
      <c r="D50" s="11" t="s">
        <v>5789</v>
      </c>
      <c r="E50" s="19" t="s">
        <v>5793</v>
      </c>
      <c r="F50" s="11" t="s">
        <v>5797</v>
      </c>
      <c r="G50" s="10" t="s">
        <v>2920</v>
      </c>
      <c r="H50" s="13" t="s">
        <v>5798</v>
      </c>
      <c r="I50" s="14" t="s">
        <v>5799</v>
      </c>
      <c r="J50" s="15" t="s">
        <v>5799</v>
      </c>
      <c r="K50" s="16" t="s">
        <v>82</v>
      </c>
      <c r="L50" s="17"/>
      <c r="M50" s="17"/>
      <c r="N50" s="17"/>
      <c r="O50" s="17"/>
      <c r="P50" s="18"/>
      <c r="Q50" s="16" t="s">
        <v>83</v>
      </c>
      <c r="R50" s="18"/>
    </row>
    <row r="51" spans="1:18" ht="16.5" customHeight="1">
      <c r="A51" s="10">
        <v>50</v>
      </c>
      <c r="B51" s="10">
        <v>4</v>
      </c>
      <c r="C51" s="10">
        <v>41</v>
      </c>
      <c r="D51" s="11" t="s">
        <v>5793</v>
      </c>
      <c r="E51" s="12" t="s">
        <v>5797</v>
      </c>
      <c r="F51" s="11" t="s">
        <v>5800</v>
      </c>
      <c r="G51" s="10"/>
      <c r="H51" s="13" t="s">
        <v>262</v>
      </c>
      <c r="I51" s="14" t="s">
        <v>5801</v>
      </c>
      <c r="J51" s="15" t="s">
        <v>5801</v>
      </c>
      <c r="K51" s="16" t="s">
        <v>82</v>
      </c>
      <c r="L51" s="17"/>
      <c r="M51" s="17"/>
      <c r="N51" s="17"/>
      <c r="O51" s="17"/>
      <c r="P51" s="18"/>
      <c r="Q51" s="16" t="s">
        <v>83</v>
      </c>
      <c r="R51" s="18"/>
    </row>
    <row r="52" spans="1:18" ht="16.5" customHeight="1">
      <c r="A52" s="10">
        <v>51</v>
      </c>
      <c r="B52" s="10">
        <v>4</v>
      </c>
      <c r="C52" s="10">
        <v>42</v>
      </c>
      <c r="D52" s="11" t="s">
        <v>5797</v>
      </c>
      <c r="E52" s="19" t="s">
        <v>5800</v>
      </c>
      <c r="F52" s="11" t="s">
        <v>5802</v>
      </c>
      <c r="G52" s="10" t="s">
        <v>266</v>
      </c>
      <c r="H52" s="13" t="s">
        <v>5803</v>
      </c>
      <c r="I52" s="14" t="s">
        <v>5804</v>
      </c>
      <c r="J52" s="15" t="s">
        <v>5804</v>
      </c>
      <c r="K52" s="16" t="s">
        <v>82</v>
      </c>
      <c r="L52" s="17"/>
      <c r="M52" s="17"/>
      <c r="N52" s="17"/>
      <c r="O52" s="17"/>
      <c r="P52" s="18"/>
      <c r="Q52" s="16" t="s">
        <v>83</v>
      </c>
      <c r="R52" s="18"/>
    </row>
    <row r="53" spans="1:18" ht="16.5" customHeight="1">
      <c r="A53" s="10">
        <v>52</v>
      </c>
      <c r="B53" s="10">
        <v>4</v>
      </c>
      <c r="C53" s="10">
        <v>43</v>
      </c>
      <c r="D53" s="11" t="s">
        <v>5800</v>
      </c>
      <c r="E53" s="12" t="s">
        <v>5802</v>
      </c>
      <c r="F53" s="11" t="s">
        <v>5805</v>
      </c>
      <c r="G53" s="10"/>
      <c r="H53" s="13" t="s">
        <v>5806</v>
      </c>
      <c r="I53" s="14" t="s">
        <v>5807</v>
      </c>
      <c r="J53" s="15" t="s">
        <v>5808</v>
      </c>
      <c r="K53" s="16" t="s">
        <v>82</v>
      </c>
      <c r="L53" s="17"/>
      <c r="M53" s="17"/>
      <c r="N53" s="17"/>
      <c r="O53" s="17"/>
      <c r="P53" s="18"/>
      <c r="Q53" s="16" t="s">
        <v>83</v>
      </c>
      <c r="R53" s="18"/>
    </row>
    <row r="54" spans="1:18" ht="26.25" customHeight="1">
      <c r="A54" s="10">
        <v>53</v>
      </c>
      <c r="B54" s="10">
        <v>4</v>
      </c>
      <c r="C54" s="10">
        <v>64</v>
      </c>
      <c r="D54" s="11" t="s">
        <v>5809</v>
      </c>
      <c r="E54" s="12" t="s">
        <v>5810</v>
      </c>
      <c r="F54" s="11" t="s">
        <v>5811</v>
      </c>
      <c r="G54" s="10"/>
      <c r="H54" s="13"/>
      <c r="I54" s="14" t="s">
        <v>5812</v>
      </c>
      <c r="J54" s="15" t="s">
        <v>5813</v>
      </c>
      <c r="K54" s="16" t="s">
        <v>82</v>
      </c>
      <c r="L54" s="17"/>
      <c r="M54" s="17"/>
      <c r="N54" s="17"/>
      <c r="O54" s="17"/>
      <c r="P54" s="18"/>
      <c r="Q54" s="16" t="s">
        <v>83</v>
      </c>
      <c r="R54" s="18"/>
    </row>
    <row r="55" spans="1:18" ht="16.5" customHeight="1">
      <c r="A55" s="10">
        <v>54</v>
      </c>
      <c r="B55" s="10">
        <v>4</v>
      </c>
      <c r="C55" s="10">
        <v>65</v>
      </c>
      <c r="D55" s="11" t="s">
        <v>5810</v>
      </c>
      <c r="E55" s="19" t="s">
        <v>5811</v>
      </c>
      <c r="F55" s="11" t="s">
        <v>5814</v>
      </c>
      <c r="G55" s="10" t="s">
        <v>5751</v>
      </c>
      <c r="H55" s="13" t="s">
        <v>5815</v>
      </c>
      <c r="I55" s="14" t="s">
        <v>5816</v>
      </c>
      <c r="J55" s="15" t="s">
        <v>5817</v>
      </c>
      <c r="K55" s="16" t="s">
        <v>82</v>
      </c>
      <c r="L55" s="17"/>
      <c r="M55" s="17"/>
      <c r="N55" s="17"/>
      <c r="O55" s="17"/>
      <c r="P55" s="18"/>
      <c r="Q55" s="16" t="s">
        <v>83</v>
      </c>
      <c r="R55" s="18"/>
    </row>
    <row r="56" spans="1:18" ht="26.25" customHeight="1">
      <c r="A56" s="10">
        <v>55</v>
      </c>
      <c r="B56" s="10">
        <v>4</v>
      </c>
      <c r="C56" s="10">
        <v>66</v>
      </c>
      <c r="D56" s="11" t="s">
        <v>5811</v>
      </c>
      <c r="E56" s="12" t="s">
        <v>5814</v>
      </c>
      <c r="F56" s="11" t="s">
        <v>5818</v>
      </c>
      <c r="G56" s="10"/>
      <c r="H56" s="13" t="s">
        <v>5819</v>
      </c>
      <c r="I56" s="14" t="s">
        <v>5820</v>
      </c>
      <c r="J56" s="15" t="s">
        <v>5821</v>
      </c>
      <c r="K56" s="16" t="s">
        <v>82</v>
      </c>
      <c r="L56" s="17"/>
      <c r="M56" s="17"/>
      <c r="N56" s="17"/>
      <c r="O56" s="17"/>
      <c r="P56" s="18"/>
      <c r="Q56" s="16" t="s">
        <v>83</v>
      </c>
      <c r="R56" s="18"/>
    </row>
    <row r="57" spans="1:18" ht="16.5" customHeight="1">
      <c r="A57" s="10">
        <v>56</v>
      </c>
      <c r="B57" s="10">
        <v>4</v>
      </c>
      <c r="C57" s="10">
        <v>72</v>
      </c>
      <c r="D57" s="11" t="s">
        <v>5822</v>
      </c>
      <c r="E57" s="12" t="s">
        <v>5823</v>
      </c>
      <c r="F57" s="11" t="s">
        <v>5824</v>
      </c>
      <c r="G57" s="10"/>
      <c r="H57" s="13" t="s">
        <v>5825</v>
      </c>
      <c r="I57" s="14" t="s">
        <v>5826</v>
      </c>
      <c r="J57" s="15" t="s">
        <v>5827</v>
      </c>
      <c r="K57" s="16" t="s">
        <v>82</v>
      </c>
      <c r="L57" s="17"/>
      <c r="M57" s="17"/>
      <c r="N57" s="17"/>
      <c r="O57" s="17"/>
      <c r="P57" s="18"/>
      <c r="Q57" s="16" t="s">
        <v>83</v>
      </c>
      <c r="R57" s="18"/>
    </row>
    <row r="58" spans="1:18" ht="16.5" customHeight="1">
      <c r="A58" s="10">
        <v>57</v>
      </c>
      <c r="B58" s="10">
        <v>4</v>
      </c>
      <c r="C58" s="10">
        <v>73</v>
      </c>
      <c r="D58" s="11" t="s">
        <v>5823</v>
      </c>
      <c r="E58" s="19" t="s">
        <v>5824</v>
      </c>
      <c r="F58" s="11" t="s">
        <v>5828</v>
      </c>
      <c r="G58" s="10" t="s">
        <v>1957</v>
      </c>
      <c r="H58" s="13" t="s">
        <v>5829</v>
      </c>
      <c r="I58" s="14" t="s">
        <v>5830</v>
      </c>
      <c r="J58" s="15" t="s">
        <v>5830</v>
      </c>
      <c r="K58" s="16" t="s">
        <v>82</v>
      </c>
      <c r="L58" s="17"/>
      <c r="M58" s="17"/>
      <c r="N58" s="17"/>
      <c r="O58" s="17"/>
      <c r="P58" s="18"/>
      <c r="Q58" s="16" t="s">
        <v>83</v>
      </c>
      <c r="R58" s="18"/>
    </row>
    <row r="59" spans="1:18" ht="16.5" customHeight="1">
      <c r="A59" s="10">
        <v>58</v>
      </c>
      <c r="B59" s="10">
        <v>4</v>
      </c>
      <c r="C59" s="10">
        <v>74</v>
      </c>
      <c r="D59" s="11" t="s">
        <v>5824</v>
      </c>
      <c r="E59" s="12" t="s">
        <v>5828</v>
      </c>
      <c r="F59" s="11" t="s">
        <v>5831</v>
      </c>
      <c r="G59" s="10"/>
      <c r="H59" s="13" t="s">
        <v>5832</v>
      </c>
      <c r="I59" s="14" t="s">
        <v>5833</v>
      </c>
      <c r="J59" s="15" t="s">
        <v>5833</v>
      </c>
      <c r="K59" s="16" t="s">
        <v>82</v>
      </c>
      <c r="L59" s="17"/>
      <c r="M59" s="17"/>
      <c r="N59" s="17"/>
      <c r="O59" s="17"/>
      <c r="P59" s="18"/>
      <c r="Q59" s="16" t="s">
        <v>83</v>
      </c>
      <c r="R59" s="18"/>
    </row>
    <row r="60" spans="1:18" ht="16.5" customHeight="1">
      <c r="A60" s="10">
        <v>59</v>
      </c>
      <c r="B60" s="10">
        <v>4</v>
      </c>
      <c r="C60" s="10">
        <v>79</v>
      </c>
      <c r="D60" s="11" t="s">
        <v>5834</v>
      </c>
      <c r="E60" s="12" t="s">
        <v>5835</v>
      </c>
      <c r="F60" s="11"/>
      <c r="G60" s="10"/>
      <c r="H60" s="13" t="s">
        <v>5836</v>
      </c>
      <c r="I60" s="14" t="s">
        <v>5837</v>
      </c>
      <c r="J60" s="15" t="s">
        <v>5838</v>
      </c>
      <c r="K60" s="16" t="s">
        <v>82</v>
      </c>
      <c r="L60" s="17"/>
      <c r="M60" s="17"/>
      <c r="N60" s="17"/>
      <c r="O60" s="17"/>
      <c r="P60" s="18"/>
      <c r="Q60" s="16" t="s">
        <v>83</v>
      </c>
      <c r="R60" s="18"/>
    </row>
    <row r="61" spans="1:18" ht="26.25" customHeight="1">
      <c r="A61" s="10">
        <v>60</v>
      </c>
      <c r="B61" s="10">
        <v>5</v>
      </c>
      <c r="C61" s="10">
        <v>1</v>
      </c>
      <c r="D61" s="11"/>
      <c r="E61" s="19" t="s">
        <v>5839</v>
      </c>
      <c r="F61" s="11" t="s">
        <v>5840</v>
      </c>
      <c r="G61" s="10" t="s">
        <v>705</v>
      </c>
      <c r="H61" s="13" t="s">
        <v>5841</v>
      </c>
      <c r="I61" s="14" t="s">
        <v>5842</v>
      </c>
      <c r="J61" s="15" t="s">
        <v>5843</v>
      </c>
      <c r="K61" s="16" t="s">
        <v>82</v>
      </c>
      <c r="L61" s="17"/>
      <c r="M61" s="17"/>
      <c r="N61" s="17"/>
      <c r="O61" s="17"/>
      <c r="P61" s="18"/>
      <c r="Q61" s="16" t="s">
        <v>83</v>
      </c>
      <c r="R61" s="18"/>
    </row>
    <row r="62" spans="1:18" ht="26.25" customHeight="1">
      <c r="A62" s="10">
        <v>61</v>
      </c>
      <c r="B62" s="10">
        <v>5</v>
      </c>
      <c r="C62" s="10">
        <v>2</v>
      </c>
      <c r="D62" s="11" t="s">
        <v>5839</v>
      </c>
      <c r="E62" s="12" t="s">
        <v>5840</v>
      </c>
      <c r="F62" s="11" t="s">
        <v>5844</v>
      </c>
      <c r="G62" s="10"/>
      <c r="H62" s="13" t="s">
        <v>2720</v>
      </c>
      <c r="I62" s="14" t="s">
        <v>5845</v>
      </c>
      <c r="J62" s="15" t="s">
        <v>5845</v>
      </c>
      <c r="K62" s="16" t="s">
        <v>89</v>
      </c>
      <c r="L62" s="17" t="s">
        <v>128</v>
      </c>
      <c r="M62" s="17" t="s">
        <v>91</v>
      </c>
      <c r="N62" s="17" t="s">
        <v>5846</v>
      </c>
      <c r="O62" s="17" t="s">
        <v>5847</v>
      </c>
      <c r="P62" s="18" t="s">
        <v>5848</v>
      </c>
      <c r="Q62" s="16" t="s">
        <v>83</v>
      </c>
      <c r="R62" s="18"/>
    </row>
    <row r="63" spans="1:18" ht="16.5" customHeight="1">
      <c r="A63" s="10">
        <v>62</v>
      </c>
      <c r="B63" s="10">
        <v>5</v>
      </c>
      <c r="C63" s="10">
        <v>7</v>
      </c>
      <c r="D63" s="11" t="s">
        <v>5849</v>
      </c>
      <c r="E63" s="12" t="s">
        <v>5850</v>
      </c>
      <c r="F63" s="11" t="s">
        <v>5851</v>
      </c>
      <c r="G63" s="10"/>
      <c r="H63" s="13" t="s">
        <v>5852</v>
      </c>
      <c r="I63" s="14" t="s">
        <v>5853</v>
      </c>
      <c r="J63" s="15" t="s">
        <v>5854</v>
      </c>
      <c r="K63" s="16" t="s">
        <v>82</v>
      </c>
      <c r="L63" s="17"/>
      <c r="M63" s="17"/>
      <c r="N63" s="17"/>
      <c r="O63" s="17"/>
      <c r="P63" s="18"/>
      <c r="Q63" s="16" t="s">
        <v>83</v>
      </c>
      <c r="R63" s="18"/>
    </row>
    <row r="64" spans="1:18" ht="16.5" customHeight="1">
      <c r="A64" s="10">
        <v>63</v>
      </c>
      <c r="B64" s="10">
        <v>5</v>
      </c>
      <c r="C64" s="10">
        <v>8</v>
      </c>
      <c r="D64" s="11" t="s">
        <v>5850</v>
      </c>
      <c r="E64" s="19" t="s">
        <v>5851</v>
      </c>
      <c r="F64" s="11" t="s">
        <v>5855</v>
      </c>
      <c r="G64" s="10" t="s">
        <v>633</v>
      </c>
      <c r="H64" s="13" t="s">
        <v>634</v>
      </c>
      <c r="I64" s="14" t="s">
        <v>5856</v>
      </c>
      <c r="J64" s="15" t="s">
        <v>5856</v>
      </c>
      <c r="K64" s="16" t="s">
        <v>82</v>
      </c>
      <c r="L64" s="17"/>
      <c r="M64" s="17"/>
      <c r="N64" s="17"/>
      <c r="O64" s="17"/>
      <c r="P64" s="18"/>
      <c r="Q64" s="16" t="s">
        <v>83</v>
      </c>
      <c r="R64" s="18"/>
    </row>
    <row r="65" spans="1:18" ht="16.5" customHeight="1">
      <c r="A65" s="10">
        <v>64</v>
      </c>
      <c r="B65" s="10">
        <v>5</v>
      </c>
      <c r="C65" s="10">
        <v>9</v>
      </c>
      <c r="D65" s="11" t="s">
        <v>5851</v>
      </c>
      <c r="E65" s="12" t="s">
        <v>5855</v>
      </c>
      <c r="F65" s="11" t="s">
        <v>5857</v>
      </c>
      <c r="G65" s="10"/>
      <c r="H65" s="13"/>
      <c r="I65" s="14" t="s">
        <v>5858</v>
      </c>
      <c r="J65" s="15" t="s">
        <v>5858</v>
      </c>
      <c r="K65" s="16" t="s">
        <v>82</v>
      </c>
      <c r="L65" s="17"/>
      <c r="M65" s="17"/>
      <c r="N65" s="17"/>
      <c r="O65" s="17"/>
      <c r="P65" s="18"/>
      <c r="Q65" s="16" t="s">
        <v>83</v>
      </c>
      <c r="R65" s="18"/>
    </row>
    <row r="66" spans="1:18" ht="16.5" customHeight="1">
      <c r="A66" s="10">
        <v>65</v>
      </c>
      <c r="B66" s="10">
        <v>5</v>
      </c>
      <c r="C66" s="10">
        <v>10</v>
      </c>
      <c r="D66" s="11" t="s">
        <v>5855</v>
      </c>
      <c r="E66" s="12" t="s">
        <v>5857</v>
      </c>
      <c r="F66" s="11" t="s">
        <v>5859</v>
      </c>
      <c r="G66" s="10"/>
      <c r="H66" s="13" t="s">
        <v>5860</v>
      </c>
      <c r="I66" s="14" t="s">
        <v>5861</v>
      </c>
      <c r="J66" s="15" t="s">
        <v>5862</v>
      </c>
      <c r="K66" s="16" t="s">
        <v>82</v>
      </c>
      <c r="L66" s="17"/>
      <c r="M66" s="17"/>
      <c r="N66" s="17"/>
      <c r="O66" s="17"/>
      <c r="P66" s="18"/>
      <c r="Q66" s="16" t="s">
        <v>83</v>
      </c>
      <c r="R66" s="18"/>
    </row>
    <row r="67" spans="1:18" ht="16.5" customHeight="1">
      <c r="A67" s="10">
        <v>66</v>
      </c>
      <c r="B67" s="10">
        <v>5</v>
      </c>
      <c r="C67" s="10">
        <v>11</v>
      </c>
      <c r="D67" s="11" t="s">
        <v>5857</v>
      </c>
      <c r="E67" s="19" t="s">
        <v>5859</v>
      </c>
      <c r="F67" s="11" t="s">
        <v>5863</v>
      </c>
      <c r="G67" s="10" t="s">
        <v>160</v>
      </c>
      <c r="H67" s="13" t="s">
        <v>5864</v>
      </c>
      <c r="I67" s="14" t="s">
        <v>5865</v>
      </c>
      <c r="J67" s="15" t="s">
        <v>5865</v>
      </c>
      <c r="K67" s="16" t="s">
        <v>89</v>
      </c>
      <c r="L67" s="17" t="s">
        <v>155</v>
      </c>
      <c r="M67" s="17" t="s">
        <v>91</v>
      </c>
      <c r="N67" s="17" t="s">
        <v>5866</v>
      </c>
      <c r="O67" s="17" t="s">
        <v>5867</v>
      </c>
      <c r="P67" s="18" t="s">
        <v>5868</v>
      </c>
      <c r="Q67" s="16" t="s">
        <v>148</v>
      </c>
      <c r="R67" s="18"/>
    </row>
    <row r="68" spans="1:18" ht="16.5" customHeight="1">
      <c r="A68" s="10">
        <v>67</v>
      </c>
      <c r="B68" s="10">
        <v>5</v>
      </c>
      <c r="C68" s="10">
        <v>12</v>
      </c>
      <c r="D68" s="11" t="s">
        <v>5859</v>
      </c>
      <c r="E68" s="12" t="s">
        <v>5863</v>
      </c>
      <c r="F68" s="11" t="s">
        <v>5869</v>
      </c>
      <c r="G68" s="10"/>
      <c r="H68" s="13" t="s">
        <v>5870</v>
      </c>
      <c r="I68" s="14" t="s">
        <v>5871</v>
      </c>
      <c r="J68" s="15" t="s">
        <v>5872</v>
      </c>
      <c r="K68" s="16" t="s">
        <v>82</v>
      </c>
      <c r="L68" s="17"/>
      <c r="M68" s="17"/>
      <c r="N68" s="17"/>
      <c r="O68" s="17"/>
      <c r="P68" s="18"/>
      <c r="Q68" s="16" t="s">
        <v>83</v>
      </c>
      <c r="R68" s="18"/>
    </row>
    <row r="69" spans="1:18" ht="16.5" customHeight="1">
      <c r="A69" s="10">
        <v>68</v>
      </c>
      <c r="B69" s="10">
        <v>5</v>
      </c>
      <c r="C69" s="10">
        <v>16</v>
      </c>
      <c r="D69" s="11" t="s">
        <v>5873</v>
      </c>
      <c r="E69" s="12" t="s">
        <v>5874</v>
      </c>
      <c r="F69" s="11" t="s">
        <v>5875</v>
      </c>
      <c r="G69" s="10"/>
      <c r="H69" s="13" t="s">
        <v>5876</v>
      </c>
      <c r="I69" s="14" t="s">
        <v>5877</v>
      </c>
      <c r="J69" s="15" t="s">
        <v>5877</v>
      </c>
      <c r="K69" s="16" t="s">
        <v>82</v>
      </c>
      <c r="L69" s="17"/>
      <c r="M69" s="17"/>
      <c r="N69" s="17"/>
      <c r="O69" s="17"/>
      <c r="P69" s="18"/>
      <c r="Q69" s="16" t="s">
        <v>83</v>
      </c>
      <c r="R69" s="18"/>
    </row>
    <row r="70" spans="1:18" ht="16.5" customHeight="1">
      <c r="A70" s="10">
        <v>69</v>
      </c>
      <c r="B70" s="10">
        <v>5</v>
      </c>
      <c r="C70" s="10">
        <v>17</v>
      </c>
      <c r="D70" s="11" t="s">
        <v>5874</v>
      </c>
      <c r="E70" s="19" t="s">
        <v>5875</v>
      </c>
      <c r="F70" s="11" t="s">
        <v>5878</v>
      </c>
      <c r="G70" s="10" t="s">
        <v>266</v>
      </c>
      <c r="H70" s="13" t="s">
        <v>5879</v>
      </c>
      <c r="I70" s="14" t="s">
        <v>5880</v>
      </c>
      <c r="J70" s="15" t="s">
        <v>5881</v>
      </c>
      <c r="K70" s="16" t="s">
        <v>82</v>
      </c>
      <c r="L70" s="17"/>
      <c r="M70" s="17"/>
      <c r="N70" s="17"/>
      <c r="O70" s="17"/>
      <c r="P70" s="18"/>
      <c r="Q70" s="16" t="s">
        <v>83</v>
      </c>
      <c r="R70" s="18"/>
    </row>
    <row r="71" spans="1:18" ht="16.5" customHeight="1">
      <c r="A71" s="10">
        <v>70</v>
      </c>
      <c r="B71" s="10">
        <v>5</v>
      </c>
      <c r="C71" s="10">
        <v>18</v>
      </c>
      <c r="D71" s="11" t="s">
        <v>5875</v>
      </c>
      <c r="E71" s="19" t="s">
        <v>5878</v>
      </c>
      <c r="F71" s="11" t="s">
        <v>5882</v>
      </c>
      <c r="G71" s="10" t="s">
        <v>5751</v>
      </c>
      <c r="H71" s="13" t="s">
        <v>5883</v>
      </c>
      <c r="I71" s="14" t="s">
        <v>5884</v>
      </c>
      <c r="J71" s="15" t="s">
        <v>5885</v>
      </c>
      <c r="K71" s="16" t="s">
        <v>82</v>
      </c>
      <c r="L71" s="17"/>
      <c r="M71" s="17"/>
      <c r="N71" s="17"/>
      <c r="O71" s="17"/>
      <c r="P71" s="18"/>
      <c r="Q71" s="16" t="s">
        <v>83</v>
      </c>
      <c r="R71" s="18"/>
    </row>
    <row r="72" spans="1:18" ht="16.5" customHeight="1">
      <c r="A72" s="10">
        <v>71</v>
      </c>
      <c r="B72" s="10">
        <v>5</v>
      </c>
      <c r="C72" s="10">
        <v>19</v>
      </c>
      <c r="D72" s="11" t="s">
        <v>5878</v>
      </c>
      <c r="E72" s="12" t="s">
        <v>5882</v>
      </c>
      <c r="F72" s="11" t="s">
        <v>5886</v>
      </c>
      <c r="G72" s="10"/>
      <c r="H72" s="13" t="s">
        <v>5887</v>
      </c>
      <c r="I72" s="14" t="s">
        <v>5888</v>
      </c>
      <c r="J72" s="15" t="s">
        <v>5889</v>
      </c>
      <c r="K72" s="16" t="s">
        <v>82</v>
      </c>
      <c r="L72" s="17"/>
      <c r="M72" s="17"/>
      <c r="N72" s="17"/>
      <c r="O72" s="17"/>
      <c r="P72" s="18"/>
      <c r="Q72" s="16" t="s">
        <v>83</v>
      </c>
      <c r="R72" s="18"/>
    </row>
    <row r="73" spans="1:18" ht="16.5" customHeight="1">
      <c r="A73" s="10">
        <v>72</v>
      </c>
      <c r="B73" s="10">
        <v>5</v>
      </c>
      <c r="C73" s="10">
        <v>24</v>
      </c>
      <c r="D73" s="11" t="s">
        <v>5890</v>
      </c>
      <c r="E73" s="12" t="s">
        <v>5891</v>
      </c>
      <c r="F73" s="11" t="s">
        <v>5892</v>
      </c>
      <c r="G73" s="10"/>
      <c r="H73" s="13" t="s">
        <v>5893</v>
      </c>
      <c r="I73" s="14" t="s">
        <v>5894</v>
      </c>
      <c r="J73" s="15" t="s">
        <v>5895</v>
      </c>
      <c r="K73" s="16" t="s">
        <v>82</v>
      </c>
      <c r="L73" s="17"/>
      <c r="M73" s="17"/>
      <c r="N73" s="17"/>
      <c r="O73" s="17"/>
      <c r="P73" s="18"/>
      <c r="Q73" s="16" t="s">
        <v>83</v>
      </c>
      <c r="R73" s="18"/>
    </row>
    <row r="74" spans="1:18" ht="26.25" customHeight="1">
      <c r="A74" s="10">
        <v>73</v>
      </c>
      <c r="B74" s="10">
        <v>5</v>
      </c>
      <c r="C74" s="10">
        <v>25</v>
      </c>
      <c r="D74" s="11" t="s">
        <v>5891</v>
      </c>
      <c r="E74" s="19" t="s">
        <v>5892</v>
      </c>
      <c r="F74" s="11" t="s">
        <v>5896</v>
      </c>
      <c r="G74" s="10" t="s">
        <v>133</v>
      </c>
      <c r="H74" s="13" t="s">
        <v>5897</v>
      </c>
      <c r="I74" s="14" t="s">
        <v>5898</v>
      </c>
      <c r="J74" s="15" t="s">
        <v>5899</v>
      </c>
      <c r="K74" s="16" t="s">
        <v>82</v>
      </c>
      <c r="L74" s="17"/>
      <c r="M74" s="17"/>
      <c r="N74" s="17"/>
      <c r="O74" s="17"/>
      <c r="P74" s="18"/>
      <c r="Q74" s="16" t="s">
        <v>83</v>
      </c>
      <c r="R74" s="18"/>
    </row>
    <row r="75" spans="1:18" ht="16.5" customHeight="1">
      <c r="A75" s="10">
        <v>74</v>
      </c>
      <c r="B75" s="10">
        <v>5</v>
      </c>
      <c r="C75" s="10">
        <v>26</v>
      </c>
      <c r="D75" s="11" t="s">
        <v>5892</v>
      </c>
      <c r="E75" s="12" t="s">
        <v>5896</v>
      </c>
      <c r="F75" s="11" t="s">
        <v>5900</v>
      </c>
      <c r="G75" s="10"/>
      <c r="H75" s="13" t="s">
        <v>5901</v>
      </c>
      <c r="I75" s="14" t="s">
        <v>5902</v>
      </c>
      <c r="J75" s="15" t="s">
        <v>5902</v>
      </c>
      <c r="K75" s="16" t="s">
        <v>82</v>
      </c>
      <c r="L75" s="17"/>
      <c r="M75" s="17"/>
      <c r="N75" s="17"/>
      <c r="O75" s="17"/>
      <c r="P75" s="18"/>
      <c r="Q75" s="16" t="s">
        <v>83</v>
      </c>
      <c r="R75" s="18"/>
    </row>
    <row r="76" spans="1:18" ht="16.5" customHeight="1">
      <c r="A76" s="10">
        <v>75</v>
      </c>
      <c r="B76" s="10">
        <v>5</v>
      </c>
      <c r="C76" s="10">
        <v>30</v>
      </c>
      <c r="D76" s="11" t="s">
        <v>5903</v>
      </c>
      <c r="E76" s="12" t="s">
        <v>5904</v>
      </c>
      <c r="F76" s="11"/>
      <c r="G76" s="10"/>
      <c r="H76" s="13" t="s">
        <v>5905</v>
      </c>
      <c r="I76" s="14" t="s">
        <v>5906</v>
      </c>
      <c r="J76" s="15" t="s">
        <v>5907</v>
      </c>
      <c r="K76" s="16" t="s">
        <v>82</v>
      </c>
      <c r="L76" s="17"/>
      <c r="M76" s="17"/>
      <c r="N76" s="17"/>
      <c r="O76" s="17"/>
      <c r="P76" s="18"/>
      <c r="Q76" s="16" t="s">
        <v>83</v>
      </c>
      <c r="R76" s="18"/>
    </row>
    <row r="77" spans="1:18" ht="16.5" customHeight="1">
      <c r="A77" s="10">
        <v>76</v>
      </c>
      <c r="B77" s="10">
        <v>6</v>
      </c>
      <c r="C77" s="10">
        <v>1</v>
      </c>
      <c r="D77" s="11"/>
      <c r="E77" s="19" t="s">
        <v>5908</v>
      </c>
      <c r="F77" s="11" t="s">
        <v>5909</v>
      </c>
      <c r="G77" s="10" t="s">
        <v>2496</v>
      </c>
      <c r="H77" s="13" t="s">
        <v>5910</v>
      </c>
      <c r="I77" s="14" t="s">
        <v>5911</v>
      </c>
      <c r="J77" s="15" t="s">
        <v>5912</v>
      </c>
      <c r="K77" s="16" t="s">
        <v>82</v>
      </c>
      <c r="L77" s="17"/>
      <c r="M77" s="17"/>
      <c r="N77" s="17"/>
      <c r="O77" s="17"/>
      <c r="P77" s="18"/>
      <c r="Q77" s="16" t="s">
        <v>83</v>
      </c>
      <c r="R77" s="18"/>
    </row>
    <row r="78" spans="1:18" ht="16.5" customHeight="1">
      <c r="A78" s="10">
        <v>77</v>
      </c>
      <c r="B78" s="10">
        <v>6</v>
      </c>
      <c r="C78" s="10">
        <v>2</v>
      </c>
      <c r="D78" s="11" t="s">
        <v>5908</v>
      </c>
      <c r="E78" s="12" t="s">
        <v>5909</v>
      </c>
      <c r="F78" s="11" t="s">
        <v>5913</v>
      </c>
      <c r="G78" s="10"/>
      <c r="H78" s="13" t="s">
        <v>5914</v>
      </c>
      <c r="I78" s="14" t="s">
        <v>5915</v>
      </c>
      <c r="J78" s="15" t="s">
        <v>5915</v>
      </c>
      <c r="K78" s="16" t="s">
        <v>82</v>
      </c>
      <c r="L78" s="17"/>
      <c r="M78" s="17"/>
      <c r="N78" s="17"/>
      <c r="O78" s="17"/>
      <c r="P78" s="18"/>
      <c r="Q78" s="16" t="s">
        <v>83</v>
      </c>
      <c r="R78" s="18"/>
    </row>
    <row r="79" spans="1:18" ht="16.5" customHeight="1">
      <c r="A79" s="10">
        <v>78</v>
      </c>
      <c r="B79" s="10">
        <v>6</v>
      </c>
      <c r="C79" s="10">
        <v>10</v>
      </c>
      <c r="D79" s="11" t="s">
        <v>5916</v>
      </c>
      <c r="E79" s="12" t="s">
        <v>5917</v>
      </c>
      <c r="F79" s="11" t="s">
        <v>5918</v>
      </c>
      <c r="G79" s="10"/>
      <c r="H79" s="13" t="s">
        <v>5919</v>
      </c>
      <c r="I79" s="14" t="s">
        <v>5920</v>
      </c>
      <c r="J79" s="15" t="s">
        <v>5921</v>
      </c>
      <c r="K79" s="16" t="s">
        <v>82</v>
      </c>
      <c r="L79" s="17"/>
      <c r="M79" s="17"/>
      <c r="N79" s="17"/>
      <c r="O79" s="17"/>
      <c r="P79" s="18"/>
      <c r="Q79" s="16" t="s">
        <v>83</v>
      </c>
      <c r="R79" s="18"/>
    </row>
    <row r="80" spans="1:18" ht="16.5" customHeight="1">
      <c r="A80" s="10">
        <v>79</v>
      </c>
      <c r="B80" s="10">
        <v>6</v>
      </c>
      <c r="C80" s="10">
        <v>11</v>
      </c>
      <c r="D80" s="11" t="s">
        <v>5917</v>
      </c>
      <c r="E80" s="19" t="s">
        <v>5918</v>
      </c>
      <c r="F80" s="11" t="s">
        <v>5922</v>
      </c>
      <c r="G80" s="10" t="s">
        <v>569</v>
      </c>
      <c r="H80" s="13" t="s">
        <v>3766</v>
      </c>
      <c r="I80" s="14" t="s">
        <v>5923</v>
      </c>
      <c r="J80" s="15" t="s">
        <v>5924</v>
      </c>
      <c r="K80" s="16" t="s">
        <v>82</v>
      </c>
      <c r="L80" s="17"/>
      <c r="M80" s="17"/>
      <c r="N80" s="17"/>
      <c r="O80" s="17"/>
      <c r="P80" s="18"/>
      <c r="Q80" s="16" t="s">
        <v>83</v>
      </c>
      <c r="R80" s="18"/>
    </row>
    <row r="81" spans="1:18" ht="26.25" customHeight="1">
      <c r="A81" s="10">
        <v>80</v>
      </c>
      <c r="B81" s="10">
        <v>6</v>
      </c>
      <c r="C81" s="10">
        <v>12</v>
      </c>
      <c r="D81" s="11" t="s">
        <v>5918</v>
      </c>
      <c r="E81" s="12" t="s">
        <v>5922</v>
      </c>
      <c r="F81" s="11" t="s">
        <v>5925</v>
      </c>
      <c r="G81" s="10"/>
      <c r="H81" s="13" t="s">
        <v>5926</v>
      </c>
      <c r="I81" s="14" t="s">
        <v>5927</v>
      </c>
      <c r="J81" s="15" t="s">
        <v>5928</v>
      </c>
      <c r="K81" s="16" t="s">
        <v>82</v>
      </c>
      <c r="L81" s="17"/>
      <c r="M81" s="17"/>
      <c r="N81" s="17"/>
      <c r="O81" s="17"/>
      <c r="P81" s="18"/>
      <c r="Q81" s="16" t="s">
        <v>83</v>
      </c>
      <c r="R81" s="18"/>
    </row>
    <row r="82" spans="1:18" ht="16.5" customHeight="1">
      <c r="A82" s="10">
        <v>81</v>
      </c>
      <c r="B82" s="10">
        <v>6</v>
      </c>
      <c r="C82" s="10">
        <v>13</v>
      </c>
      <c r="D82" s="11" t="s">
        <v>5922</v>
      </c>
      <c r="E82" s="19" t="s">
        <v>5925</v>
      </c>
      <c r="F82" s="11" t="s">
        <v>5929</v>
      </c>
      <c r="G82" s="10" t="s">
        <v>320</v>
      </c>
      <c r="H82" s="13" t="s">
        <v>5930</v>
      </c>
      <c r="I82" s="14" t="s">
        <v>5931</v>
      </c>
      <c r="J82" s="15" t="s">
        <v>5932</v>
      </c>
      <c r="K82" s="16" t="s">
        <v>82</v>
      </c>
      <c r="L82" s="17"/>
      <c r="M82" s="17"/>
      <c r="N82" s="17"/>
      <c r="O82" s="17"/>
      <c r="P82" s="18"/>
      <c r="Q82" s="16" t="s">
        <v>83</v>
      </c>
      <c r="R82" s="18"/>
    </row>
    <row r="83" spans="1:18" ht="16.5" customHeight="1">
      <c r="A83" s="10">
        <v>82</v>
      </c>
      <c r="B83" s="10">
        <v>6</v>
      </c>
      <c r="C83" s="10">
        <v>14</v>
      </c>
      <c r="D83" s="11" t="s">
        <v>5925</v>
      </c>
      <c r="E83" s="12" t="s">
        <v>5929</v>
      </c>
      <c r="F83" s="11"/>
      <c r="G83" s="10"/>
      <c r="H83" s="13" t="s">
        <v>5933</v>
      </c>
      <c r="I83" s="14" t="s">
        <v>5934</v>
      </c>
      <c r="J83" s="15" t="s">
        <v>5935</v>
      </c>
      <c r="K83" s="16" t="s">
        <v>82</v>
      </c>
      <c r="L83" s="17"/>
      <c r="M83" s="17"/>
      <c r="N83" s="17"/>
      <c r="O83" s="17"/>
      <c r="P83" s="18"/>
      <c r="Q83" s="16" t="s">
        <v>83</v>
      </c>
      <c r="R83" s="18"/>
    </row>
    <row r="84" spans="1:18" ht="26.25" customHeight="1">
      <c r="A84" s="10">
        <v>83</v>
      </c>
      <c r="B84" s="10">
        <v>7</v>
      </c>
      <c r="C84" s="10">
        <v>1</v>
      </c>
      <c r="D84" s="11"/>
      <c r="E84" s="12" t="s">
        <v>5936</v>
      </c>
      <c r="F84" s="11" t="s">
        <v>5937</v>
      </c>
      <c r="G84" s="10"/>
      <c r="H84" s="13" t="s">
        <v>5938</v>
      </c>
      <c r="I84" s="14" t="s">
        <v>5939</v>
      </c>
      <c r="J84" s="15" t="s">
        <v>5939</v>
      </c>
      <c r="K84" s="16" t="s">
        <v>82</v>
      </c>
      <c r="L84" s="17"/>
      <c r="M84" s="17"/>
      <c r="N84" s="17"/>
      <c r="O84" s="17"/>
      <c r="P84" s="18"/>
      <c r="Q84" s="16" t="s">
        <v>83</v>
      </c>
      <c r="R84" s="18"/>
    </row>
    <row r="85" spans="1:18" ht="16.5" customHeight="1">
      <c r="A85" s="10">
        <v>84</v>
      </c>
      <c r="B85" s="10">
        <v>7</v>
      </c>
      <c r="C85" s="10">
        <v>2</v>
      </c>
      <c r="D85" s="11" t="s">
        <v>5936</v>
      </c>
      <c r="E85" s="19" t="s">
        <v>5937</v>
      </c>
      <c r="F85" s="11" t="s">
        <v>5940</v>
      </c>
      <c r="G85" s="10" t="s">
        <v>5643</v>
      </c>
      <c r="H85" s="13" t="s">
        <v>5941</v>
      </c>
      <c r="I85" s="14" t="s">
        <v>5942</v>
      </c>
      <c r="J85" s="15" t="s">
        <v>5943</v>
      </c>
      <c r="K85" s="16" t="s">
        <v>89</v>
      </c>
      <c r="L85" s="17" t="s">
        <v>155</v>
      </c>
      <c r="M85" s="17" t="s">
        <v>91</v>
      </c>
      <c r="N85" s="17" t="s">
        <v>5643</v>
      </c>
      <c r="O85" s="17" t="s">
        <v>5647</v>
      </c>
      <c r="P85" s="18" t="s">
        <v>5648</v>
      </c>
      <c r="Q85" s="16" t="s">
        <v>113</v>
      </c>
      <c r="R85" s="18"/>
    </row>
    <row r="86" spans="1:18" ht="16.5" customHeight="1">
      <c r="A86" s="10">
        <v>85</v>
      </c>
      <c r="B86" s="10">
        <v>7</v>
      </c>
      <c r="C86" s="10">
        <v>3</v>
      </c>
      <c r="D86" s="11" t="s">
        <v>5937</v>
      </c>
      <c r="E86" s="12" t="s">
        <v>5940</v>
      </c>
      <c r="F86" s="11" t="s">
        <v>5944</v>
      </c>
      <c r="G86" s="10"/>
      <c r="H86" s="13" t="s">
        <v>5945</v>
      </c>
      <c r="I86" s="14" t="s">
        <v>5946</v>
      </c>
      <c r="J86" s="15" t="s">
        <v>5946</v>
      </c>
      <c r="K86" s="16" t="s">
        <v>82</v>
      </c>
      <c r="L86" s="17"/>
      <c r="M86" s="17"/>
      <c r="N86" s="17"/>
      <c r="O86" s="17"/>
      <c r="P86" s="18"/>
      <c r="Q86" s="16" t="s">
        <v>83</v>
      </c>
      <c r="R86" s="18"/>
    </row>
    <row r="87" spans="1:18" ht="16.5" customHeight="1">
      <c r="A87" s="10">
        <v>86</v>
      </c>
      <c r="B87" s="10">
        <v>7</v>
      </c>
      <c r="C87" s="10">
        <v>4</v>
      </c>
      <c r="D87" s="11" t="s">
        <v>5940</v>
      </c>
      <c r="E87" s="12" t="s">
        <v>5944</v>
      </c>
      <c r="F87" s="11" t="s">
        <v>5947</v>
      </c>
      <c r="G87" s="10"/>
      <c r="H87" s="13" t="s">
        <v>5097</v>
      </c>
      <c r="I87" s="14" t="s">
        <v>5948</v>
      </c>
      <c r="J87" s="15" t="s">
        <v>5949</v>
      </c>
      <c r="K87" s="16" t="s">
        <v>82</v>
      </c>
      <c r="L87" s="17"/>
      <c r="M87" s="17"/>
      <c r="N87" s="17"/>
      <c r="O87" s="17"/>
      <c r="P87" s="18"/>
      <c r="Q87" s="16" t="s">
        <v>83</v>
      </c>
      <c r="R87" s="18"/>
    </row>
    <row r="88" spans="1:18" ht="16.5" customHeight="1">
      <c r="A88" s="10">
        <v>87</v>
      </c>
      <c r="B88" s="10">
        <v>7</v>
      </c>
      <c r="C88" s="10">
        <v>5</v>
      </c>
      <c r="D88" s="11" t="s">
        <v>5944</v>
      </c>
      <c r="E88" s="19" t="s">
        <v>5947</v>
      </c>
      <c r="F88" s="11" t="s">
        <v>5950</v>
      </c>
      <c r="G88" s="10" t="s">
        <v>1957</v>
      </c>
      <c r="H88" s="13" t="s">
        <v>5951</v>
      </c>
      <c r="I88" s="14" t="s">
        <v>5952</v>
      </c>
      <c r="J88" s="15" t="s">
        <v>5952</v>
      </c>
      <c r="K88" s="16" t="s">
        <v>82</v>
      </c>
      <c r="L88" s="17"/>
      <c r="M88" s="17"/>
      <c r="N88" s="17"/>
      <c r="O88" s="17"/>
      <c r="P88" s="18"/>
      <c r="Q88" s="16" t="s">
        <v>83</v>
      </c>
      <c r="R88" s="18"/>
    </row>
    <row r="89" spans="1:18" ht="16.5" customHeight="1">
      <c r="A89" s="10">
        <v>88</v>
      </c>
      <c r="B89" s="10">
        <v>7</v>
      </c>
      <c r="C89" s="10">
        <v>6</v>
      </c>
      <c r="D89" s="11" t="s">
        <v>5947</v>
      </c>
      <c r="E89" s="12" t="s">
        <v>5950</v>
      </c>
      <c r="F89" s="11" t="s">
        <v>5953</v>
      </c>
      <c r="G89" s="10"/>
      <c r="H89" s="13" t="s">
        <v>5954</v>
      </c>
      <c r="I89" s="14" t="s">
        <v>5955</v>
      </c>
      <c r="J89" s="15" t="s">
        <v>5955</v>
      </c>
      <c r="K89" s="16" t="s">
        <v>82</v>
      </c>
      <c r="L89" s="17"/>
      <c r="M89" s="17"/>
      <c r="N89" s="17"/>
      <c r="O89" s="17"/>
      <c r="P89" s="18"/>
      <c r="Q89" s="16" t="s">
        <v>83</v>
      </c>
      <c r="R89" s="18"/>
    </row>
    <row r="90" spans="1:18" ht="16.5" customHeight="1">
      <c r="A90" s="10">
        <v>89</v>
      </c>
      <c r="B90" s="10">
        <v>7</v>
      </c>
      <c r="C90" s="10">
        <v>20</v>
      </c>
      <c r="D90" s="11" t="s">
        <v>5956</v>
      </c>
      <c r="E90" s="12" t="s">
        <v>5957</v>
      </c>
      <c r="F90" s="11" t="s">
        <v>5958</v>
      </c>
      <c r="G90" s="10"/>
      <c r="H90" s="13" t="s">
        <v>5959</v>
      </c>
      <c r="I90" s="14" t="s">
        <v>5960</v>
      </c>
      <c r="J90" s="15" t="s">
        <v>5961</v>
      </c>
      <c r="K90" s="16" t="s">
        <v>82</v>
      </c>
      <c r="L90" s="17"/>
      <c r="M90" s="17"/>
      <c r="N90" s="17"/>
      <c r="O90" s="17"/>
      <c r="P90" s="18"/>
      <c r="Q90" s="16" t="s">
        <v>83</v>
      </c>
      <c r="R90" s="18"/>
    </row>
    <row r="91" spans="1:18" ht="26.25" customHeight="1">
      <c r="A91" s="10">
        <v>90</v>
      </c>
      <c r="B91" s="10">
        <v>7</v>
      </c>
      <c r="C91" s="10">
        <v>21</v>
      </c>
      <c r="D91" s="11" t="s">
        <v>5957</v>
      </c>
      <c r="E91" s="19" t="s">
        <v>5958</v>
      </c>
      <c r="F91" s="11" t="s">
        <v>5962</v>
      </c>
      <c r="G91" s="10" t="s">
        <v>133</v>
      </c>
      <c r="H91" s="13" t="s">
        <v>5963</v>
      </c>
      <c r="I91" s="14" t="s">
        <v>5964</v>
      </c>
      <c r="J91" s="15" t="s">
        <v>5965</v>
      </c>
      <c r="K91" s="16" t="s">
        <v>82</v>
      </c>
      <c r="L91" s="17"/>
      <c r="M91" s="17"/>
      <c r="N91" s="17"/>
      <c r="O91" s="17"/>
      <c r="P91" s="18"/>
      <c r="Q91" s="16" t="s">
        <v>83</v>
      </c>
      <c r="R91" s="18"/>
    </row>
    <row r="92" spans="1:18" ht="16.5" customHeight="1">
      <c r="A92" s="10">
        <v>91</v>
      </c>
      <c r="B92" s="10">
        <v>7</v>
      </c>
      <c r="C92" s="10">
        <v>22</v>
      </c>
      <c r="D92" s="11" t="s">
        <v>5958</v>
      </c>
      <c r="E92" s="12" t="s">
        <v>5962</v>
      </c>
      <c r="F92" s="11" t="s">
        <v>5966</v>
      </c>
      <c r="G92" s="10"/>
      <c r="H92" s="13" t="s">
        <v>5967</v>
      </c>
      <c r="I92" s="14" t="s">
        <v>5968</v>
      </c>
      <c r="J92" s="15" t="s">
        <v>5969</v>
      </c>
      <c r="K92" s="16" t="s">
        <v>82</v>
      </c>
      <c r="L92" s="17"/>
      <c r="M92" s="17"/>
      <c r="N92" s="17"/>
      <c r="O92" s="17"/>
      <c r="P92" s="18"/>
      <c r="Q92" s="16" t="s">
        <v>83</v>
      </c>
      <c r="R92" s="18"/>
    </row>
    <row r="93" spans="1:18" ht="16.5" customHeight="1">
      <c r="A93" s="10">
        <v>92</v>
      </c>
      <c r="B93" s="10">
        <v>7</v>
      </c>
      <c r="C93" s="10">
        <v>26</v>
      </c>
      <c r="D93" s="11" t="s">
        <v>5970</v>
      </c>
      <c r="E93" s="12" t="s">
        <v>5971</v>
      </c>
      <c r="F93" s="11" t="s">
        <v>5972</v>
      </c>
      <c r="G93" s="10"/>
      <c r="H93" s="13" t="s">
        <v>629</v>
      </c>
      <c r="I93" s="14" t="s">
        <v>5973</v>
      </c>
      <c r="J93" s="15" t="s">
        <v>5974</v>
      </c>
      <c r="K93" s="16" t="s">
        <v>82</v>
      </c>
      <c r="L93" s="17"/>
      <c r="M93" s="17"/>
      <c r="N93" s="17"/>
      <c r="O93" s="17"/>
      <c r="P93" s="18"/>
      <c r="Q93" s="16" t="s">
        <v>83</v>
      </c>
      <c r="R93" s="18"/>
    </row>
    <row r="94" spans="1:18" ht="26.25" customHeight="1">
      <c r="A94" s="10">
        <v>93</v>
      </c>
      <c r="B94" s="10">
        <v>7</v>
      </c>
      <c r="C94" s="10">
        <v>27</v>
      </c>
      <c r="D94" s="11" t="s">
        <v>5971</v>
      </c>
      <c r="E94" s="19" t="s">
        <v>5972</v>
      </c>
      <c r="F94" s="11" t="s">
        <v>5975</v>
      </c>
      <c r="G94" s="10" t="s">
        <v>305</v>
      </c>
      <c r="H94" s="13" t="s">
        <v>5976</v>
      </c>
      <c r="I94" s="14" t="s">
        <v>5977</v>
      </c>
      <c r="J94" s="15" t="s">
        <v>5978</v>
      </c>
      <c r="K94" s="16" t="s">
        <v>89</v>
      </c>
      <c r="L94" s="17" t="s">
        <v>155</v>
      </c>
      <c r="M94" s="17" t="s">
        <v>164</v>
      </c>
      <c r="N94" s="17" t="s">
        <v>5979</v>
      </c>
      <c r="O94" s="17" t="s">
        <v>5980</v>
      </c>
      <c r="P94" s="18" t="s">
        <v>5981</v>
      </c>
      <c r="Q94" s="16" t="s">
        <v>83</v>
      </c>
      <c r="R94" s="18"/>
    </row>
    <row r="95" spans="1:18" ht="16.5" customHeight="1">
      <c r="A95" s="10">
        <v>94</v>
      </c>
      <c r="B95" s="10">
        <v>7</v>
      </c>
      <c r="C95" s="10">
        <v>28</v>
      </c>
      <c r="D95" s="11" t="s">
        <v>5972</v>
      </c>
      <c r="E95" s="12" t="s">
        <v>5975</v>
      </c>
      <c r="F95" s="11" t="s">
        <v>5982</v>
      </c>
      <c r="G95" s="10"/>
      <c r="H95" s="13" t="s">
        <v>5983</v>
      </c>
      <c r="I95" s="14" t="s">
        <v>5984</v>
      </c>
      <c r="J95" s="15" t="s">
        <v>5984</v>
      </c>
      <c r="K95" s="16" t="s">
        <v>82</v>
      </c>
      <c r="L95" s="17"/>
      <c r="M95" s="17"/>
      <c r="N95" s="17"/>
      <c r="O95" s="17"/>
      <c r="P95" s="18"/>
      <c r="Q95" s="16" t="s">
        <v>83</v>
      </c>
      <c r="R95" s="18"/>
    </row>
    <row r="96" spans="1:18" ht="16.5" customHeight="1">
      <c r="A96" s="10">
        <v>95</v>
      </c>
      <c r="B96" s="10">
        <v>8</v>
      </c>
      <c r="C96" s="10">
        <v>1</v>
      </c>
      <c r="D96" s="11"/>
      <c r="E96" s="12" t="s">
        <v>5985</v>
      </c>
      <c r="F96" s="11" t="s">
        <v>5986</v>
      </c>
      <c r="G96" s="10"/>
      <c r="H96" s="13" t="s">
        <v>5987</v>
      </c>
      <c r="I96" s="14" t="s">
        <v>5988</v>
      </c>
      <c r="J96" s="15" t="s">
        <v>5989</v>
      </c>
      <c r="K96" s="16" t="s">
        <v>82</v>
      </c>
      <c r="L96" s="17"/>
      <c r="M96" s="17"/>
      <c r="N96" s="17"/>
      <c r="O96" s="17"/>
      <c r="P96" s="18"/>
      <c r="Q96" s="16" t="s">
        <v>83</v>
      </c>
      <c r="R96" s="18"/>
    </row>
    <row r="97" spans="1:18" ht="16.5" customHeight="1">
      <c r="A97" s="10">
        <v>96</v>
      </c>
      <c r="B97" s="10">
        <v>8</v>
      </c>
      <c r="C97" s="10">
        <v>2</v>
      </c>
      <c r="D97" s="11" t="s">
        <v>5985</v>
      </c>
      <c r="E97" s="19" t="s">
        <v>5986</v>
      </c>
      <c r="F97" s="11" t="s">
        <v>5990</v>
      </c>
      <c r="G97" s="10" t="s">
        <v>160</v>
      </c>
      <c r="H97" s="13" t="s">
        <v>5991</v>
      </c>
      <c r="I97" s="14" t="s">
        <v>5992</v>
      </c>
      <c r="J97" s="15" t="s">
        <v>5993</v>
      </c>
      <c r="K97" s="16" t="s">
        <v>82</v>
      </c>
      <c r="L97" s="17"/>
      <c r="M97" s="17"/>
      <c r="N97" s="17"/>
      <c r="O97" s="17"/>
      <c r="P97" s="18"/>
      <c r="Q97" s="16" t="s">
        <v>83</v>
      </c>
      <c r="R97" s="18"/>
    </row>
    <row r="98" spans="1:18" ht="16.5" customHeight="1">
      <c r="A98" s="10">
        <v>97</v>
      </c>
      <c r="B98" s="10">
        <v>8</v>
      </c>
      <c r="C98" s="10">
        <v>3</v>
      </c>
      <c r="D98" s="11" t="s">
        <v>5986</v>
      </c>
      <c r="E98" s="19" t="s">
        <v>5990</v>
      </c>
      <c r="F98" s="11" t="s">
        <v>5994</v>
      </c>
      <c r="G98" s="10" t="s">
        <v>5995</v>
      </c>
      <c r="H98" s="13" t="s">
        <v>5996</v>
      </c>
      <c r="I98" s="14" t="s">
        <v>5997</v>
      </c>
      <c r="J98" s="15" t="s">
        <v>5998</v>
      </c>
      <c r="K98" s="16" t="s">
        <v>89</v>
      </c>
      <c r="L98" s="17" t="s">
        <v>222</v>
      </c>
      <c r="M98" s="17" t="s">
        <v>91</v>
      </c>
      <c r="N98" s="17" t="s">
        <v>5999</v>
      </c>
      <c r="O98" s="17" t="s">
        <v>6000</v>
      </c>
      <c r="P98" s="18" t="s">
        <v>6001</v>
      </c>
      <c r="Q98" s="16" t="s">
        <v>83</v>
      </c>
      <c r="R98" s="18"/>
    </row>
    <row r="99" spans="1:18" ht="16.5" customHeight="1">
      <c r="A99" s="10">
        <v>98</v>
      </c>
      <c r="B99" s="10">
        <v>8</v>
      </c>
      <c r="C99" s="10">
        <v>4</v>
      </c>
      <c r="D99" s="11" t="s">
        <v>5990</v>
      </c>
      <c r="E99" s="19" t="s">
        <v>5994</v>
      </c>
      <c r="F99" s="11" t="s">
        <v>6002</v>
      </c>
      <c r="G99" s="10" t="s">
        <v>160</v>
      </c>
      <c r="H99" s="13" t="s">
        <v>6003</v>
      </c>
      <c r="I99" s="14" t="s">
        <v>6004</v>
      </c>
      <c r="J99" s="15" t="s">
        <v>6005</v>
      </c>
      <c r="K99" s="16" t="s">
        <v>89</v>
      </c>
      <c r="L99" s="17" t="s">
        <v>128</v>
      </c>
      <c r="M99" s="17" t="s">
        <v>91</v>
      </c>
      <c r="N99" s="17" t="s">
        <v>5846</v>
      </c>
      <c r="O99" s="17" t="s">
        <v>5847</v>
      </c>
      <c r="P99" s="18" t="s">
        <v>5848</v>
      </c>
      <c r="Q99" s="16" t="s">
        <v>83</v>
      </c>
      <c r="R99" s="18"/>
    </row>
    <row r="100" spans="1:18" ht="16.5" customHeight="1">
      <c r="A100" s="10">
        <v>99</v>
      </c>
      <c r="B100" s="10">
        <v>8</v>
      </c>
      <c r="C100" s="10">
        <v>5</v>
      </c>
      <c r="D100" s="11" t="s">
        <v>5994</v>
      </c>
      <c r="E100" s="12" t="s">
        <v>6002</v>
      </c>
      <c r="F100" s="11" t="s">
        <v>6006</v>
      </c>
      <c r="G100" s="10"/>
      <c r="H100" s="13" t="s">
        <v>6007</v>
      </c>
      <c r="I100" s="14" t="s">
        <v>6008</v>
      </c>
      <c r="J100" s="15" t="s">
        <v>6009</v>
      </c>
      <c r="K100" s="16" t="s">
        <v>89</v>
      </c>
      <c r="L100" s="17" t="s">
        <v>155</v>
      </c>
      <c r="M100" s="17" t="s">
        <v>91</v>
      </c>
      <c r="N100" s="17" t="s">
        <v>6010</v>
      </c>
      <c r="O100" s="17" t="s">
        <v>4573</v>
      </c>
      <c r="P100" s="18" t="s">
        <v>6011</v>
      </c>
      <c r="Q100" s="16" t="s">
        <v>83</v>
      </c>
      <c r="R100" s="18"/>
    </row>
    <row r="101" spans="1:18" ht="16.5" customHeight="1">
      <c r="A101" s="10">
        <v>100</v>
      </c>
      <c r="B101" s="10">
        <v>9</v>
      </c>
      <c r="C101" s="10">
        <v>20</v>
      </c>
      <c r="D101" s="11" t="s">
        <v>6012</v>
      </c>
      <c r="E101" s="12" t="s">
        <v>6013</v>
      </c>
      <c r="F101" s="11" t="s">
        <v>6014</v>
      </c>
      <c r="G101" s="10"/>
      <c r="H101" s="13" t="s">
        <v>262</v>
      </c>
      <c r="I101" s="14" t="s">
        <v>6015</v>
      </c>
      <c r="J101" s="15" t="s">
        <v>6015</v>
      </c>
      <c r="K101" s="16" t="s">
        <v>82</v>
      </c>
      <c r="L101" s="17"/>
      <c r="M101" s="17"/>
      <c r="N101" s="17"/>
      <c r="O101" s="17"/>
      <c r="P101" s="18"/>
      <c r="Q101" s="16" t="s">
        <v>83</v>
      </c>
      <c r="R101" s="18"/>
    </row>
    <row r="102" spans="1:18" ht="16.5" customHeight="1">
      <c r="A102" s="10">
        <v>101</v>
      </c>
      <c r="B102" s="10">
        <v>9</v>
      </c>
      <c r="C102" s="10">
        <v>21</v>
      </c>
      <c r="D102" s="11" t="s">
        <v>6013</v>
      </c>
      <c r="E102" s="19" t="s">
        <v>6014</v>
      </c>
      <c r="F102" s="11" t="s">
        <v>6016</v>
      </c>
      <c r="G102" s="10" t="s">
        <v>106</v>
      </c>
      <c r="H102" s="13" t="s">
        <v>6017</v>
      </c>
      <c r="I102" s="14" t="s">
        <v>6018</v>
      </c>
      <c r="J102" s="15" t="s">
        <v>6019</v>
      </c>
      <c r="K102" s="16" t="s">
        <v>82</v>
      </c>
      <c r="L102" s="17"/>
      <c r="M102" s="17"/>
      <c r="N102" s="17"/>
      <c r="O102" s="17"/>
      <c r="P102" s="18"/>
      <c r="Q102" s="16" t="s">
        <v>83</v>
      </c>
      <c r="R102" s="18"/>
    </row>
    <row r="103" spans="1:18" ht="16.5" customHeight="1">
      <c r="A103" s="10">
        <v>102</v>
      </c>
      <c r="B103" s="10">
        <v>9</v>
      </c>
      <c r="C103" s="10">
        <v>22</v>
      </c>
      <c r="D103" s="11" t="s">
        <v>6014</v>
      </c>
      <c r="E103" s="12" t="s">
        <v>6016</v>
      </c>
      <c r="F103" s="11" t="s">
        <v>6020</v>
      </c>
      <c r="G103" s="10"/>
      <c r="H103" s="13" t="s">
        <v>3625</v>
      </c>
      <c r="I103" s="14" t="s">
        <v>6021</v>
      </c>
      <c r="J103" s="15" t="s">
        <v>6021</v>
      </c>
      <c r="K103" s="16" t="s">
        <v>82</v>
      </c>
      <c r="L103" s="17"/>
      <c r="M103" s="17"/>
      <c r="N103" s="17"/>
      <c r="O103" s="17"/>
      <c r="P103" s="18"/>
      <c r="Q103" s="16" t="s">
        <v>83</v>
      </c>
      <c r="R103" s="18"/>
    </row>
    <row r="104" spans="1:18" ht="16.5" customHeight="1">
      <c r="A104" s="10">
        <v>103</v>
      </c>
      <c r="B104" s="10">
        <v>9</v>
      </c>
      <c r="C104" s="10">
        <v>23</v>
      </c>
      <c r="D104" s="11" t="s">
        <v>6016</v>
      </c>
      <c r="E104" s="19" t="s">
        <v>6020</v>
      </c>
      <c r="F104" s="11" t="s">
        <v>6022</v>
      </c>
      <c r="G104" s="10" t="s">
        <v>6023</v>
      </c>
      <c r="H104" s="13" t="s">
        <v>6024</v>
      </c>
      <c r="I104" s="14" t="s">
        <v>6025</v>
      </c>
      <c r="J104" s="15" t="s">
        <v>6026</v>
      </c>
      <c r="K104" s="16" t="s">
        <v>89</v>
      </c>
      <c r="L104" s="17" t="s">
        <v>155</v>
      </c>
      <c r="M104" s="17" t="s">
        <v>91</v>
      </c>
      <c r="N104" s="17" t="s">
        <v>6027</v>
      </c>
      <c r="O104" s="17" t="s">
        <v>6028</v>
      </c>
      <c r="P104" s="18" t="s">
        <v>6029</v>
      </c>
      <c r="Q104" s="16" t="s">
        <v>83</v>
      </c>
      <c r="R104" s="18"/>
    </row>
    <row r="105" spans="1:18" ht="16.5" customHeight="1">
      <c r="A105" s="10">
        <v>104</v>
      </c>
      <c r="B105" s="10">
        <v>9</v>
      </c>
      <c r="C105" s="10">
        <v>24</v>
      </c>
      <c r="D105" s="11" t="s">
        <v>6020</v>
      </c>
      <c r="E105" s="12" t="s">
        <v>6022</v>
      </c>
      <c r="F105" s="11" t="s">
        <v>6030</v>
      </c>
      <c r="G105" s="10"/>
      <c r="H105" s="13" t="s">
        <v>2501</v>
      </c>
      <c r="I105" s="14" t="s">
        <v>6031</v>
      </c>
      <c r="J105" s="15" t="s">
        <v>6032</v>
      </c>
      <c r="K105" s="16" t="s">
        <v>82</v>
      </c>
      <c r="L105" s="17"/>
      <c r="M105" s="17"/>
      <c r="N105" s="17"/>
      <c r="O105" s="17"/>
      <c r="P105" s="18"/>
      <c r="Q105" s="16" t="s">
        <v>83</v>
      </c>
      <c r="R105" s="18"/>
    </row>
    <row r="106" spans="1:18" ht="16.5" customHeight="1">
      <c r="A106" s="10">
        <v>105</v>
      </c>
      <c r="B106" s="10">
        <v>9</v>
      </c>
      <c r="C106" s="10">
        <v>27</v>
      </c>
      <c r="D106" s="11" t="s">
        <v>6033</v>
      </c>
      <c r="E106" s="12" t="s">
        <v>6034</v>
      </c>
      <c r="F106" s="11" t="s">
        <v>6035</v>
      </c>
      <c r="G106" s="10"/>
      <c r="H106" s="13" t="s">
        <v>6036</v>
      </c>
      <c r="I106" s="14" t="s">
        <v>6037</v>
      </c>
      <c r="J106" s="15" t="s">
        <v>6037</v>
      </c>
      <c r="K106" s="16" t="s">
        <v>82</v>
      </c>
      <c r="L106" s="17"/>
      <c r="M106" s="17"/>
      <c r="N106" s="17"/>
      <c r="O106" s="17"/>
      <c r="P106" s="18"/>
      <c r="Q106" s="16" t="s">
        <v>83</v>
      </c>
      <c r="R106" s="18"/>
    </row>
    <row r="107" spans="1:18" ht="16.5" customHeight="1">
      <c r="A107" s="10">
        <v>106</v>
      </c>
      <c r="B107" s="10">
        <v>9</v>
      </c>
      <c r="C107" s="10">
        <v>28</v>
      </c>
      <c r="D107" s="11" t="s">
        <v>6034</v>
      </c>
      <c r="E107" s="19" t="s">
        <v>6035</v>
      </c>
      <c r="F107" s="11" t="s">
        <v>6038</v>
      </c>
      <c r="G107" s="10" t="s">
        <v>106</v>
      </c>
      <c r="H107" s="13" t="s">
        <v>6039</v>
      </c>
      <c r="I107" s="14" t="s">
        <v>6040</v>
      </c>
      <c r="J107" s="15" t="s">
        <v>6040</v>
      </c>
      <c r="K107" s="16" t="s">
        <v>82</v>
      </c>
      <c r="L107" s="17"/>
      <c r="M107" s="17"/>
      <c r="N107" s="17"/>
      <c r="O107" s="17"/>
      <c r="P107" s="18"/>
      <c r="Q107" s="16" t="s">
        <v>83</v>
      </c>
      <c r="R107" s="18"/>
    </row>
    <row r="108" spans="1:18" ht="16.5" customHeight="1">
      <c r="A108" s="10">
        <v>107</v>
      </c>
      <c r="B108" s="10">
        <v>9</v>
      </c>
      <c r="C108" s="10">
        <v>29</v>
      </c>
      <c r="D108" s="11" t="s">
        <v>6035</v>
      </c>
      <c r="E108" s="12" t="s">
        <v>6038</v>
      </c>
      <c r="F108" s="11" t="s">
        <v>6041</v>
      </c>
      <c r="G108" s="10"/>
      <c r="H108" s="13" t="s">
        <v>6042</v>
      </c>
      <c r="I108" s="14" t="s">
        <v>6043</v>
      </c>
      <c r="J108" s="15" t="s">
        <v>6044</v>
      </c>
      <c r="K108" s="16" t="s">
        <v>82</v>
      </c>
      <c r="L108" s="17"/>
      <c r="M108" s="17"/>
      <c r="N108" s="17"/>
      <c r="O108" s="17"/>
      <c r="P108" s="18"/>
      <c r="Q108" s="16" t="s">
        <v>83</v>
      </c>
      <c r="R108" s="18"/>
    </row>
    <row r="109" spans="1:18" ht="16.5" customHeight="1">
      <c r="A109" s="10">
        <v>108</v>
      </c>
      <c r="B109" s="10">
        <v>9</v>
      </c>
      <c r="C109" s="10">
        <v>37</v>
      </c>
      <c r="D109" s="11" t="s">
        <v>6045</v>
      </c>
      <c r="E109" s="12" t="s">
        <v>6046</v>
      </c>
      <c r="F109" s="11" t="s">
        <v>6047</v>
      </c>
      <c r="G109" s="10"/>
      <c r="H109" s="13" t="s">
        <v>6048</v>
      </c>
      <c r="I109" s="14" t="s">
        <v>6049</v>
      </c>
      <c r="J109" s="15" t="s">
        <v>6050</v>
      </c>
      <c r="K109" s="16" t="s">
        <v>82</v>
      </c>
      <c r="L109" s="17"/>
      <c r="M109" s="17"/>
      <c r="N109" s="17"/>
      <c r="O109" s="17"/>
      <c r="P109" s="18"/>
      <c r="Q109" s="16" t="s">
        <v>83</v>
      </c>
      <c r="R109" s="18"/>
    </row>
    <row r="110" spans="1:18" ht="16.5" customHeight="1">
      <c r="A110" s="10">
        <v>109</v>
      </c>
      <c r="B110" s="10">
        <v>9</v>
      </c>
      <c r="C110" s="10">
        <v>38</v>
      </c>
      <c r="D110" s="11" t="s">
        <v>6046</v>
      </c>
      <c r="E110" s="19" t="s">
        <v>6047</v>
      </c>
      <c r="F110" s="11" t="s">
        <v>6051</v>
      </c>
      <c r="G110" s="10" t="s">
        <v>160</v>
      </c>
      <c r="H110" s="13" t="s">
        <v>6052</v>
      </c>
      <c r="I110" s="14" t="s">
        <v>6053</v>
      </c>
      <c r="J110" s="15" t="s">
        <v>6054</v>
      </c>
      <c r="K110" s="16" t="s">
        <v>82</v>
      </c>
      <c r="L110" s="17"/>
      <c r="M110" s="17"/>
      <c r="N110" s="17"/>
      <c r="O110" s="17"/>
      <c r="P110" s="18"/>
      <c r="Q110" s="16" t="s">
        <v>83</v>
      </c>
      <c r="R110" s="18"/>
    </row>
    <row r="111" spans="1:18" ht="16.5" customHeight="1">
      <c r="A111" s="10">
        <v>110</v>
      </c>
      <c r="B111" s="10">
        <v>9</v>
      </c>
      <c r="C111" s="10">
        <v>39</v>
      </c>
      <c r="D111" s="11" t="s">
        <v>6047</v>
      </c>
      <c r="E111" s="12" t="s">
        <v>6051</v>
      </c>
      <c r="F111" s="11" t="s">
        <v>6055</v>
      </c>
      <c r="G111" s="10"/>
      <c r="H111" s="13" t="s">
        <v>6056</v>
      </c>
      <c r="I111" s="14" t="s">
        <v>6057</v>
      </c>
      <c r="J111" s="15" t="s">
        <v>6058</v>
      </c>
      <c r="K111" s="16" t="s">
        <v>82</v>
      </c>
      <c r="L111" s="17"/>
      <c r="M111" s="17"/>
      <c r="N111" s="17"/>
      <c r="O111" s="17"/>
      <c r="P111" s="18"/>
      <c r="Q111" s="16" t="s">
        <v>83</v>
      </c>
      <c r="R111" s="18"/>
    </row>
    <row r="112" spans="1:18" ht="16.5" customHeight="1">
      <c r="A112" s="10">
        <v>111</v>
      </c>
      <c r="B112" s="10">
        <v>9</v>
      </c>
      <c r="C112" s="10">
        <v>41</v>
      </c>
      <c r="D112" s="11" t="s">
        <v>6055</v>
      </c>
      <c r="E112" s="12" t="s">
        <v>6059</v>
      </c>
      <c r="F112" s="11" t="s">
        <v>6060</v>
      </c>
      <c r="G112" s="10"/>
      <c r="H112" s="13" t="s">
        <v>6061</v>
      </c>
      <c r="I112" s="14" t="s">
        <v>6062</v>
      </c>
      <c r="J112" s="15" t="s">
        <v>6063</v>
      </c>
      <c r="K112" s="16" t="s">
        <v>82</v>
      </c>
      <c r="L112" s="17"/>
      <c r="M112" s="17"/>
      <c r="N112" s="17"/>
      <c r="O112" s="17"/>
      <c r="P112" s="18"/>
      <c r="Q112" s="16" t="s">
        <v>83</v>
      </c>
      <c r="R112" s="18"/>
    </row>
    <row r="113" spans="1:18" ht="16.5" customHeight="1">
      <c r="A113" s="10">
        <v>112</v>
      </c>
      <c r="B113" s="10">
        <v>9</v>
      </c>
      <c r="C113" s="10">
        <v>42</v>
      </c>
      <c r="D113" s="11" t="s">
        <v>6059</v>
      </c>
      <c r="E113" s="19" t="s">
        <v>6060</v>
      </c>
      <c r="F113" s="11" t="s">
        <v>6064</v>
      </c>
      <c r="G113" s="10" t="s">
        <v>305</v>
      </c>
      <c r="H113" s="13" t="s">
        <v>6065</v>
      </c>
      <c r="I113" s="14" t="s">
        <v>6066</v>
      </c>
      <c r="J113" s="15" t="s">
        <v>6066</v>
      </c>
      <c r="K113" s="16" t="s">
        <v>82</v>
      </c>
      <c r="L113" s="17"/>
      <c r="M113" s="17"/>
      <c r="N113" s="17"/>
      <c r="O113" s="17"/>
      <c r="P113" s="18"/>
      <c r="Q113" s="16" t="s">
        <v>83</v>
      </c>
      <c r="R113" s="18"/>
    </row>
    <row r="114" spans="1:18" ht="16.5" customHeight="1">
      <c r="A114" s="10">
        <v>113</v>
      </c>
      <c r="B114" s="10">
        <v>9</v>
      </c>
      <c r="C114" s="10">
        <v>43</v>
      </c>
      <c r="D114" s="11" t="s">
        <v>6060</v>
      </c>
      <c r="E114" s="12" t="s">
        <v>6064</v>
      </c>
      <c r="F114" s="11" t="s">
        <v>6067</v>
      </c>
      <c r="G114" s="10"/>
      <c r="H114" s="13" t="s">
        <v>6068</v>
      </c>
      <c r="I114" s="14" t="s">
        <v>6069</v>
      </c>
      <c r="J114" s="15" t="s">
        <v>6070</v>
      </c>
      <c r="K114" s="16" t="s">
        <v>82</v>
      </c>
      <c r="L114" s="17"/>
      <c r="M114" s="17"/>
      <c r="N114" s="17"/>
      <c r="O114" s="17"/>
      <c r="P114" s="18"/>
      <c r="Q114" s="16" t="s">
        <v>83</v>
      </c>
      <c r="R114" s="18"/>
    </row>
    <row r="115" spans="1:18" ht="16.5" customHeight="1">
      <c r="A115" s="10">
        <v>114</v>
      </c>
      <c r="B115" s="10">
        <v>9</v>
      </c>
      <c r="C115" s="10">
        <v>44</v>
      </c>
      <c r="D115" s="11" t="s">
        <v>6064</v>
      </c>
      <c r="E115" s="19" t="s">
        <v>6067</v>
      </c>
      <c r="F115" s="11" t="s">
        <v>6071</v>
      </c>
      <c r="G115" s="10" t="s">
        <v>3386</v>
      </c>
      <c r="H115" s="13" t="s">
        <v>6072</v>
      </c>
      <c r="I115" s="14" t="s">
        <v>6073</v>
      </c>
      <c r="J115" s="15" t="s">
        <v>6074</v>
      </c>
      <c r="K115" s="16" t="s">
        <v>82</v>
      </c>
      <c r="L115" s="17"/>
      <c r="M115" s="17"/>
      <c r="N115" s="17"/>
      <c r="O115" s="17"/>
      <c r="P115" s="18"/>
      <c r="Q115" s="16" t="s">
        <v>83</v>
      </c>
      <c r="R115" s="18"/>
    </row>
    <row r="116" spans="1:18" ht="16.5" customHeight="1">
      <c r="A116" s="10">
        <v>115</v>
      </c>
      <c r="B116" s="10">
        <v>9</v>
      </c>
      <c r="C116" s="10">
        <v>45</v>
      </c>
      <c r="D116" s="11" t="s">
        <v>6067</v>
      </c>
      <c r="E116" s="12" t="s">
        <v>6071</v>
      </c>
      <c r="F116" s="11" t="s">
        <v>6075</v>
      </c>
      <c r="G116" s="10"/>
      <c r="H116" s="13" t="s">
        <v>6076</v>
      </c>
      <c r="I116" s="14" t="s">
        <v>6077</v>
      </c>
      <c r="J116" s="15" t="s">
        <v>6077</v>
      </c>
      <c r="K116" s="16" t="s">
        <v>82</v>
      </c>
      <c r="L116" s="17"/>
      <c r="M116" s="17"/>
      <c r="N116" s="17"/>
      <c r="O116" s="17"/>
      <c r="P116" s="18"/>
      <c r="Q116" s="16" t="s">
        <v>83</v>
      </c>
      <c r="R116" s="18"/>
    </row>
    <row r="117" spans="1:18" ht="16.5" customHeight="1">
      <c r="A117" s="10">
        <v>116</v>
      </c>
      <c r="B117" s="10">
        <v>9</v>
      </c>
      <c r="C117" s="10">
        <v>46</v>
      </c>
      <c r="D117" s="11" t="s">
        <v>6071</v>
      </c>
      <c r="E117" s="12" t="s">
        <v>6075</v>
      </c>
      <c r="F117" s="11" t="s">
        <v>6078</v>
      </c>
      <c r="G117" s="10"/>
      <c r="H117" s="13"/>
      <c r="I117" s="14" t="s">
        <v>6079</v>
      </c>
      <c r="J117" s="15" t="s">
        <v>6079</v>
      </c>
      <c r="K117" s="16" t="s">
        <v>82</v>
      </c>
      <c r="L117" s="17"/>
      <c r="M117" s="17"/>
      <c r="N117" s="17"/>
      <c r="O117" s="17"/>
      <c r="P117" s="18"/>
      <c r="Q117" s="16" t="s">
        <v>83</v>
      </c>
      <c r="R117" s="18"/>
    </row>
    <row r="118" spans="1:18" ht="16.5" customHeight="1">
      <c r="A118" s="10">
        <v>117</v>
      </c>
      <c r="B118" s="10">
        <v>9</v>
      </c>
      <c r="C118" s="10">
        <v>47</v>
      </c>
      <c r="D118" s="11" t="s">
        <v>6075</v>
      </c>
      <c r="E118" s="19" t="s">
        <v>6078</v>
      </c>
      <c r="F118" s="11" t="s">
        <v>6080</v>
      </c>
      <c r="G118" s="10" t="s">
        <v>3386</v>
      </c>
      <c r="H118" s="13" t="s">
        <v>6081</v>
      </c>
      <c r="I118" s="14" t="s">
        <v>6082</v>
      </c>
      <c r="J118" s="15" t="s">
        <v>6083</v>
      </c>
      <c r="K118" s="16" t="s">
        <v>82</v>
      </c>
      <c r="L118" s="17"/>
      <c r="M118" s="17"/>
      <c r="N118" s="17"/>
      <c r="O118" s="17"/>
      <c r="P118" s="18"/>
      <c r="Q118" s="16" t="s">
        <v>83</v>
      </c>
      <c r="R118" s="18"/>
    </row>
    <row r="119" spans="1:18" ht="16.5" customHeight="1">
      <c r="A119" s="10">
        <v>118</v>
      </c>
      <c r="B119" s="10">
        <v>9</v>
      </c>
      <c r="C119" s="10">
        <v>48</v>
      </c>
      <c r="D119" s="11" t="s">
        <v>6078</v>
      </c>
      <c r="E119" s="12" t="s">
        <v>6080</v>
      </c>
      <c r="F119" s="11" t="s">
        <v>6084</v>
      </c>
      <c r="G119" s="10"/>
      <c r="H119" s="13" t="s">
        <v>6085</v>
      </c>
      <c r="I119" s="14" t="s">
        <v>6086</v>
      </c>
      <c r="J119" s="15" t="s">
        <v>6087</v>
      </c>
      <c r="K119" s="16" t="s">
        <v>82</v>
      </c>
      <c r="L119" s="17"/>
      <c r="M119" s="17"/>
      <c r="N119" s="17"/>
      <c r="O119" s="17"/>
      <c r="P119" s="18"/>
      <c r="Q119" s="16" t="s">
        <v>83</v>
      </c>
      <c r="R119" s="18"/>
    </row>
    <row r="120" spans="1:18" ht="26.25" customHeight="1">
      <c r="A120" s="10">
        <v>119</v>
      </c>
      <c r="B120" s="10">
        <v>9</v>
      </c>
      <c r="C120" s="10">
        <v>61</v>
      </c>
      <c r="D120" s="11" t="s">
        <v>6088</v>
      </c>
      <c r="E120" s="12" t="s">
        <v>6089</v>
      </c>
      <c r="F120" s="11" t="s">
        <v>6090</v>
      </c>
      <c r="G120" s="10"/>
      <c r="H120" s="13" t="s">
        <v>6091</v>
      </c>
      <c r="I120" s="14" t="s">
        <v>6092</v>
      </c>
      <c r="J120" s="15" t="s">
        <v>6093</v>
      </c>
      <c r="K120" s="16" t="s">
        <v>82</v>
      </c>
      <c r="L120" s="17"/>
      <c r="M120" s="17"/>
      <c r="N120" s="17"/>
      <c r="O120" s="17"/>
      <c r="P120" s="18"/>
      <c r="Q120" s="16" t="s">
        <v>83</v>
      </c>
      <c r="R120" s="18"/>
    </row>
    <row r="121" spans="1:18" ht="26.25" customHeight="1">
      <c r="A121" s="10">
        <v>120</v>
      </c>
      <c r="B121" s="10">
        <v>9</v>
      </c>
      <c r="C121" s="10">
        <v>62</v>
      </c>
      <c r="D121" s="11" t="s">
        <v>6089</v>
      </c>
      <c r="E121" s="19" t="s">
        <v>6090</v>
      </c>
      <c r="F121" s="11" t="s">
        <v>6094</v>
      </c>
      <c r="G121" s="10" t="s">
        <v>3386</v>
      </c>
      <c r="H121" s="13" t="s">
        <v>6095</v>
      </c>
      <c r="I121" s="14" t="s">
        <v>6096</v>
      </c>
      <c r="J121" s="15" t="s">
        <v>6097</v>
      </c>
      <c r="K121" s="16" t="s">
        <v>89</v>
      </c>
      <c r="L121" s="17" t="s">
        <v>155</v>
      </c>
      <c r="M121" s="17" t="s">
        <v>91</v>
      </c>
      <c r="N121" s="17" t="s">
        <v>6098</v>
      </c>
      <c r="O121" s="17" t="s">
        <v>6099</v>
      </c>
      <c r="P121" s="18" t="s">
        <v>4394</v>
      </c>
      <c r="Q121" s="16" t="s">
        <v>83</v>
      </c>
      <c r="R121" s="18"/>
    </row>
    <row r="122" spans="1:18" ht="26.25" customHeight="1">
      <c r="A122" s="10">
        <v>121</v>
      </c>
      <c r="B122" s="10">
        <v>9</v>
      </c>
      <c r="C122" s="10">
        <v>63</v>
      </c>
      <c r="D122" s="11" t="s">
        <v>6090</v>
      </c>
      <c r="E122" s="12" t="s">
        <v>6094</v>
      </c>
      <c r="F122" s="11" t="s">
        <v>6100</v>
      </c>
      <c r="G122" s="10"/>
      <c r="H122" s="13" t="s">
        <v>6101</v>
      </c>
      <c r="I122" s="14" t="s">
        <v>6102</v>
      </c>
      <c r="J122" s="15" t="s">
        <v>6103</v>
      </c>
      <c r="K122" s="16" t="s">
        <v>82</v>
      </c>
      <c r="L122" s="17"/>
      <c r="M122" s="17"/>
      <c r="N122" s="17"/>
      <c r="O122" s="17"/>
      <c r="P122" s="18"/>
      <c r="Q122" s="16" t="s">
        <v>83</v>
      </c>
      <c r="R122" s="18"/>
    </row>
    <row r="123" spans="1:18" ht="16.5" customHeight="1">
      <c r="A123" s="10">
        <v>122</v>
      </c>
      <c r="B123" s="10">
        <v>9</v>
      </c>
      <c r="C123" s="10">
        <v>79</v>
      </c>
      <c r="D123" s="11" t="s">
        <v>6104</v>
      </c>
      <c r="E123" s="12" t="s">
        <v>6105</v>
      </c>
      <c r="F123" s="11" t="s">
        <v>6106</v>
      </c>
      <c r="G123" s="10"/>
      <c r="H123" s="13" t="s">
        <v>6107</v>
      </c>
      <c r="I123" s="14" t="s">
        <v>6108</v>
      </c>
      <c r="J123" s="15" t="s">
        <v>6109</v>
      </c>
      <c r="K123" s="16" t="s">
        <v>82</v>
      </c>
      <c r="L123" s="17"/>
      <c r="M123" s="17"/>
      <c r="N123" s="17"/>
      <c r="O123" s="17"/>
      <c r="P123" s="18"/>
      <c r="Q123" s="16" t="s">
        <v>83</v>
      </c>
      <c r="R123" s="18"/>
    </row>
    <row r="124" spans="1:18" ht="16.5" customHeight="1">
      <c r="A124" s="10">
        <v>123</v>
      </c>
      <c r="B124" s="10">
        <v>9</v>
      </c>
      <c r="C124" s="10">
        <v>80</v>
      </c>
      <c r="D124" s="11" t="s">
        <v>6105</v>
      </c>
      <c r="E124" s="19" t="s">
        <v>6106</v>
      </c>
      <c r="F124" s="11" t="s">
        <v>6110</v>
      </c>
      <c r="G124" s="10" t="s">
        <v>3386</v>
      </c>
      <c r="H124" s="13" t="s">
        <v>6111</v>
      </c>
      <c r="I124" s="14" t="s">
        <v>6112</v>
      </c>
      <c r="J124" s="15" t="s">
        <v>6113</v>
      </c>
      <c r="K124" s="16" t="s">
        <v>82</v>
      </c>
      <c r="L124" s="17"/>
      <c r="M124" s="17"/>
      <c r="N124" s="17"/>
      <c r="O124" s="17"/>
      <c r="P124" s="18"/>
      <c r="Q124" s="16" t="s">
        <v>83</v>
      </c>
      <c r="R124" s="18"/>
    </row>
    <row r="125" spans="1:18" ht="16.5" customHeight="1">
      <c r="A125" s="10">
        <v>124</v>
      </c>
      <c r="B125" s="10">
        <v>9</v>
      </c>
      <c r="C125" s="10">
        <v>81</v>
      </c>
      <c r="D125" s="11" t="s">
        <v>6106</v>
      </c>
      <c r="E125" s="12" t="s">
        <v>6110</v>
      </c>
      <c r="F125" s="11" t="s">
        <v>6114</v>
      </c>
      <c r="G125" s="10"/>
      <c r="H125" s="13" t="s">
        <v>6115</v>
      </c>
      <c r="I125" s="14" t="s">
        <v>6116</v>
      </c>
      <c r="J125" s="15" t="s">
        <v>6117</v>
      </c>
      <c r="K125" s="16" t="s">
        <v>82</v>
      </c>
      <c r="L125" s="17"/>
      <c r="M125" s="17"/>
      <c r="N125" s="17"/>
      <c r="O125" s="17"/>
      <c r="P125" s="18"/>
      <c r="Q125" s="16" t="s">
        <v>83</v>
      </c>
      <c r="R125" s="18"/>
    </row>
    <row r="126" spans="1:18" ht="26.25" customHeight="1">
      <c r="A126" s="10">
        <v>125</v>
      </c>
      <c r="B126" s="10">
        <v>9</v>
      </c>
      <c r="C126" s="10">
        <v>82</v>
      </c>
      <c r="D126" s="11" t="s">
        <v>6110</v>
      </c>
      <c r="E126" s="19" t="s">
        <v>6114</v>
      </c>
      <c r="F126" s="11" t="s">
        <v>6118</v>
      </c>
      <c r="G126" s="10" t="s">
        <v>3386</v>
      </c>
      <c r="H126" s="13" t="s">
        <v>6119</v>
      </c>
      <c r="I126" s="14" t="s">
        <v>6120</v>
      </c>
      <c r="J126" s="15" t="s">
        <v>6121</v>
      </c>
      <c r="K126" s="16" t="s">
        <v>82</v>
      </c>
      <c r="L126" s="17"/>
      <c r="M126" s="17"/>
      <c r="N126" s="17"/>
      <c r="O126" s="17"/>
      <c r="P126" s="18"/>
      <c r="Q126" s="16" t="s">
        <v>83</v>
      </c>
      <c r="R126" s="18"/>
    </row>
    <row r="127" spans="1:18" ht="16.5" customHeight="1">
      <c r="A127" s="10">
        <v>126</v>
      </c>
      <c r="B127" s="10">
        <v>9</v>
      </c>
      <c r="C127" s="10">
        <v>83</v>
      </c>
      <c r="D127" s="11" t="s">
        <v>6114</v>
      </c>
      <c r="E127" s="12" t="s">
        <v>6118</v>
      </c>
      <c r="F127" s="11" t="s">
        <v>6122</v>
      </c>
      <c r="G127" s="10"/>
      <c r="H127" s="13" t="s">
        <v>6123</v>
      </c>
      <c r="I127" s="14" t="s">
        <v>6124</v>
      </c>
      <c r="J127" s="15" t="s">
        <v>6125</v>
      </c>
      <c r="K127" s="16" t="s">
        <v>82</v>
      </c>
      <c r="L127" s="17"/>
      <c r="M127" s="17"/>
      <c r="N127" s="17"/>
      <c r="O127" s="17"/>
      <c r="P127" s="18"/>
      <c r="Q127" s="16" t="s">
        <v>83</v>
      </c>
      <c r="R127" s="18"/>
    </row>
    <row r="128" spans="1:18" ht="16.5" customHeight="1">
      <c r="A128" s="10">
        <v>127</v>
      </c>
      <c r="B128" s="10">
        <v>9</v>
      </c>
      <c r="C128" s="10">
        <v>87</v>
      </c>
      <c r="D128" s="11" t="s">
        <v>6126</v>
      </c>
      <c r="E128" s="12" t="s">
        <v>6127</v>
      </c>
      <c r="F128" s="11" t="s">
        <v>6128</v>
      </c>
      <c r="G128" s="10"/>
      <c r="H128" s="13" t="s">
        <v>5097</v>
      </c>
      <c r="I128" s="14" t="s">
        <v>6129</v>
      </c>
      <c r="J128" s="15" t="s">
        <v>6129</v>
      </c>
      <c r="K128" s="16" t="s">
        <v>82</v>
      </c>
      <c r="L128" s="17"/>
      <c r="M128" s="17"/>
      <c r="N128" s="17"/>
      <c r="O128" s="17"/>
      <c r="P128" s="18"/>
      <c r="Q128" s="16" t="s">
        <v>83</v>
      </c>
      <c r="R128" s="18"/>
    </row>
    <row r="129" spans="1:18" ht="16.5" customHeight="1">
      <c r="A129" s="10">
        <v>128</v>
      </c>
      <c r="B129" s="10">
        <v>9</v>
      </c>
      <c r="C129" s="10">
        <v>88</v>
      </c>
      <c r="D129" s="11" t="s">
        <v>6127</v>
      </c>
      <c r="E129" s="19" t="s">
        <v>6128</v>
      </c>
      <c r="F129" s="11" t="s">
        <v>6130</v>
      </c>
      <c r="G129" s="10" t="s">
        <v>569</v>
      </c>
      <c r="H129" s="13" t="s">
        <v>6131</v>
      </c>
      <c r="I129" s="14" t="s">
        <v>6132</v>
      </c>
      <c r="J129" s="15" t="s">
        <v>6133</v>
      </c>
      <c r="K129" s="16" t="s">
        <v>89</v>
      </c>
      <c r="L129" s="17" t="s">
        <v>90</v>
      </c>
      <c r="M129" s="17" t="s">
        <v>91</v>
      </c>
      <c r="N129" s="17" t="s">
        <v>416</v>
      </c>
      <c r="O129" s="17" t="s">
        <v>417</v>
      </c>
      <c r="P129" s="18" t="s">
        <v>418</v>
      </c>
      <c r="Q129" s="16" t="s">
        <v>83</v>
      </c>
      <c r="R129" s="18"/>
    </row>
    <row r="130" spans="1:18" ht="16.5" customHeight="1">
      <c r="A130" s="10">
        <v>129</v>
      </c>
      <c r="B130" s="10">
        <v>9</v>
      </c>
      <c r="C130" s="10">
        <v>89</v>
      </c>
      <c r="D130" s="11" t="s">
        <v>6128</v>
      </c>
      <c r="E130" s="12" t="s">
        <v>6130</v>
      </c>
      <c r="F130" s="11" t="s">
        <v>6134</v>
      </c>
      <c r="G130" s="10"/>
      <c r="H130" s="13" t="s">
        <v>6135</v>
      </c>
      <c r="I130" s="14" t="s">
        <v>6136</v>
      </c>
      <c r="J130" s="15" t="s">
        <v>6136</v>
      </c>
      <c r="K130" s="16" t="s">
        <v>89</v>
      </c>
      <c r="L130" s="17" t="s">
        <v>90</v>
      </c>
      <c r="M130" s="17" t="s">
        <v>91</v>
      </c>
      <c r="N130" s="17" t="s">
        <v>6137</v>
      </c>
      <c r="O130" s="17" t="s">
        <v>6138</v>
      </c>
      <c r="P130" s="18" t="s">
        <v>6139</v>
      </c>
      <c r="Q130" s="16" t="s">
        <v>83</v>
      </c>
      <c r="R130" s="18"/>
    </row>
    <row r="131" spans="1:18" ht="16.5" customHeight="1">
      <c r="A131" s="10">
        <v>130</v>
      </c>
      <c r="B131" s="10">
        <v>9</v>
      </c>
      <c r="C131" s="10">
        <v>91</v>
      </c>
      <c r="D131" s="11" t="s">
        <v>6134</v>
      </c>
      <c r="E131" s="12" t="s">
        <v>6140</v>
      </c>
      <c r="F131" s="11" t="s">
        <v>6141</v>
      </c>
      <c r="G131" s="10"/>
      <c r="H131" s="13" t="s">
        <v>6142</v>
      </c>
      <c r="I131" s="14" t="s">
        <v>6143</v>
      </c>
      <c r="J131" s="15" t="s">
        <v>6143</v>
      </c>
      <c r="K131" s="16" t="s">
        <v>82</v>
      </c>
      <c r="L131" s="17"/>
      <c r="M131" s="17"/>
      <c r="N131" s="17"/>
      <c r="O131" s="17"/>
      <c r="P131" s="18"/>
      <c r="Q131" s="16" t="s">
        <v>83</v>
      </c>
      <c r="R131" s="18"/>
    </row>
    <row r="132" spans="1:18" ht="26.25" customHeight="1">
      <c r="A132" s="10">
        <v>131</v>
      </c>
      <c r="B132" s="10">
        <v>9</v>
      </c>
      <c r="C132" s="10">
        <v>92</v>
      </c>
      <c r="D132" s="11" t="s">
        <v>6140</v>
      </c>
      <c r="E132" s="19" t="s">
        <v>6141</v>
      </c>
      <c r="F132" s="11" t="s">
        <v>6144</v>
      </c>
      <c r="G132" s="10" t="s">
        <v>6145</v>
      </c>
      <c r="H132" s="13" t="s">
        <v>6146</v>
      </c>
      <c r="I132" s="14" t="s">
        <v>6147</v>
      </c>
      <c r="J132" s="15" t="s">
        <v>6148</v>
      </c>
      <c r="K132" s="16" t="s">
        <v>82</v>
      </c>
      <c r="L132" s="17"/>
      <c r="M132" s="17"/>
      <c r="N132" s="17"/>
      <c r="O132" s="17"/>
      <c r="P132" s="18"/>
      <c r="Q132" s="16" t="s">
        <v>83</v>
      </c>
      <c r="R132" s="18"/>
    </row>
    <row r="133" spans="1:18" ht="16.5" customHeight="1">
      <c r="A133" s="10">
        <v>132</v>
      </c>
      <c r="B133" s="10">
        <v>9</v>
      </c>
      <c r="C133" s="10">
        <v>93</v>
      </c>
      <c r="D133" s="11" t="s">
        <v>6141</v>
      </c>
      <c r="E133" s="19" t="s">
        <v>6144</v>
      </c>
      <c r="F133" s="11" t="s">
        <v>6149</v>
      </c>
      <c r="G133" s="10" t="s">
        <v>569</v>
      </c>
      <c r="H133" s="13" t="s">
        <v>6150</v>
      </c>
      <c r="I133" s="14" t="s">
        <v>6151</v>
      </c>
      <c r="J133" s="15" t="s">
        <v>6152</v>
      </c>
      <c r="K133" s="16" t="s">
        <v>82</v>
      </c>
      <c r="L133" s="17"/>
      <c r="M133" s="17"/>
      <c r="N133" s="17"/>
      <c r="O133" s="17"/>
      <c r="P133" s="18"/>
      <c r="Q133" s="16" t="s">
        <v>83</v>
      </c>
      <c r="R133" s="18"/>
    </row>
    <row r="134" spans="1:18" ht="16.5" customHeight="1">
      <c r="A134" s="10">
        <v>133</v>
      </c>
      <c r="B134" s="10">
        <v>9</v>
      </c>
      <c r="C134" s="10">
        <v>94</v>
      </c>
      <c r="D134" s="11" t="s">
        <v>6144</v>
      </c>
      <c r="E134" s="12" t="s">
        <v>6149</v>
      </c>
      <c r="F134" s="11" t="s">
        <v>6153</v>
      </c>
      <c r="G134" s="10"/>
      <c r="H134" s="13" t="s">
        <v>6154</v>
      </c>
      <c r="I134" s="14" t="s">
        <v>6155</v>
      </c>
      <c r="J134" s="15" t="s">
        <v>6155</v>
      </c>
      <c r="K134" s="16" t="s">
        <v>82</v>
      </c>
      <c r="L134" s="17"/>
      <c r="M134" s="17"/>
      <c r="N134" s="17"/>
      <c r="O134" s="17"/>
      <c r="P134" s="18"/>
      <c r="Q134" s="16" t="s">
        <v>83</v>
      </c>
      <c r="R134" s="18"/>
    </row>
    <row r="135" spans="1:18" ht="26.25" customHeight="1">
      <c r="A135" s="10">
        <v>134</v>
      </c>
      <c r="B135" s="10">
        <v>9</v>
      </c>
      <c r="C135" s="10">
        <v>95</v>
      </c>
      <c r="D135" s="11" t="s">
        <v>6149</v>
      </c>
      <c r="E135" s="19" t="s">
        <v>6153</v>
      </c>
      <c r="F135" s="11" t="s">
        <v>6156</v>
      </c>
      <c r="G135" s="10" t="s">
        <v>3386</v>
      </c>
      <c r="H135" s="13" t="s">
        <v>6157</v>
      </c>
      <c r="I135" s="14" t="s">
        <v>6158</v>
      </c>
      <c r="J135" s="15" t="s">
        <v>6159</v>
      </c>
      <c r="K135" s="16" t="s">
        <v>89</v>
      </c>
      <c r="L135" s="17" t="s">
        <v>90</v>
      </c>
      <c r="M135" s="17" t="s">
        <v>91</v>
      </c>
      <c r="N135" s="17" t="s">
        <v>1846</v>
      </c>
      <c r="O135" s="17" t="s">
        <v>6160</v>
      </c>
      <c r="P135" s="18" t="s">
        <v>6161</v>
      </c>
      <c r="Q135" s="16" t="s">
        <v>83</v>
      </c>
      <c r="R135" s="18"/>
    </row>
    <row r="136" spans="1:18" ht="16.5" customHeight="1">
      <c r="A136" s="10">
        <v>135</v>
      </c>
      <c r="B136" s="10">
        <v>9</v>
      </c>
      <c r="C136" s="10">
        <v>96</v>
      </c>
      <c r="D136" s="11" t="s">
        <v>6153</v>
      </c>
      <c r="E136" s="12" t="s">
        <v>6156</v>
      </c>
      <c r="F136" s="11" t="s">
        <v>6162</v>
      </c>
      <c r="G136" s="10"/>
      <c r="H136" s="13" t="s">
        <v>6163</v>
      </c>
      <c r="I136" s="14" t="s">
        <v>6164</v>
      </c>
      <c r="J136" s="15" t="s">
        <v>6165</v>
      </c>
      <c r="K136" s="16" t="s">
        <v>89</v>
      </c>
      <c r="L136" s="17" t="s">
        <v>90</v>
      </c>
      <c r="M136" s="17" t="s">
        <v>3814</v>
      </c>
      <c r="N136" s="17" t="s">
        <v>6166</v>
      </c>
      <c r="O136" s="17" t="s">
        <v>6167</v>
      </c>
      <c r="P136" s="18" t="s">
        <v>6168</v>
      </c>
      <c r="Q136" s="16" t="s">
        <v>113</v>
      </c>
      <c r="R136" s="18"/>
    </row>
    <row r="137" spans="1:18" ht="16.5" customHeight="1">
      <c r="A137" s="10">
        <v>136</v>
      </c>
      <c r="B137" s="10">
        <v>9</v>
      </c>
      <c r="C137" s="10">
        <v>102</v>
      </c>
      <c r="D137" s="11" t="s">
        <v>6169</v>
      </c>
      <c r="E137" s="12" t="s">
        <v>6140</v>
      </c>
      <c r="F137" s="11" t="s">
        <v>6170</v>
      </c>
      <c r="G137" s="10"/>
      <c r="H137" s="13" t="s">
        <v>6142</v>
      </c>
      <c r="I137" s="14" t="s">
        <v>6143</v>
      </c>
      <c r="J137" s="15" t="s">
        <v>6143</v>
      </c>
      <c r="K137" s="16" t="s">
        <v>82</v>
      </c>
      <c r="L137" s="17"/>
      <c r="M137" s="17"/>
      <c r="N137" s="17"/>
      <c r="O137" s="17"/>
      <c r="P137" s="18"/>
      <c r="Q137" s="16" t="s">
        <v>83</v>
      </c>
      <c r="R137" s="18"/>
    </row>
    <row r="138" spans="1:18" ht="16.5" customHeight="1">
      <c r="A138" s="10">
        <v>137</v>
      </c>
      <c r="B138" s="10">
        <v>9</v>
      </c>
      <c r="C138" s="10">
        <v>103</v>
      </c>
      <c r="D138" s="11" t="s">
        <v>6140</v>
      </c>
      <c r="E138" s="19" t="s">
        <v>6170</v>
      </c>
      <c r="F138" s="11" t="s">
        <v>6171</v>
      </c>
      <c r="G138" s="10" t="s">
        <v>6172</v>
      </c>
      <c r="H138" s="13" t="s">
        <v>6173</v>
      </c>
      <c r="I138" s="14" t="s">
        <v>6174</v>
      </c>
      <c r="J138" s="15" t="s">
        <v>6175</v>
      </c>
      <c r="K138" s="16" t="s">
        <v>82</v>
      </c>
      <c r="L138" s="17"/>
      <c r="M138" s="17"/>
      <c r="N138" s="17"/>
      <c r="O138" s="17"/>
      <c r="P138" s="18"/>
      <c r="Q138" s="16" t="s">
        <v>83</v>
      </c>
      <c r="R138" s="18"/>
    </row>
    <row r="139" spans="1:18" ht="16.5" customHeight="1">
      <c r="A139" s="10">
        <v>138</v>
      </c>
      <c r="B139" s="10">
        <v>9</v>
      </c>
      <c r="C139" s="10">
        <v>104</v>
      </c>
      <c r="D139" s="11" t="s">
        <v>6170</v>
      </c>
      <c r="E139" s="12" t="s">
        <v>6171</v>
      </c>
      <c r="F139" s="11" t="s">
        <v>6176</v>
      </c>
      <c r="G139" s="10"/>
      <c r="H139" s="13" t="s">
        <v>6177</v>
      </c>
      <c r="I139" s="14" t="s">
        <v>6178</v>
      </c>
      <c r="J139" s="15" t="s">
        <v>6178</v>
      </c>
      <c r="K139" s="16" t="s">
        <v>82</v>
      </c>
      <c r="L139" s="17"/>
      <c r="M139" s="17"/>
      <c r="N139" s="17"/>
      <c r="O139" s="17"/>
      <c r="P139" s="18"/>
      <c r="Q139" s="16" t="s">
        <v>83</v>
      </c>
      <c r="R139" s="18"/>
    </row>
    <row r="140" spans="1:18" ht="16.5" customHeight="1">
      <c r="A140" s="10">
        <v>139</v>
      </c>
      <c r="B140" s="10">
        <v>9</v>
      </c>
      <c r="C140" s="10">
        <v>118</v>
      </c>
      <c r="D140" s="11" t="s">
        <v>3573</v>
      </c>
      <c r="E140" s="12" t="s">
        <v>6179</v>
      </c>
      <c r="F140" s="11" t="s">
        <v>6180</v>
      </c>
      <c r="G140" s="10"/>
      <c r="H140" s="13" t="s">
        <v>6181</v>
      </c>
      <c r="I140" s="14" t="s">
        <v>6182</v>
      </c>
      <c r="J140" s="15" t="s">
        <v>6183</v>
      </c>
      <c r="K140" s="16" t="s">
        <v>82</v>
      </c>
      <c r="L140" s="17"/>
      <c r="M140" s="17"/>
      <c r="N140" s="17"/>
      <c r="O140" s="17"/>
      <c r="P140" s="18"/>
      <c r="Q140" s="16" t="s">
        <v>83</v>
      </c>
      <c r="R140" s="18"/>
    </row>
    <row r="141" spans="1:18" ht="16.5" customHeight="1">
      <c r="A141" s="10">
        <v>140</v>
      </c>
      <c r="B141" s="10">
        <v>9</v>
      </c>
      <c r="C141" s="10">
        <v>119</v>
      </c>
      <c r="D141" s="11" t="s">
        <v>6179</v>
      </c>
      <c r="E141" s="19" t="s">
        <v>6180</v>
      </c>
      <c r="F141" s="11" t="s">
        <v>6184</v>
      </c>
      <c r="G141" s="10" t="s">
        <v>160</v>
      </c>
      <c r="H141" s="13" t="s">
        <v>6185</v>
      </c>
      <c r="I141" s="14" t="s">
        <v>6186</v>
      </c>
      <c r="J141" s="15" t="s">
        <v>6187</v>
      </c>
      <c r="K141" s="16" t="s">
        <v>82</v>
      </c>
      <c r="L141" s="17"/>
      <c r="M141" s="17"/>
      <c r="N141" s="17"/>
      <c r="O141" s="17"/>
      <c r="P141" s="18"/>
      <c r="Q141" s="16" t="s">
        <v>83</v>
      </c>
      <c r="R141" s="18"/>
    </row>
    <row r="142" spans="1:18" ht="16.5" customHeight="1">
      <c r="A142" s="10">
        <v>141</v>
      </c>
      <c r="B142" s="10">
        <v>9</v>
      </c>
      <c r="C142" s="10">
        <v>120</v>
      </c>
      <c r="D142" s="11" t="s">
        <v>6180</v>
      </c>
      <c r="E142" s="12" t="s">
        <v>6184</v>
      </c>
      <c r="F142" s="11" t="s">
        <v>6188</v>
      </c>
      <c r="G142" s="10"/>
      <c r="H142" s="13" t="s">
        <v>6189</v>
      </c>
      <c r="I142" s="14" t="s">
        <v>6190</v>
      </c>
      <c r="J142" s="15" t="s">
        <v>6190</v>
      </c>
      <c r="K142" s="16" t="s">
        <v>82</v>
      </c>
      <c r="L142" s="17"/>
      <c r="M142" s="17"/>
      <c r="N142" s="17"/>
      <c r="O142" s="17"/>
      <c r="P142" s="18"/>
      <c r="Q142" s="16" t="s">
        <v>83</v>
      </c>
      <c r="R142" s="18"/>
    </row>
    <row r="143" spans="1:18" ht="16.5" customHeight="1">
      <c r="A143" s="10">
        <v>142</v>
      </c>
      <c r="B143" s="10">
        <v>9</v>
      </c>
      <c r="C143" s="10">
        <v>128</v>
      </c>
      <c r="D143" s="11" t="s">
        <v>6191</v>
      </c>
      <c r="E143" s="12" t="s">
        <v>6192</v>
      </c>
      <c r="F143" s="11" t="s">
        <v>6193</v>
      </c>
      <c r="G143" s="10"/>
      <c r="H143" s="13" t="s">
        <v>6194</v>
      </c>
      <c r="I143" s="14" t="s">
        <v>6195</v>
      </c>
      <c r="J143" s="15" t="s">
        <v>6196</v>
      </c>
      <c r="K143" s="16" t="s">
        <v>89</v>
      </c>
      <c r="L143" s="17" t="s">
        <v>368</v>
      </c>
      <c r="M143" s="17" t="s">
        <v>1961</v>
      </c>
      <c r="N143" s="17" t="s">
        <v>6197</v>
      </c>
      <c r="O143" s="17" t="s">
        <v>6198</v>
      </c>
      <c r="P143" s="18" t="s">
        <v>6199</v>
      </c>
      <c r="Q143" s="16" t="s">
        <v>83</v>
      </c>
      <c r="R143" s="18"/>
    </row>
    <row r="144" spans="1:18" ht="16.5" customHeight="1">
      <c r="A144" s="10">
        <v>143</v>
      </c>
      <c r="B144" s="10">
        <v>9</v>
      </c>
      <c r="C144" s="10">
        <v>129</v>
      </c>
      <c r="D144" s="11" t="s">
        <v>6192</v>
      </c>
      <c r="E144" s="19" t="s">
        <v>6193</v>
      </c>
      <c r="F144" s="11" t="s">
        <v>6200</v>
      </c>
      <c r="G144" s="10" t="s">
        <v>160</v>
      </c>
      <c r="H144" s="13" t="s">
        <v>6201</v>
      </c>
      <c r="I144" s="14" t="s">
        <v>6202</v>
      </c>
      <c r="J144" s="15" t="s">
        <v>6203</v>
      </c>
      <c r="K144" s="16" t="s">
        <v>82</v>
      </c>
      <c r="L144" s="17"/>
      <c r="M144" s="17"/>
      <c r="N144" s="17"/>
      <c r="O144" s="17"/>
      <c r="P144" s="18"/>
      <c r="Q144" s="16" t="s">
        <v>83</v>
      </c>
      <c r="R144" s="18"/>
    </row>
    <row r="145" spans="1:18" ht="16.5" customHeight="1">
      <c r="A145" s="10">
        <v>144</v>
      </c>
      <c r="B145" s="10">
        <v>9</v>
      </c>
      <c r="C145" s="10">
        <v>130</v>
      </c>
      <c r="D145" s="11" t="s">
        <v>6193</v>
      </c>
      <c r="E145" s="12" t="s">
        <v>6200</v>
      </c>
      <c r="F145" s="11" t="s">
        <v>6204</v>
      </c>
      <c r="G145" s="10"/>
      <c r="H145" s="13" t="s">
        <v>262</v>
      </c>
      <c r="I145" s="14" t="s">
        <v>6205</v>
      </c>
      <c r="J145" s="15" t="s">
        <v>6205</v>
      </c>
      <c r="K145" s="16" t="s">
        <v>82</v>
      </c>
      <c r="L145" s="17"/>
      <c r="M145" s="17"/>
      <c r="N145" s="17"/>
      <c r="O145" s="17"/>
      <c r="P145" s="18"/>
      <c r="Q145" s="16" t="s">
        <v>83</v>
      </c>
      <c r="R145" s="18"/>
    </row>
    <row r="146" spans="1:18" ht="16.5" customHeight="1">
      <c r="A146" s="10">
        <v>145</v>
      </c>
      <c r="B146" s="10">
        <v>9</v>
      </c>
      <c r="C146" s="10">
        <v>144</v>
      </c>
      <c r="D146" s="11" t="s">
        <v>6206</v>
      </c>
      <c r="E146" s="12" t="s">
        <v>3573</v>
      </c>
      <c r="F146" s="11" t="s">
        <v>6207</v>
      </c>
      <c r="G146" s="10"/>
      <c r="H146" s="13" t="s">
        <v>262</v>
      </c>
      <c r="I146" s="14" t="s">
        <v>6208</v>
      </c>
      <c r="J146" s="15" t="s">
        <v>6209</v>
      </c>
      <c r="K146" s="16" t="s">
        <v>82</v>
      </c>
      <c r="L146" s="17"/>
      <c r="M146" s="17"/>
      <c r="N146" s="17"/>
      <c r="O146" s="17"/>
      <c r="P146" s="18"/>
      <c r="Q146" s="16" t="s">
        <v>83</v>
      </c>
      <c r="R146" s="18"/>
    </row>
    <row r="147" spans="1:18" ht="16.5" customHeight="1">
      <c r="A147" s="10">
        <v>146</v>
      </c>
      <c r="B147" s="10">
        <v>9</v>
      </c>
      <c r="C147" s="10">
        <v>145</v>
      </c>
      <c r="D147" s="11" t="s">
        <v>3573</v>
      </c>
      <c r="E147" s="19" t="s">
        <v>6207</v>
      </c>
      <c r="F147" s="11" t="s">
        <v>6210</v>
      </c>
      <c r="G147" s="10" t="s">
        <v>266</v>
      </c>
      <c r="H147" s="13" t="s">
        <v>6211</v>
      </c>
      <c r="I147" s="14" t="s">
        <v>6212</v>
      </c>
      <c r="J147" s="15" t="s">
        <v>6213</v>
      </c>
      <c r="K147" s="16" t="s">
        <v>82</v>
      </c>
      <c r="L147" s="17"/>
      <c r="M147" s="17"/>
      <c r="N147" s="17"/>
      <c r="O147" s="17"/>
      <c r="P147" s="18"/>
      <c r="Q147" s="16" t="s">
        <v>83</v>
      </c>
      <c r="R147" s="18"/>
    </row>
    <row r="148" spans="1:18" ht="16.5" customHeight="1">
      <c r="A148" s="10">
        <v>147</v>
      </c>
      <c r="B148" s="10">
        <v>9</v>
      </c>
      <c r="C148" s="10">
        <v>146</v>
      </c>
      <c r="D148" s="11" t="s">
        <v>6207</v>
      </c>
      <c r="E148" s="12" t="s">
        <v>6210</v>
      </c>
      <c r="F148" s="11" t="s">
        <v>3573</v>
      </c>
      <c r="G148" s="10"/>
      <c r="H148" s="13" t="s">
        <v>6214</v>
      </c>
      <c r="I148" s="14" t="s">
        <v>6215</v>
      </c>
      <c r="J148" s="15" t="s">
        <v>6216</v>
      </c>
      <c r="K148" s="16" t="s">
        <v>82</v>
      </c>
      <c r="L148" s="17"/>
      <c r="M148" s="17"/>
      <c r="N148" s="17"/>
      <c r="O148" s="17"/>
      <c r="P148" s="18"/>
      <c r="Q148" s="16" t="s">
        <v>83</v>
      </c>
      <c r="R148" s="18"/>
    </row>
    <row r="149" spans="1:18" ht="16.5" customHeight="1">
      <c r="A149" s="10">
        <v>148</v>
      </c>
      <c r="B149" s="10">
        <v>9</v>
      </c>
      <c r="C149" s="10">
        <v>161</v>
      </c>
      <c r="D149" s="11" t="s">
        <v>6217</v>
      </c>
      <c r="E149" s="12" t="s">
        <v>6218</v>
      </c>
      <c r="F149" s="11" t="s">
        <v>6219</v>
      </c>
      <c r="G149" s="10"/>
      <c r="H149" s="13" t="s">
        <v>6220</v>
      </c>
      <c r="I149" s="14" t="s">
        <v>6221</v>
      </c>
      <c r="J149" s="15" t="s">
        <v>6222</v>
      </c>
      <c r="K149" s="16" t="s">
        <v>89</v>
      </c>
      <c r="L149" s="17" t="s">
        <v>155</v>
      </c>
      <c r="M149" s="17" t="s">
        <v>164</v>
      </c>
      <c r="N149" s="17" t="s">
        <v>6223</v>
      </c>
      <c r="O149" s="17" t="s">
        <v>6224</v>
      </c>
      <c r="P149" s="18" t="s">
        <v>6225</v>
      </c>
      <c r="Q149" s="16" t="s">
        <v>83</v>
      </c>
      <c r="R149" s="18"/>
    </row>
    <row r="150" spans="1:18" ht="16.5" customHeight="1">
      <c r="A150" s="10">
        <v>149</v>
      </c>
      <c r="B150" s="10">
        <v>9</v>
      </c>
      <c r="C150" s="10">
        <v>162</v>
      </c>
      <c r="D150" s="11" t="s">
        <v>6218</v>
      </c>
      <c r="E150" s="19" t="s">
        <v>6219</v>
      </c>
      <c r="F150" s="11" t="s">
        <v>6226</v>
      </c>
      <c r="G150" s="10" t="s">
        <v>3253</v>
      </c>
      <c r="H150" s="13" t="s">
        <v>6227</v>
      </c>
      <c r="I150" s="14" t="s">
        <v>6228</v>
      </c>
      <c r="J150" s="15" t="s">
        <v>6229</v>
      </c>
      <c r="K150" s="16" t="s">
        <v>82</v>
      </c>
      <c r="L150" s="17"/>
      <c r="M150" s="17"/>
      <c r="N150" s="17"/>
      <c r="O150" s="17"/>
      <c r="P150" s="18"/>
      <c r="Q150" s="16" t="s">
        <v>83</v>
      </c>
      <c r="R150" s="18"/>
    </row>
    <row r="151" spans="1:18" ht="16.5" customHeight="1">
      <c r="A151" s="10">
        <v>150</v>
      </c>
      <c r="B151" s="10">
        <v>9</v>
      </c>
      <c r="C151" s="10">
        <v>163</v>
      </c>
      <c r="D151" s="11" t="s">
        <v>6219</v>
      </c>
      <c r="E151" s="12" t="s">
        <v>6226</v>
      </c>
      <c r="F151" s="11" t="s">
        <v>6230</v>
      </c>
      <c r="G151" s="10"/>
      <c r="H151" s="13" t="s">
        <v>6231</v>
      </c>
      <c r="I151" s="14" t="s">
        <v>6232</v>
      </c>
      <c r="J151" s="15" t="s">
        <v>6233</v>
      </c>
      <c r="K151" s="16" t="s">
        <v>82</v>
      </c>
      <c r="L151" s="17"/>
      <c r="M151" s="17"/>
      <c r="N151" s="17"/>
      <c r="O151" s="17"/>
      <c r="P151" s="18"/>
      <c r="Q151" s="16" t="s">
        <v>83</v>
      </c>
      <c r="R151" s="18"/>
    </row>
    <row r="152" spans="1:18" ht="16.5" customHeight="1">
      <c r="A152" s="10">
        <v>151</v>
      </c>
      <c r="B152" s="10">
        <v>9</v>
      </c>
      <c r="C152" s="10">
        <v>169</v>
      </c>
      <c r="D152" s="11" t="s">
        <v>6234</v>
      </c>
      <c r="E152" s="12" t="s">
        <v>6235</v>
      </c>
      <c r="F152" s="11" t="s">
        <v>6236</v>
      </c>
      <c r="G152" s="10"/>
      <c r="H152" s="13" t="s">
        <v>6237</v>
      </c>
      <c r="I152" s="14" t="s">
        <v>6238</v>
      </c>
      <c r="J152" s="15" t="s">
        <v>6239</v>
      </c>
      <c r="K152" s="16" t="s">
        <v>82</v>
      </c>
      <c r="L152" s="17"/>
      <c r="M152" s="17"/>
      <c r="N152" s="17"/>
      <c r="O152" s="17"/>
      <c r="P152" s="18"/>
      <c r="Q152" s="16" t="s">
        <v>83</v>
      </c>
      <c r="R152" s="18"/>
    </row>
    <row r="153" spans="1:18" ht="16.5" customHeight="1">
      <c r="A153" s="10">
        <v>152</v>
      </c>
      <c r="B153" s="10">
        <v>9</v>
      </c>
      <c r="C153" s="10">
        <v>170</v>
      </c>
      <c r="D153" s="11" t="s">
        <v>6235</v>
      </c>
      <c r="E153" s="19" t="s">
        <v>6236</v>
      </c>
      <c r="F153" s="11" t="s">
        <v>6240</v>
      </c>
      <c r="G153" s="10" t="s">
        <v>575</v>
      </c>
      <c r="H153" s="13" t="s">
        <v>6241</v>
      </c>
      <c r="I153" s="14" t="s">
        <v>6242</v>
      </c>
      <c r="J153" s="15" t="s">
        <v>6242</v>
      </c>
      <c r="K153" s="16" t="s">
        <v>82</v>
      </c>
      <c r="L153" s="17"/>
      <c r="M153" s="17"/>
      <c r="N153" s="17"/>
      <c r="O153" s="17"/>
      <c r="P153" s="18"/>
      <c r="Q153" s="16" t="s">
        <v>83</v>
      </c>
      <c r="R153" s="18"/>
    </row>
    <row r="154" spans="1:18" ht="16.5" customHeight="1">
      <c r="A154" s="10">
        <v>153</v>
      </c>
      <c r="B154" s="10">
        <v>9</v>
      </c>
      <c r="C154" s="10">
        <v>171</v>
      </c>
      <c r="D154" s="11" t="s">
        <v>6236</v>
      </c>
      <c r="E154" s="12" t="s">
        <v>6240</v>
      </c>
      <c r="F154" s="11" t="s">
        <v>6243</v>
      </c>
      <c r="G154" s="10"/>
      <c r="H154" s="13" t="s">
        <v>6244</v>
      </c>
      <c r="I154" s="14" t="s">
        <v>6245</v>
      </c>
      <c r="J154" s="15" t="s">
        <v>6245</v>
      </c>
      <c r="K154" s="16" t="s">
        <v>82</v>
      </c>
      <c r="L154" s="17"/>
      <c r="M154" s="17"/>
      <c r="N154" s="17"/>
      <c r="O154" s="17"/>
      <c r="P154" s="18"/>
      <c r="Q154" s="16" t="s">
        <v>83</v>
      </c>
      <c r="R154" s="18"/>
    </row>
    <row r="155" spans="1:18" ht="16.5" customHeight="1">
      <c r="A155" s="10">
        <v>154</v>
      </c>
      <c r="B155" s="10">
        <v>9</v>
      </c>
      <c r="C155" s="10">
        <v>172</v>
      </c>
      <c r="D155" s="11" t="s">
        <v>6240</v>
      </c>
      <c r="E155" s="19" t="s">
        <v>6243</v>
      </c>
      <c r="F155" s="11" t="s">
        <v>6246</v>
      </c>
      <c r="G155" s="10" t="s">
        <v>575</v>
      </c>
      <c r="H155" s="13" t="s">
        <v>6247</v>
      </c>
      <c r="I155" s="14" t="s">
        <v>6248</v>
      </c>
      <c r="J155" s="15" t="s">
        <v>6249</v>
      </c>
      <c r="K155" s="16" t="s">
        <v>82</v>
      </c>
      <c r="L155" s="17"/>
      <c r="M155" s="17"/>
      <c r="N155" s="17"/>
      <c r="O155" s="17"/>
      <c r="P155" s="18"/>
      <c r="Q155" s="16" t="s">
        <v>83</v>
      </c>
      <c r="R155" s="18"/>
    </row>
    <row r="156" spans="1:18" ht="16.5" customHeight="1">
      <c r="A156" s="10">
        <v>155</v>
      </c>
      <c r="B156" s="10">
        <v>9</v>
      </c>
      <c r="C156" s="10">
        <v>173</v>
      </c>
      <c r="D156" s="11" t="s">
        <v>6243</v>
      </c>
      <c r="E156" s="12" t="s">
        <v>6246</v>
      </c>
      <c r="F156" s="11" t="s">
        <v>6250</v>
      </c>
      <c r="G156" s="10"/>
      <c r="H156" s="13" t="s">
        <v>6251</v>
      </c>
      <c r="I156" s="14" t="s">
        <v>6252</v>
      </c>
      <c r="J156" s="15" t="s">
        <v>6253</v>
      </c>
      <c r="K156" s="16" t="s">
        <v>82</v>
      </c>
      <c r="L156" s="17"/>
      <c r="M156" s="17"/>
      <c r="N156" s="17"/>
      <c r="O156" s="17"/>
      <c r="P156" s="18"/>
      <c r="Q156" s="16" t="s">
        <v>83</v>
      </c>
      <c r="R156" s="18"/>
    </row>
    <row r="157" spans="1:18" ht="16.5" customHeight="1">
      <c r="A157" s="10">
        <v>156</v>
      </c>
      <c r="B157" s="10">
        <v>9</v>
      </c>
      <c r="C157" s="10">
        <v>176</v>
      </c>
      <c r="D157" s="11" t="s">
        <v>6254</v>
      </c>
      <c r="E157" s="12" t="s">
        <v>6255</v>
      </c>
      <c r="F157" s="11" t="s">
        <v>6256</v>
      </c>
      <c r="G157" s="10"/>
      <c r="H157" s="13" t="s">
        <v>6257</v>
      </c>
      <c r="I157" s="14" t="s">
        <v>6258</v>
      </c>
      <c r="J157" s="15" t="s">
        <v>6259</v>
      </c>
      <c r="K157" s="16" t="s">
        <v>82</v>
      </c>
      <c r="L157" s="17"/>
      <c r="M157" s="17"/>
      <c r="N157" s="17"/>
      <c r="O157" s="17"/>
      <c r="P157" s="18"/>
      <c r="Q157" s="16" t="s">
        <v>83</v>
      </c>
      <c r="R157" s="18"/>
    </row>
    <row r="158" spans="1:18" ht="16.5" customHeight="1">
      <c r="A158" s="10">
        <v>157</v>
      </c>
      <c r="B158" s="10">
        <v>9</v>
      </c>
      <c r="C158" s="10">
        <v>177</v>
      </c>
      <c r="D158" s="11" t="s">
        <v>6255</v>
      </c>
      <c r="E158" s="19" t="s">
        <v>6256</v>
      </c>
      <c r="F158" s="11" t="s">
        <v>6260</v>
      </c>
      <c r="G158" s="10" t="s">
        <v>575</v>
      </c>
      <c r="H158" s="13" t="s">
        <v>6261</v>
      </c>
      <c r="I158" s="14" t="s">
        <v>6262</v>
      </c>
      <c r="J158" s="15" t="s">
        <v>6263</v>
      </c>
      <c r="K158" s="16" t="s">
        <v>82</v>
      </c>
      <c r="L158" s="17"/>
      <c r="M158" s="17"/>
      <c r="N158" s="17"/>
      <c r="O158" s="17"/>
      <c r="P158" s="18"/>
      <c r="Q158" s="16" t="s">
        <v>83</v>
      </c>
      <c r="R158" s="18"/>
    </row>
    <row r="159" spans="1:18" ht="16.5" customHeight="1">
      <c r="A159" s="10">
        <v>158</v>
      </c>
      <c r="B159" s="10">
        <v>9</v>
      </c>
      <c r="C159" s="10">
        <v>178</v>
      </c>
      <c r="D159" s="11" t="s">
        <v>6256</v>
      </c>
      <c r="E159" s="12" t="s">
        <v>6260</v>
      </c>
      <c r="F159" s="11" t="s">
        <v>6264</v>
      </c>
      <c r="G159" s="10"/>
      <c r="H159" s="13" t="s">
        <v>6265</v>
      </c>
      <c r="I159" s="14" t="s">
        <v>6266</v>
      </c>
      <c r="J159" s="15" t="s">
        <v>6267</v>
      </c>
      <c r="K159" s="16" t="s">
        <v>82</v>
      </c>
      <c r="L159" s="17"/>
      <c r="M159" s="17"/>
      <c r="N159" s="17"/>
      <c r="O159" s="17"/>
      <c r="P159" s="18"/>
      <c r="Q159" s="16" t="s">
        <v>83</v>
      </c>
      <c r="R159" s="18"/>
    </row>
    <row r="160" spans="1:18" ht="16.5" customHeight="1">
      <c r="A160" s="10">
        <v>159</v>
      </c>
      <c r="B160" s="10">
        <v>9</v>
      </c>
      <c r="C160" s="10">
        <v>184</v>
      </c>
      <c r="D160" s="11" t="s">
        <v>6268</v>
      </c>
      <c r="E160" s="12" t="s">
        <v>165</v>
      </c>
      <c r="F160" s="11" t="s">
        <v>6269</v>
      </c>
      <c r="G160" s="10"/>
      <c r="H160" s="13" t="s">
        <v>6270</v>
      </c>
      <c r="I160" s="14" t="s">
        <v>6271</v>
      </c>
      <c r="J160" s="15" t="s">
        <v>6272</v>
      </c>
      <c r="K160" s="16" t="s">
        <v>82</v>
      </c>
      <c r="L160" s="17"/>
      <c r="M160" s="17"/>
      <c r="N160" s="17"/>
      <c r="O160" s="17"/>
      <c r="P160" s="18"/>
      <c r="Q160" s="16" t="s">
        <v>83</v>
      </c>
      <c r="R160" s="18"/>
    </row>
    <row r="161" spans="1:18" ht="16.5" customHeight="1">
      <c r="A161" s="10">
        <v>160</v>
      </c>
      <c r="B161" s="10">
        <v>9</v>
      </c>
      <c r="C161" s="10">
        <v>185</v>
      </c>
      <c r="D161" s="11" t="s">
        <v>165</v>
      </c>
      <c r="E161" s="19" t="s">
        <v>6269</v>
      </c>
      <c r="F161" s="11" t="s">
        <v>6273</v>
      </c>
      <c r="G161" s="10" t="s">
        <v>575</v>
      </c>
      <c r="H161" s="13" t="s">
        <v>6274</v>
      </c>
      <c r="I161" s="14" t="s">
        <v>6275</v>
      </c>
      <c r="J161" s="15" t="s">
        <v>6275</v>
      </c>
      <c r="K161" s="16" t="s">
        <v>82</v>
      </c>
      <c r="L161" s="17"/>
      <c r="M161" s="17"/>
      <c r="N161" s="17"/>
      <c r="O161" s="17"/>
      <c r="P161" s="18"/>
      <c r="Q161" s="16" t="s">
        <v>83</v>
      </c>
      <c r="R161" s="18"/>
    </row>
    <row r="162" spans="1:18" ht="16.5" customHeight="1">
      <c r="A162" s="10">
        <v>161</v>
      </c>
      <c r="B162" s="10">
        <v>9</v>
      </c>
      <c r="C162" s="10">
        <v>186</v>
      </c>
      <c r="D162" s="11" t="s">
        <v>6269</v>
      </c>
      <c r="E162" s="12" t="s">
        <v>6273</v>
      </c>
      <c r="F162" s="11" t="s">
        <v>6276</v>
      </c>
      <c r="G162" s="10"/>
      <c r="H162" s="13" t="s">
        <v>6277</v>
      </c>
      <c r="I162" s="14" t="s">
        <v>6278</v>
      </c>
      <c r="J162" s="15" t="s">
        <v>6278</v>
      </c>
      <c r="K162" s="16" t="s">
        <v>82</v>
      </c>
      <c r="L162" s="17"/>
      <c r="M162" s="17"/>
      <c r="N162" s="17"/>
      <c r="O162" s="17"/>
      <c r="P162" s="18"/>
      <c r="Q162" s="16" t="s">
        <v>83</v>
      </c>
      <c r="R162" s="18"/>
    </row>
    <row r="163" spans="1:18" ht="16.5" customHeight="1">
      <c r="A163" s="10">
        <v>162</v>
      </c>
      <c r="B163" s="10">
        <v>9</v>
      </c>
      <c r="C163" s="10">
        <v>190</v>
      </c>
      <c r="D163" s="11" t="s">
        <v>6279</v>
      </c>
      <c r="E163" s="12" t="s">
        <v>6280</v>
      </c>
      <c r="F163" s="11" t="s">
        <v>6281</v>
      </c>
      <c r="G163" s="10"/>
      <c r="H163" s="13" t="s">
        <v>6282</v>
      </c>
      <c r="I163" s="14" t="s">
        <v>6283</v>
      </c>
      <c r="J163" s="15" t="s">
        <v>6283</v>
      </c>
      <c r="K163" s="16" t="s">
        <v>82</v>
      </c>
      <c r="L163" s="17"/>
      <c r="M163" s="17"/>
      <c r="N163" s="17"/>
      <c r="O163" s="17"/>
      <c r="P163" s="18"/>
      <c r="Q163" s="16" t="s">
        <v>83</v>
      </c>
      <c r="R163" s="18"/>
    </row>
    <row r="164" spans="1:18" ht="16.5" customHeight="1">
      <c r="A164" s="10">
        <v>163</v>
      </c>
      <c r="B164" s="10">
        <v>9</v>
      </c>
      <c r="C164" s="10">
        <v>191</v>
      </c>
      <c r="D164" s="11" t="s">
        <v>6280</v>
      </c>
      <c r="E164" s="19" t="s">
        <v>6281</v>
      </c>
      <c r="F164" s="11" t="s">
        <v>6284</v>
      </c>
      <c r="G164" s="10" t="s">
        <v>575</v>
      </c>
      <c r="H164" s="13" t="s">
        <v>6285</v>
      </c>
      <c r="I164" s="14" t="s">
        <v>6286</v>
      </c>
      <c r="J164" s="15" t="s">
        <v>6287</v>
      </c>
      <c r="K164" s="16" t="s">
        <v>82</v>
      </c>
      <c r="L164" s="17"/>
      <c r="M164" s="17"/>
      <c r="N164" s="17"/>
      <c r="O164" s="17"/>
      <c r="P164" s="18"/>
      <c r="Q164" s="16" t="s">
        <v>83</v>
      </c>
      <c r="R164" s="18"/>
    </row>
    <row r="165" spans="1:18" ht="16.5" customHeight="1">
      <c r="A165" s="10">
        <v>164</v>
      </c>
      <c r="B165" s="10">
        <v>9</v>
      </c>
      <c r="C165" s="10">
        <v>192</v>
      </c>
      <c r="D165" s="11" t="s">
        <v>6281</v>
      </c>
      <c r="E165" s="12" t="s">
        <v>6284</v>
      </c>
      <c r="F165" s="11" t="s">
        <v>6288</v>
      </c>
      <c r="G165" s="10"/>
      <c r="H165" s="13" t="s">
        <v>6289</v>
      </c>
      <c r="I165" s="14" t="s">
        <v>6290</v>
      </c>
      <c r="J165" s="15" t="s">
        <v>6291</v>
      </c>
      <c r="K165" s="16" t="s">
        <v>82</v>
      </c>
      <c r="L165" s="17"/>
      <c r="M165" s="17"/>
      <c r="N165" s="17"/>
      <c r="O165" s="17"/>
      <c r="P165" s="18"/>
      <c r="Q165" s="16" t="s">
        <v>83</v>
      </c>
      <c r="R165" s="18"/>
    </row>
    <row r="166" spans="1:18" ht="16.5" customHeight="1">
      <c r="A166" s="10">
        <v>165</v>
      </c>
      <c r="B166" s="10">
        <v>9</v>
      </c>
      <c r="C166" s="10">
        <v>225</v>
      </c>
      <c r="D166" s="11" t="s">
        <v>6292</v>
      </c>
      <c r="E166" s="12" t="s">
        <v>6293</v>
      </c>
      <c r="F166" s="11" t="s">
        <v>6294</v>
      </c>
      <c r="G166" s="10"/>
      <c r="H166" s="13" t="s">
        <v>6295</v>
      </c>
      <c r="I166" s="14" t="s">
        <v>6296</v>
      </c>
      <c r="J166" s="15" t="s">
        <v>6296</v>
      </c>
      <c r="K166" s="16" t="s">
        <v>82</v>
      </c>
      <c r="L166" s="17"/>
      <c r="M166" s="17"/>
      <c r="N166" s="17"/>
      <c r="O166" s="17"/>
      <c r="P166" s="18"/>
      <c r="Q166" s="16" t="s">
        <v>83</v>
      </c>
      <c r="R166" s="18"/>
    </row>
    <row r="167" spans="1:18" ht="16.5" customHeight="1">
      <c r="A167" s="10">
        <v>166</v>
      </c>
      <c r="B167" s="10">
        <v>9</v>
      </c>
      <c r="C167" s="10">
        <v>226</v>
      </c>
      <c r="D167" s="11" t="s">
        <v>6293</v>
      </c>
      <c r="E167" s="19" t="s">
        <v>6294</v>
      </c>
      <c r="F167" s="11" t="s">
        <v>6297</v>
      </c>
      <c r="G167" s="10" t="s">
        <v>1957</v>
      </c>
      <c r="H167" s="13" t="s">
        <v>6298</v>
      </c>
      <c r="I167" s="14" t="s">
        <v>6299</v>
      </c>
      <c r="J167" s="15" t="s">
        <v>6299</v>
      </c>
      <c r="K167" s="16" t="s">
        <v>82</v>
      </c>
      <c r="L167" s="17"/>
      <c r="M167" s="17"/>
      <c r="N167" s="17"/>
      <c r="O167" s="17"/>
      <c r="P167" s="18"/>
      <c r="Q167" s="16" t="s">
        <v>83</v>
      </c>
      <c r="R167" s="18"/>
    </row>
    <row r="168" spans="1:18" ht="16.5" customHeight="1">
      <c r="A168" s="10">
        <v>167</v>
      </c>
      <c r="B168" s="10">
        <v>9</v>
      </c>
      <c r="C168" s="10">
        <v>227</v>
      </c>
      <c r="D168" s="11" t="s">
        <v>6294</v>
      </c>
      <c r="E168" s="12" t="s">
        <v>6297</v>
      </c>
      <c r="F168" s="11" t="s">
        <v>6300</v>
      </c>
      <c r="G168" s="10"/>
      <c r="H168" s="13" t="s">
        <v>6301</v>
      </c>
      <c r="I168" s="14" t="s">
        <v>6302</v>
      </c>
      <c r="J168" s="15" t="s">
        <v>6302</v>
      </c>
      <c r="K168" s="16" t="s">
        <v>82</v>
      </c>
      <c r="L168" s="17"/>
      <c r="M168" s="17"/>
      <c r="N168" s="17"/>
      <c r="O168" s="17"/>
      <c r="P168" s="18"/>
      <c r="Q168" s="16" t="s">
        <v>83</v>
      </c>
      <c r="R168" s="18"/>
    </row>
    <row r="169" spans="1:18" ht="16.5" customHeight="1">
      <c r="A169" s="10">
        <v>168</v>
      </c>
      <c r="B169" s="10">
        <v>9</v>
      </c>
      <c r="C169" s="10">
        <v>232</v>
      </c>
      <c r="D169" s="11" t="s">
        <v>6303</v>
      </c>
      <c r="E169" s="12" t="s">
        <v>6304</v>
      </c>
      <c r="F169" s="11" t="s">
        <v>6305</v>
      </c>
      <c r="G169" s="10"/>
      <c r="H169" s="13" t="s">
        <v>6306</v>
      </c>
      <c r="I169" s="14" t="s">
        <v>6307</v>
      </c>
      <c r="J169" s="15" t="s">
        <v>6308</v>
      </c>
      <c r="K169" s="16" t="s">
        <v>82</v>
      </c>
      <c r="L169" s="17"/>
      <c r="M169" s="17"/>
      <c r="N169" s="17"/>
      <c r="O169" s="17"/>
      <c r="P169" s="18"/>
      <c r="Q169" s="16" t="s">
        <v>83</v>
      </c>
      <c r="R169" s="18"/>
    </row>
    <row r="170" spans="1:18" ht="16.5" customHeight="1">
      <c r="A170" s="10">
        <v>169</v>
      </c>
      <c r="B170" s="10">
        <v>9</v>
      </c>
      <c r="C170" s="10">
        <v>233</v>
      </c>
      <c r="D170" s="11" t="s">
        <v>6304</v>
      </c>
      <c r="E170" s="19" t="s">
        <v>6305</v>
      </c>
      <c r="F170" s="11" t="s">
        <v>6309</v>
      </c>
      <c r="G170" s="10" t="s">
        <v>160</v>
      </c>
      <c r="H170" s="13" t="s">
        <v>6310</v>
      </c>
      <c r="I170" s="14" t="s">
        <v>6311</v>
      </c>
      <c r="J170" s="15" t="s">
        <v>6312</v>
      </c>
      <c r="K170" s="16" t="s">
        <v>82</v>
      </c>
      <c r="L170" s="17"/>
      <c r="M170" s="17"/>
      <c r="N170" s="17"/>
      <c r="O170" s="17"/>
      <c r="P170" s="18"/>
      <c r="Q170" s="16" t="s">
        <v>83</v>
      </c>
      <c r="R170" s="18"/>
    </row>
    <row r="171" spans="1:18" ht="16.5" customHeight="1">
      <c r="A171" s="10">
        <v>170</v>
      </c>
      <c r="B171" s="10">
        <v>9</v>
      </c>
      <c r="C171" s="10">
        <v>234</v>
      </c>
      <c r="D171" s="11" t="s">
        <v>6305</v>
      </c>
      <c r="E171" s="12" t="s">
        <v>6309</v>
      </c>
      <c r="F171" s="11" t="s">
        <v>6313</v>
      </c>
      <c r="G171" s="10"/>
      <c r="H171" s="13" t="s">
        <v>6314</v>
      </c>
      <c r="I171" s="14" t="s">
        <v>6315</v>
      </c>
      <c r="J171" s="15" t="s">
        <v>6316</v>
      </c>
      <c r="K171" s="16" t="s">
        <v>82</v>
      </c>
      <c r="L171" s="17"/>
      <c r="M171" s="17"/>
      <c r="N171" s="17"/>
      <c r="O171" s="17"/>
      <c r="P171" s="18"/>
      <c r="Q171" s="16" t="s">
        <v>83</v>
      </c>
      <c r="R171" s="18"/>
    </row>
    <row r="172" spans="1:18" ht="16.5" customHeight="1">
      <c r="A172" s="10">
        <v>171</v>
      </c>
      <c r="B172" s="10">
        <v>9</v>
      </c>
      <c r="C172" s="10">
        <v>245</v>
      </c>
      <c r="D172" s="11" t="s">
        <v>6317</v>
      </c>
      <c r="E172" s="12" t="s">
        <v>284</v>
      </c>
      <c r="F172" s="11" t="s">
        <v>6318</v>
      </c>
      <c r="G172" s="10"/>
      <c r="H172" s="13" t="s">
        <v>6319</v>
      </c>
      <c r="I172" s="14" t="s">
        <v>6320</v>
      </c>
      <c r="J172" s="15" t="s">
        <v>6320</v>
      </c>
      <c r="K172" s="16" t="s">
        <v>82</v>
      </c>
      <c r="L172" s="17"/>
      <c r="M172" s="17"/>
      <c r="N172" s="17"/>
      <c r="O172" s="17"/>
      <c r="P172" s="18"/>
      <c r="Q172" s="16" t="s">
        <v>83</v>
      </c>
      <c r="R172" s="18"/>
    </row>
    <row r="173" spans="1:18" ht="26.25" customHeight="1">
      <c r="A173" s="10">
        <v>172</v>
      </c>
      <c r="B173" s="10">
        <v>9</v>
      </c>
      <c r="C173" s="10">
        <v>246</v>
      </c>
      <c r="D173" s="11" t="s">
        <v>284</v>
      </c>
      <c r="E173" s="19" t="s">
        <v>6318</v>
      </c>
      <c r="F173" s="11" t="s">
        <v>6321</v>
      </c>
      <c r="G173" s="10" t="s">
        <v>1957</v>
      </c>
      <c r="H173" s="13" t="s">
        <v>6322</v>
      </c>
      <c r="I173" s="14" t="s">
        <v>6323</v>
      </c>
      <c r="J173" s="15" t="s">
        <v>6323</v>
      </c>
      <c r="K173" s="16" t="s">
        <v>82</v>
      </c>
      <c r="L173" s="17"/>
      <c r="M173" s="17"/>
      <c r="N173" s="17"/>
      <c r="O173" s="17"/>
      <c r="P173" s="18"/>
      <c r="Q173" s="16" t="s">
        <v>83</v>
      </c>
      <c r="R173" s="18"/>
    </row>
    <row r="174" spans="1:18" ht="16.5" customHeight="1">
      <c r="A174" s="10">
        <v>173</v>
      </c>
      <c r="B174" s="10">
        <v>9</v>
      </c>
      <c r="C174" s="10">
        <v>247</v>
      </c>
      <c r="D174" s="11" t="s">
        <v>6318</v>
      </c>
      <c r="E174" s="12" t="s">
        <v>6321</v>
      </c>
      <c r="F174" s="11" t="s">
        <v>6324</v>
      </c>
      <c r="G174" s="10"/>
      <c r="H174" s="13" t="s">
        <v>6325</v>
      </c>
      <c r="I174" s="14" t="s">
        <v>6326</v>
      </c>
      <c r="J174" s="15" t="s">
        <v>6327</v>
      </c>
      <c r="K174" s="16" t="s">
        <v>82</v>
      </c>
      <c r="L174" s="17"/>
      <c r="M174" s="17"/>
      <c r="N174" s="17"/>
      <c r="O174" s="17"/>
      <c r="P174" s="18"/>
      <c r="Q174" s="16" t="s">
        <v>83</v>
      </c>
      <c r="R174" s="18"/>
    </row>
    <row r="175" spans="1:18" ht="16.5" customHeight="1">
      <c r="A175" s="10">
        <v>174</v>
      </c>
      <c r="B175" s="10">
        <v>9</v>
      </c>
      <c r="C175" s="10">
        <v>253</v>
      </c>
      <c r="D175" s="11" t="s">
        <v>6328</v>
      </c>
      <c r="E175" s="12" t="s">
        <v>6329</v>
      </c>
      <c r="F175" s="11" t="s">
        <v>6330</v>
      </c>
      <c r="G175" s="10"/>
      <c r="H175" s="13" t="s">
        <v>6331</v>
      </c>
      <c r="I175" s="14" t="s">
        <v>6332</v>
      </c>
      <c r="J175" s="15" t="s">
        <v>6332</v>
      </c>
      <c r="K175" s="16" t="s">
        <v>82</v>
      </c>
      <c r="L175" s="17"/>
      <c r="M175" s="17"/>
      <c r="N175" s="17"/>
      <c r="O175" s="17"/>
      <c r="P175" s="18"/>
      <c r="Q175" s="16" t="s">
        <v>83</v>
      </c>
      <c r="R175" s="18"/>
    </row>
    <row r="176" spans="1:18" ht="16.5" customHeight="1">
      <c r="A176" s="10">
        <v>175</v>
      </c>
      <c r="B176" s="10">
        <v>9</v>
      </c>
      <c r="C176" s="10">
        <v>254</v>
      </c>
      <c r="D176" s="11" t="s">
        <v>6329</v>
      </c>
      <c r="E176" s="19" t="s">
        <v>6330</v>
      </c>
      <c r="F176" s="11" t="s">
        <v>6333</v>
      </c>
      <c r="G176" s="10" t="s">
        <v>305</v>
      </c>
      <c r="H176" s="13" t="s">
        <v>6334</v>
      </c>
      <c r="I176" s="14" t="s">
        <v>6335</v>
      </c>
      <c r="J176" s="15" t="s">
        <v>6336</v>
      </c>
      <c r="K176" s="16" t="s">
        <v>82</v>
      </c>
      <c r="L176" s="17"/>
      <c r="M176" s="17"/>
      <c r="N176" s="17"/>
      <c r="O176" s="17"/>
      <c r="P176" s="18"/>
      <c r="Q176" s="16" t="s">
        <v>83</v>
      </c>
      <c r="R176" s="18"/>
    </row>
    <row r="177" spans="1:18" ht="16.5" customHeight="1">
      <c r="A177" s="10">
        <v>176</v>
      </c>
      <c r="B177" s="10">
        <v>9</v>
      </c>
      <c r="C177" s="10">
        <v>255</v>
      </c>
      <c r="D177" s="11" t="s">
        <v>6330</v>
      </c>
      <c r="E177" s="19" t="s">
        <v>6333</v>
      </c>
      <c r="F177" s="11" t="s">
        <v>6337</v>
      </c>
      <c r="G177" s="10" t="s">
        <v>1957</v>
      </c>
      <c r="H177" s="13" t="s">
        <v>6338</v>
      </c>
      <c r="I177" s="14" t="s">
        <v>6339</v>
      </c>
      <c r="J177" s="15" t="s">
        <v>6340</v>
      </c>
      <c r="K177" s="16" t="s">
        <v>82</v>
      </c>
      <c r="L177" s="17"/>
      <c r="M177" s="17"/>
      <c r="N177" s="17"/>
      <c r="O177" s="17"/>
      <c r="P177" s="18"/>
      <c r="Q177" s="16" t="s">
        <v>83</v>
      </c>
      <c r="R177" s="18"/>
    </row>
    <row r="178" spans="1:18" ht="16.5" customHeight="1">
      <c r="A178" s="10">
        <v>177</v>
      </c>
      <c r="B178" s="10">
        <v>9</v>
      </c>
      <c r="C178" s="10">
        <v>256</v>
      </c>
      <c r="D178" s="11" t="s">
        <v>6333</v>
      </c>
      <c r="E178" s="12" t="s">
        <v>6337</v>
      </c>
      <c r="F178" s="11" t="s">
        <v>6341</v>
      </c>
      <c r="G178" s="10"/>
      <c r="H178" s="13" t="s">
        <v>6342</v>
      </c>
      <c r="I178" s="14" t="s">
        <v>6343</v>
      </c>
      <c r="J178" s="15" t="s">
        <v>6343</v>
      </c>
      <c r="K178" s="16" t="s">
        <v>82</v>
      </c>
      <c r="L178" s="17"/>
      <c r="M178" s="17"/>
      <c r="N178" s="17"/>
      <c r="O178" s="17"/>
      <c r="P178" s="18"/>
      <c r="Q178" s="16" t="s">
        <v>83</v>
      </c>
      <c r="R178" s="18"/>
    </row>
    <row r="179" spans="1:18" ht="16.5" customHeight="1">
      <c r="A179" s="10">
        <v>178</v>
      </c>
      <c r="B179" s="10">
        <v>9</v>
      </c>
      <c r="C179" s="10">
        <v>262</v>
      </c>
      <c r="D179" s="11" t="s">
        <v>6344</v>
      </c>
      <c r="E179" s="12" t="s">
        <v>6345</v>
      </c>
      <c r="F179" s="11" t="s">
        <v>6346</v>
      </c>
      <c r="G179" s="10"/>
      <c r="H179" s="13" t="s">
        <v>6347</v>
      </c>
      <c r="I179" s="14" t="s">
        <v>6348</v>
      </c>
      <c r="J179" s="15" t="s">
        <v>6348</v>
      </c>
      <c r="K179" s="16" t="s">
        <v>82</v>
      </c>
      <c r="L179" s="17"/>
      <c r="M179" s="17"/>
      <c r="N179" s="17"/>
      <c r="O179" s="17"/>
      <c r="P179" s="18"/>
      <c r="Q179" s="16" t="s">
        <v>83</v>
      </c>
      <c r="R179" s="18"/>
    </row>
    <row r="180" spans="1:18" ht="26.25" customHeight="1">
      <c r="A180" s="10">
        <v>179</v>
      </c>
      <c r="B180" s="10">
        <v>9</v>
      </c>
      <c r="C180" s="10">
        <v>263</v>
      </c>
      <c r="D180" s="11" t="s">
        <v>6345</v>
      </c>
      <c r="E180" s="19" t="s">
        <v>6346</v>
      </c>
      <c r="F180" s="11" t="s">
        <v>6240</v>
      </c>
      <c r="G180" s="10" t="s">
        <v>3386</v>
      </c>
      <c r="H180" s="13" t="s">
        <v>6349</v>
      </c>
      <c r="I180" s="14" t="s">
        <v>6350</v>
      </c>
      <c r="J180" s="15" t="s">
        <v>6351</v>
      </c>
      <c r="K180" s="16" t="s">
        <v>89</v>
      </c>
      <c r="L180" s="17" t="s">
        <v>473</v>
      </c>
      <c r="M180" s="17" t="s">
        <v>91</v>
      </c>
      <c r="N180" s="17" t="s">
        <v>6352</v>
      </c>
      <c r="O180" s="17" t="s">
        <v>6353</v>
      </c>
      <c r="P180" s="18" t="s">
        <v>6354</v>
      </c>
      <c r="Q180" s="16" t="s">
        <v>83</v>
      </c>
      <c r="R180" s="18"/>
    </row>
    <row r="181" spans="1:18" ht="16.5" customHeight="1">
      <c r="A181" s="10">
        <v>180</v>
      </c>
      <c r="B181" s="10">
        <v>9</v>
      </c>
      <c r="C181" s="10">
        <v>264</v>
      </c>
      <c r="D181" s="11" t="s">
        <v>6346</v>
      </c>
      <c r="E181" s="12" t="s">
        <v>6240</v>
      </c>
      <c r="F181" s="11" t="s">
        <v>6355</v>
      </c>
      <c r="G181" s="10"/>
      <c r="H181" s="13" t="s">
        <v>6244</v>
      </c>
      <c r="I181" s="14" t="s">
        <v>6245</v>
      </c>
      <c r="J181" s="15" t="s">
        <v>6245</v>
      </c>
      <c r="K181" s="16" t="s">
        <v>82</v>
      </c>
      <c r="L181" s="17"/>
      <c r="M181" s="17"/>
      <c r="N181" s="17"/>
      <c r="O181" s="17"/>
      <c r="P181" s="18"/>
      <c r="Q181" s="16" t="s">
        <v>83</v>
      </c>
      <c r="R181" s="18"/>
    </row>
    <row r="182" spans="1:18" ht="16.5" customHeight="1">
      <c r="A182" s="10">
        <v>181</v>
      </c>
      <c r="B182" s="10">
        <v>9</v>
      </c>
      <c r="C182" s="10">
        <v>265</v>
      </c>
      <c r="D182" s="11" t="s">
        <v>6240</v>
      </c>
      <c r="E182" s="19" t="s">
        <v>6355</v>
      </c>
      <c r="F182" s="11" t="s">
        <v>6356</v>
      </c>
      <c r="G182" s="10" t="s">
        <v>133</v>
      </c>
      <c r="H182" s="13" t="s">
        <v>6357</v>
      </c>
      <c r="I182" s="14" t="s">
        <v>6358</v>
      </c>
      <c r="J182" s="15" t="s">
        <v>6359</v>
      </c>
      <c r="K182" s="16" t="s">
        <v>89</v>
      </c>
      <c r="L182" s="17" t="s">
        <v>368</v>
      </c>
      <c r="M182" s="17" t="s">
        <v>209</v>
      </c>
      <c r="N182" s="17" t="s">
        <v>6360</v>
      </c>
      <c r="O182" s="17" t="s">
        <v>6361</v>
      </c>
      <c r="P182" s="18" t="s">
        <v>6362</v>
      </c>
      <c r="Q182" s="16" t="s">
        <v>83</v>
      </c>
      <c r="R182" s="18"/>
    </row>
    <row r="183" spans="1:18" ht="16.5" customHeight="1">
      <c r="A183" s="10">
        <v>182</v>
      </c>
      <c r="B183" s="10">
        <v>9</v>
      </c>
      <c r="C183" s="10">
        <v>266</v>
      </c>
      <c r="D183" s="11" t="s">
        <v>6355</v>
      </c>
      <c r="E183" s="12" t="s">
        <v>6356</v>
      </c>
      <c r="F183" s="11" t="s">
        <v>6363</v>
      </c>
      <c r="G183" s="10"/>
      <c r="H183" s="13" t="s">
        <v>6364</v>
      </c>
      <c r="I183" s="14" t="s">
        <v>6365</v>
      </c>
      <c r="J183" s="15" t="s">
        <v>6366</v>
      </c>
      <c r="K183" s="16" t="s">
        <v>82</v>
      </c>
      <c r="L183" s="17"/>
      <c r="M183" s="17"/>
      <c r="N183" s="17"/>
      <c r="O183" s="17"/>
      <c r="P183" s="18"/>
      <c r="Q183" s="16" t="s">
        <v>83</v>
      </c>
      <c r="R183" s="18"/>
    </row>
    <row r="184" spans="1:18" ht="16.5" customHeight="1">
      <c r="A184" s="10">
        <v>183</v>
      </c>
      <c r="B184" s="10">
        <v>9</v>
      </c>
      <c r="C184" s="10">
        <v>267</v>
      </c>
      <c r="D184" s="11" t="s">
        <v>6356</v>
      </c>
      <c r="E184" s="19" t="s">
        <v>6363</v>
      </c>
      <c r="F184" s="11" t="s">
        <v>6367</v>
      </c>
      <c r="G184" s="10" t="s">
        <v>3386</v>
      </c>
      <c r="H184" s="13" t="s">
        <v>6368</v>
      </c>
      <c r="I184" s="14" t="s">
        <v>6369</v>
      </c>
      <c r="J184" s="15" t="s">
        <v>6369</v>
      </c>
      <c r="K184" s="16" t="s">
        <v>89</v>
      </c>
      <c r="L184" s="17" t="s">
        <v>368</v>
      </c>
      <c r="M184" s="17" t="s">
        <v>209</v>
      </c>
      <c r="N184" s="17" t="s">
        <v>6197</v>
      </c>
      <c r="O184" s="17" t="s">
        <v>6370</v>
      </c>
      <c r="P184" s="18" t="s">
        <v>6371</v>
      </c>
      <c r="Q184" s="16" t="s">
        <v>113</v>
      </c>
      <c r="R184" s="18"/>
    </row>
    <row r="185" spans="1:18" ht="16.5" customHeight="1">
      <c r="A185" s="10">
        <v>184</v>
      </c>
      <c r="B185" s="10">
        <v>9</v>
      </c>
      <c r="C185" s="10">
        <v>268</v>
      </c>
      <c r="D185" s="11" t="s">
        <v>6363</v>
      </c>
      <c r="E185" s="19" t="s">
        <v>6367</v>
      </c>
      <c r="F185" s="11" t="s">
        <v>6372</v>
      </c>
      <c r="G185" s="10" t="s">
        <v>1957</v>
      </c>
      <c r="H185" s="13" t="s">
        <v>6373</v>
      </c>
      <c r="I185" s="14" t="s">
        <v>6374</v>
      </c>
      <c r="J185" s="15" t="s">
        <v>6374</v>
      </c>
      <c r="K185" s="16" t="s">
        <v>82</v>
      </c>
      <c r="L185" s="17"/>
      <c r="M185" s="17"/>
      <c r="N185" s="17"/>
      <c r="O185" s="17"/>
      <c r="P185" s="18"/>
      <c r="Q185" s="16" t="s">
        <v>83</v>
      </c>
      <c r="R185" s="18"/>
    </row>
    <row r="186" spans="1:18" ht="16.5" customHeight="1">
      <c r="A186" s="10">
        <v>185</v>
      </c>
      <c r="B186" s="10">
        <v>9</v>
      </c>
      <c r="C186" s="10">
        <v>269</v>
      </c>
      <c r="D186" s="11" t="s">
        <v>6367</v>
      </c>
      <c r="E186" s="12" t="s">
        <v>6372</v>
      </c>
      <c r="F186" s="11" t="s">
        <v>6375</v>
      </c>
      <c r="G186" s="10"/>
      <c r="H186" s="13" t="s">
        <v>6376</v>
      </c>
      <c r="I186" s="14" t="s">
        <v>6377</v>
      </c>
      <c r="J186" s="15" t="s">
        <v>6377</v>
      </c>
      <c r="K186" s="16" t="s">
        <v>82</v>
      </c>
      <c r="L186" s="17"/>
      <c r="M186" s="17"/>
      <c r="N186" s="17"/>
      <c r="O186" s="17"/>
      <c r="P186" s="18"/>
      <c r="Q186" s="16" t="s">
        <v>83</v>
      </c>
      <c r="R186" s="18"/>
    </row>
    <row r="187" spans="1:18" ht="16.5" customHeight="1">
      <c r="A187" s="10">
        <v>186</v>
      </c>
      <c r="B187" s="10">
        <v>9</v>
      </c>
      <c r="C187" s="10">
        <v>271</v>
      </c>
      <c r="D187" s="11" t="s">
        <v>6375</v>
      </c>
      <c r="E187" s="12" t="s">
        <v>6378</v>
      </c>
      <c r="F187" s="11" t="s">
        <v>6379</v>
      </c>
      <c r="G187" s="10"/>
      <c r="H187" s="13" t="s">
        <v>6380</v>
      </c>
      <c r="I187" s="14" t="s">
        <v>6381</v>
      </c>
      <c r="J187" s="15" t="s">
        <v>6381</v>
      </c>
      <c r="K187" s="16" t="s">
        <v>82</v>
      </c>
      <c r="L187" s="17"/>
      <c r="M187" s="17"/>
      <c r="N187" s="17"/>
      <c r="O187" s="17"/>
      <c r="P187" s="18"/>
      <c r="Q187" s="16" t="s">
        <v>83</v>
      </c>
      <c r="R187" s="18"/>
    </row>
    <row r="188" spans="1:18" ht="16.5" customHeight="1">
      <c r="A188" s="10">
        <v>187</v>
      </c>
      <c r="B188" s="10">
        <v>9</v>
      </c>
      <c r="C188" s="10">
        <v>272</v>
      </c>
      <c r="D188" s="11" t="s">
        <v>6378</v>
      </c>
      <c r="E188" s="19" t="s">
        <v>6379</v>
      </c>
      <c r="F188" s="11" t="s">
        <v>6382</v>
      </c>
      <c r="G188" s="10" t="s">
        <v>3386</v>
      </c>
      <c r="H188" s="13" t="s">
        <v>5640</v>
      </c>
      <c r="I188" s="14" t="s">
        <v>6383</v>
      </c>
      <c r="J188" s="15" t="s">
        <v>6384</v>
      </c>
      <c r="K188" s="16" t="s">
        <v>82</v>
      </c>
      <c r="L188" s="17"/>
      <c r="M188" s="17"/>
      <c r="N188" s="17"/>
      <c r="O188" s="17"/>
      <c r="P188" s="18"/>
      <c r="Q188" s="16" t="s">
        <v>83</v>
      </c>
      <c r="R188" s="18"/>
    </row>
    <row r="189" spans="1:18" ht="16.5" customHeight="1">
      <c r="A189" s="10">
        <v>188</v>
      </c>
      <c r="B189" s="10">
        <v>9</v>
      </c>
      <c r="C189" s="10">
        <v>273</v>
      </c>
      <c r="D189" s="11" t="s">
        <v>6379</v>
      </c>
      <c r="E189" s="12" t="s">
        <v>6382</v>
      </c>
      <c r="F189" s="11" t="s">
        <v>6385</v>
      </c>
      <c r="G189" s="10"/>
      <c r="H189" s="13" t="s">
        <v>6386</v>
      </c>
      <c r="I189" s="14" t="s">
        <v>6387</v>
      </c>
      <c r="J189" s="15" t="s">
        <v>6387</v>
      </c>
      <c r="K189" s="16" t="s">
        <v>82</v>
      </c>
      <c r="L189" s="17"/>
      <c r="M189" s="17"/>
      <c r="N189" s="17"/>
      <c r="O189" s="17"/>
      <c r="P189" s="18"/>
      <c r="Q189" s="16" t="s">
        <v>83</v>
      </c>
      <c r="R189" s="18"/>
    </row>
    <row r="190" spans="1:18" ht="16.5" customHeight="1">
      <c r="A190" s="10">
        <v>189</v>
      </c>
      <c r="B190" s="10">
        <v>9</v>
      </c>
      <c r="C190" s="10">
        <v>274</v>
      </c>
      <c r="D190" s="11" t="s">
        <v>6382</v>
      </c>
      <c r="E190" s="12" t="s">
        <v>6385</v>
      </c>
      <c r="F190" s="11" t="s">
        <v>6388</v>
      </c>
      <c r="G190" s="10"/>
      <c r="H190" s="13" t="s">
        <v>3163</v>
      </c>
      <c r="I190" s="14" t="s">
        <v>6389</v>
      </c>
      <c r="J190" s="15" t="s">
        <v>6389</v>
      </c>
      <c r="K190" s="16" t="s">
        <v>82</v>
      </c>
      <c r="L190" s="17"/>
      <c r="M190" s="17"/>
      <c r="N190" s="17"/>
      <c r="O190" s="17"/>
      <c r="P190" s="18"/>
      <c r="Q190" s="16" t="s">
        <v>83</v>
      </c>
      <c r="R190" s="18"/>
    </row>
    <row r="191" spans="1:18" ht="16.5" customHeight="1">
      <c r="A191" s="10">
        <v>190</v>
      </c>
      <c r="B191" s="10">
        <v>9</v>
      </c>
      <c r="C191" s="10">
        <v>275</v>
      </c>
      <c r="D191" s="11" t="s">
        <v>6385</v>
      </c>
      <c r="E191" s="19" t="s">
        <v>6388</v>
      </c>
      <c r="F191" s="11" t="s">
        <v>6390</v>
      </c>
      <c r="G191" s="10" t="s">
        <v>6391</v>
      </c>
      <c r="H191" s="13" t="s">
        <v>6392</v>
      </c>
      <c r="I191" s="14" t="s">
        <v>6393</v>
      </c>
      <c r="J191" s="15" t="s">
        <v>6394</v>
      </c>
      <c r="K191" s="16" t="s">
        <v>82</v>
      </c>
      <c r="L191" s="17"/>
      <c r="M191" s="17"/>
      <c r="N191" s="17"/>
      <c r="O191" s="17"/>
      <c r="P191" s="18"/>
      <c r="Q191" s="16" t="s">
        <v>83</v>
      </c>
      <c r="R191" s="18"/>
    </row>
    <row r="192" spans="1:18" ht="16.5" customHeight="1">
      <c r="A192" s="10">
        <v>191</v>
      </c>
      <c r="B192" s="10">
        <v>9</v>
      </c>
      <c r="C192" s="10">
        <v>276</v>
      </c>
      <c r="D192" s="11" t="s">
        <v>6388</v>
      </c>
      <c r="E192" s="12" t="s">
        <v>6390</v>
      </c>
      <c r="F192" s="11" t="s">
        <v>3573</v>
      </c>
      <c r="G192" s="10"/>
      <c r="H192" s="13" t="s">
        <v>6395</v>
      </c>
      <c r="I192" s="14" t="s">
        <v>6396</v>
      </c>
      <c r="J192" s="15" t="s">
        <v>6396</v>
      </c>
      <c r="K192" s="16" t="s">
        <v>82</v>
      </c>
      <c r="L192" s="17"/>
      <c r="M192" s="17"/>
      <c r="N192" s="17"/>
      <c r="O192" s="17"/>
      <c r="P192" s="18"/>
      <c r="Q192" s="16" t="s">
        <v>83</v>
      </c>
      <c r="R192" s="18"/>
    </row>
    <row r="193" spans="1:18" ht="16.5" customHeight="1">
      <c r="A193" s="10">
        <v>192</v>
      </c>
      <c r="B193" s="10">
        <v>9</v>
      </c>
      <c r="C193" s="10">
        <v>277</v>
      </c>
      <c r="D193" s="11" t="s">
        <v>6390</v>
      </c>
      <c r="E193" s="12" t="s">
        <v>3573</v>
      </c>
      <c r="F193" s="11" t="s">
        <v>6397</v>
      </c>
      <c r="G193" s="10"/>
      <c r="H193" s="13" t="s">
        <v>262</v>
      </c>
      <c r="I193" s="14" t="s">
        <v>6208</v>
      </c>
      <c r="J193" s="15" t="s">
        <v>6208</v>
      </c>
      <c r="K193" s="16" t="s">
        <v>82</v>
      </c>
      <c r="L193" s="17"/>
      <c r="M193" s="17"/>
      <c r="N193" s="17"/>
      <c r="O193" s="17"/>
      <c r="P193" s="18"/>
      <c r="Q193" s="16" t="s">
        <v>83</v>
      </c>
      <c r="R193" s="18"/>
    </row>
    <row r="194" spans="1:18" ht="16.5" customHeight="1">
      <c r="A194" s="10">
        <v>193</v>
      </c>
      <c r="B194" s="10">
        <v>9</v>
      </c>
      <c r="C194" s="10">
        <v>278</v>
      </c>
      <c r="D194" s="11" t="s">
        <v>3573</v>
      </c>
      <c r="E194" s="19" t="s">
        <v>6397</v>
      </c>
      <c r="F194" s="11" t="s">
        <v>6398</v>
      </c>
      <c r="G194" s="10" t="s">
        <v>774</v>
      </c>
      <c r="H194" s="13" t="s">
        <v>6399</v>
      </c>
      <c r="I194" s="14" t="s">
        <v>6400</v>
      </c>
      <c r="J194" s="15" t="s">
        <v>6400</v>
      </c>
      <c r="K194" s="16" t="s">
        <v>89</v>
      </c>
      <c r="L194" s="17" t="s">
        <v>128</v>
      </c>
      <c r="M194" s="17" t="s">
        <v>164</v>
      </c>
      <c r="N194" s="17" t="s">
        <v>6401</v>
      </c>
      <c r="O194" s="17" t="s">
        <v>6402</v>
      </c>
      <c r="P194" s="18" t="s">
        <v>6403</v>
      </c>
      <c r="Q194" s="16" t="s">
        <v>83</v>
      </c>
      <c r="R194" s="18"/>
    </row>
    <row r="195" spans="1:18" ht="16.5" customHeight="1">
      <c r="A195" s="10">
        <v>194</v>
      </c>
      <c r="B195" s="10">
        <v>9</v>
      </c>
      <c r="C195" s="10">
        <v>279</v>
      </c>
      <c r="D195" s="11" t="s">
        <v>6397</v>
      </c>
      <c r="E195" s="12" t="s">
        <v>6398</v>
      </c>
      <c r="F195" s="11" t="s">
        <v>6404</v>
      </c>
      <c r="G195" s="10"/>
      <c r="H195" s="13" t="s">
        <v>6405</v>
      </c>
      <c r="I195" s="14" t="s">
        <v>6406</v>
      </c>
      <c r="J195" s="15" t="s">
        <v>6406</v>
      </c>
      <c r="K195" s="16" t="s">
        <v>82</v>
      </c>
      <c r="L195" s="17"/>
      <c r="M195" s="17"/>
      <c r="N195" s="17"/>
      <c r="O195" s="17"/>
      <c r="P195" s="18"/>
      <c r="Q195" s="16" t="s">
        <v>83</v>
      </c>
      <c r="R195" s="18"/>
    </row>
    <row r="196" spans="1:18" ht="16.5" customHeight="1">
      <c r="A196" s="10">
        <v>195</v>
      </c>
      <c r="B196" s="10">
        <v>9</v>
      </c>
      <c r="C196" s="10">
        <v>289</v>
      </c>
      <c r="D196" s="11" t="s">
        <v>6407</v>
      </c>
      <c r="E196" s="12" t="s">
        <v>6408</v>
      </c>
      <c r="F196" s="11" t="s">
        <v>6409</v>
      </c>
      <c r="G196" s="10"/>
      <c r="H196" s="13" t="s">
        <v>6135</v>
      </c>
      <c r="I196" s="14" t="s">
        <v>6410</v>
      </c>
      <c r="J196" s="15" t="s">
        <v>6410</v>
      </c>
      <c r="K196" s="16" t="s">
        <v>82</v>
      </c>
      <c r="L196" s="17"/>
      <c r="M196" s="17"/>
      <c r="N196" s="17"/>
      <c r="O196" s="17"/>
      <c r="P196" s="18"/>
      <c r="Q196" s="16" t="s">
        <v>83</v>
      </c>
      <c r="R196" s="18"/>
    </row>
    <row r="197" spans="1:18" ht="16.5" customHeight="1">
      <c r="A197" s="10">
        <v>196</v>
      </c>
      <c r="B197" s="10">
        <v>9</v>
      </c>
      <c r="C197" s="10">
        <v>290</v>
      </c>
      <c r="D197" s="11" t="s">
        <v>6408</v>
      </c>
      <c r="E197" s="19" t="s">
        <v>6409</v>
      </c>
      <c r="F197" s="11" t="s">
        <v>6411</v>
      </c>
      <c r="G197" s="10" t="s">
        <v>305</v>
      </c>
      <c r="H197" s="13" t="s">
        <v>6412</v>
      </c>
      <c r="I197" s="14" t="s">
        <v>6413</v>
      </c>
      <c r="J197" s="15" t="s">
        <v>6414</v>
      </c>
      <c r="K197" s="16" t="s">
        <v>82</v>
      </c>
      <c r="L197" s="17"/>
      <c r="M197" s="17"/>
      <c r="N197" s="17"/>
      <c r="O197" s="17"/>
      <c r="P197" s="18"/>
      <c r="Q197" s="16" t="s">
        <v>83</v>
      </c>
      <c r="R197" s="18"/>
    </row>
    <row r="198" spans="1:18" ht="26.25" customHeight="1">
      <c r="A198" s="10">
        <v>197</v>
      </c>
      <c r="B198" s="10">
        <v>9</v>
      </c>
      <c r="C198" s="10">
        <v>291</v>
      </c>
      <c r="D198" s="11" t="s">
        <v>6409</v>
      </c>
      <c r="E198" s="12" t="s">
        <v>6411</v>
      </c>
      <c r="F198" s="11" t="s">
        <v>6415</v>
      </c>
      <c r="G198" s="10"/>
      <c r="H198" s="13" t="s">
        <v>6416</v>
      </c>
      <c r="I198" s="14" t="s">
        <v>6417</v>
      </c>
      <c r="J198" s="15" t="s">
        <v>6418</v>
      </c>
      <c r="K198" s="16" t="s">
        <v>82</v>
      </c>
      <c r="L198" s="17"/>
      <c r="M198" s="17"/>
      <c r="N198" s="17"/>
      <c r="O198" s="17"/>
      <c r="P198" s="18"/>
      <c r="Q198" s="16" t="s">
        <v>83</v>
      </c>
      <c r="R198" s="18"/>
    </row>
    <row r="199" spans="1:18" ht="16.5" customHeight="1">
      <c r="A199" s="10">
        <v>198</v>
      </c>
      <c r="B199" s="10">
        <v>9</v>
      </c>
      <c r="C199" s="10">
        <v>295</v>
      </c>
      <c r="D199" s="11" t="s">
        <v>6419</v>
      </c>
      <c r="E199" s="12" t="s">
        <v>6420</v>
      </c>
      <c r="F199" s="11" t="s">
        <v>6421</v>
      </c>
      <c r="G199" s="10"/>
      <c r="H199" s="13" t="s">
        <v>6422</v>
      </c>
      <c r="I199" s="14" t="s">
        <v>6423</v>
      </c>
      <c r="J199" s="15" t="s">
        <v>6424</v>
      </c>
      <c r="K199" s="16" t="s">
        <v>82</v>
      </c>
      <c r="L199" s="17"/>
      <c r="M199" s="17"/>
      <c r="N199" s="17"/>
      <c r="O199" s="17"/>
      <c r="P199" s="18"/>
      <c r="Q199" s="16" t="s">
        <v>83</v>
      </c>
      <c r="R199" s="18"/>
    </row>
    <row r="200" spans="1:18" ht="16.5" customHeight="1">
      <c r="A200" s="10">
        <v>199</v>
      </c>
      <c r="B200" s="10">
        <v>9</v>
      </c>
      <c r="C200" s="10">
        <v>296</v>
      </c>
      <c r="D200" s="11" t="s">
        <v>6420</v>
      </c>
      <c r="E200" s="19" t="s">
        <v>6421</v>
      </c>
      <c r="F200" s="11" t="s">
        <v>6425</v>
      </c>
      <c r="G200" s="10" t="s">
        <v>397</v>
      </c>
      <c r="H200" s="13" t="s">
        <v>6426</v>
      </c>
      <c r="I200" s="14" t="s">
        <v>6427</v>
      </c>
      <c r="J200" s="15" t="s">
        <v>6427</v>
      </c>
      <c r="K200" s="16" t="s">
        <v>82</v>
      </c>
      <c r="L200" s="17"/>
      <c r="M200" s="17"/>
      <c r="N200" s="17"/>
      <c r="O200" s="17"/>
      <c r="P200" s="18"/>
      <c r="Q200" s="16" t="s">
        <v>83</v>
      </c>
      <c r="R200" s="18"/>
    </row>
    <row r="201" spans="1:18" ht="16.5" customHeight="1">
      <c r="A201" s="10">
        <v>200</v>
      </c>
      <c r="B201" s="10">
        <v>9</v>
      </c>
      <c r="C201" s="10">
        <v>297</v>
      </c>
      <c r="D201" s="11" t="s">
        <v>6421</v>
      </c>
      <c r="E201" s="19" t="s">
        <v>6425</v>
      </c>
      <c r="F201" s="11" t="s">
        <v>6428</v>
      </c>
      <c r="G201" s="10" t="s">
        <v>1957</v>
      </c>
      <c r="H201" s="13" t="s">
        <v>6429</v>
      </c>
      <c r="I201" s="14" t="s">
        <v>6430</v>
      </c>
      <c r="J201" s="15" t="s">
        <v>6430</v>
      </c>
      <c r="K201" s="16" t="s">
        <v>82</v>
      </c>
      <c r="L201" s="17"/>
      <c r="M201" s="17"/>
      <c r="N201" s="17"/>
      <c r="O201" s="17"/>
      <c r="P201" s="18"/>
      <c r="Q201" s="16" t="s">
        <v>83</v>
      </c>
      <c r="R201" s="18"/>
    </row>
    <row r="202" spans="1:18" ht="16.5" customHeight="1">
      <c r="A202" s="10">
        <v>201</v>
      </c>
      <c r="B202" s="10">
        <v>9</v>
      </c>
      <c r="C202" s="10">
        <v>298</v>
      </c>
      <c r="D202" s="11" t="s">
        <v>6425</v>
      </c>
      <c r="E202" s="12" t="s">
        <v>6428</v>
      </c>
      <c r="F202" s="11" t="s">
        <v>6431</v>
      </c>
      <c r="G202" s="10"/>
      <c r="H202" s="13" t="s">
        <v>6432</v>
      </c>
      <c r="I202" s="14" t="s">
        <v>6433</v>
      </c>
      <c r="J202" s="15" t="s">
        <v>6434</v>
      </c>
      <c r="K202" s="16" t="s">
        <v>82</v>
      </c>
      <c r="L202" s="17"/>
      <c r="M202" s="17"/>
      <c r="N202" s="17"/>
      <c r="O202" s="17"/>
      <c r="P202" s="18"/>
      <c r="Q202" s="16" t="s">
        <v>83</v>
      </c>
      <c r="R202" s="18"/>
    </row>
    <row r="203" spans="1:18" ht="16.5" customHeight="1">
      <c r="A203" s="10">
        <v>202</v>
      </c>
      <c r="B203" s="10">
        <v>9</v>
      </c>
      <c r="C203" s="10">
        <v>299</v>
      </c>
      <c r="D203" s="11" t="s">
        <v>6428</v>
      </c>
      <c r="E203" s="19" t="s">
        <v>6431</v>
      </c>
      <c r="F203" s="11" t="s">
        <v>6435</v>
      </c>
      <c r="G203" s="10" t="s">
        <v>160</v>
      </c>
      <c r="H203" s="13" t="s">
        <v>6436</v>
      </c>
      <c r="I203" s="14" t="s">
        <v>6437</v>
      </c>
      <c r="J203" s="15" t="s">
        <v>6438</v>
      </c>
      <c r="K203" s="16" t="s">
        <v>82</v>
      </c>
      <c r="L203" s="17"/>
      <c r="M203" s="17"/>
      <c r="N203" s="17"/>
      <c r="O203" s="17"/>
      <c r="P203" s="18"/>
      <c r="Q203" s="16" t="s">
        <v>83</v>
      </c>
      <c r="R203" s="18"/>
    </row>
    <row r="204" spans="1:18" ht="26.25" customHeight="1">
      <c r="A204" s="10">
        <v>203</v>
      </c>
      <c r="B204" s="10">
        <v>9</v>
      </c>
      <c r="C204" s="10">
        <v>300</v>
      </c>
      <c r="D204" s="11" t="s">
        <v>6431</v>
      </c>
      <c r="E204" s="12" t="s">
        <v>6435</v>
      </c>
      <c r="F204" s="11" t="s">
        <v>6439</v>
      </c>
      <c r="G204" s="10"/>
      <c r="H204" s="13" t="s">
        <v>6440</v>
      </c>
      <c r="I204" s="14" t="s">
        <v>6441</v>
      </c>
      <c r="J204" s="15" t="s">
        <v>6442</v>
      </c>
      <c r="K204" s="16" t="s">
        <v>82</v>
      </c>
      <c r="L204" s="17"/>
      <c r="M204" s="17"/>
      <c r="N204" s="17"/>
      <c r="O204" s="17"/>
      <c r="P204" s="18"/>
      <c r="Q204" s="16" t="s">
        <v>83</v>
      </c>
      <c r="R204" s="18"/>
    </row>
    <row r="205" spans="1:18" ht="26.25" customHeight="1">
      <c r="A205" s="10">
        <v>204</v>
      </c>
      <c r="B205" s="10">
        <v>9</v>
      </c>
      <c r="C205" s="10">
        <v>305</v>
      </c>
      <c r="D205" s="11" t="s">
        <v>6443</v>
      </c>
      <c r="E205" s="12" t="s">
        <v>6444</v>
      </c>
      <c r="F205" s="11" t="s">
        <v>6445</v>
      </c>
      <c r="G205" s="10"/>
      <c r="H205" s="13" t="s">
        <v>6446</v>
      </c>
      <c r="I205" s="14" t="s">
        <v>6447</v>
      </c>
      <c r="J205" s="15" t="s">
        <v>6448</v>
      </c>
      <c r="K205" s="16" t="s">
        <v>82</v>
      </c>
      <c r="L205" s="17"/>
      <c r="M205" s="17"/>
      <c r="N205" s="17"/>
      <c r="O205" s="17"/>
      <c r="P205" s="18"/>
      <c r="Q205" s="16" t="s">
        <v>83</v>
      </c>
      <c r="R205" s="18"/>
    </row>
    <row r="206" spans="1:18" ht="16.5" customHeight="1">
      <c r="A206" s="10">
        <v>205</v>
      </c>
      <c r="B206" s="10">
        <v>9</v>
      </c>
      <c r="C206" s="10">
        <v>306</v>
      </c>
      <c r="D206" s="11" t="s">
        <v>6444</v>
      </c>
      <c r="E206" s="19" t="s">
        <v>6445</v>
      </c>
      <c r="F206" s="11" t="s">
        <v>6449</v>
      </c>
      <c r="G206" s="10" t="s">
        <v>133</v>
      </c>
      <c r="H206" s="13" t="s">
        <v>6450</v>
      </c>
      <c r="I206" s="14" t="s">
        <v>6451</v>
      </c>
      <c r="J206" s="15" t="s">
        <v>6452</v>
      </c>
      <c r="K206" s="16" t="s">
        <v>82</v>
      </c>
      <c r="L206" s="17"/>
      <c r="M206" s="17"/>
      <c r="N206" s="17"/>
      <c r="O206" s="17"/>
      <c r="P206" s="18"/>
      <c r="Q206" s="16" t="s">
        <v>83</v>
      </c>
      <c r="R206" s="18"/>
    </row>
    <row r="207" spans="1:18" ht="16.5" customHeight="1">
      <c r="A207" s="10">
        <v>206</v>
      </c>
      <c r="B207" s="10">
        <v>9</v>
      </c>
      <c r="C207" s="10">
        <v>307</v>
      </c>
      <c r="D207" s="11" t="s">
        <v>6445</v>
      </c>
      <c r="E207" s="12" t="s">
        <v>6449</v>
      </c>
      <c r="F207" s="11" t="s">
        <v>6453</v>
      </c>
      <c r="G207" s="10"/>
      <c r="H207" s="13" t="s">
        <v>6454</v>
      </c>
      <c r="I207" s="14" t="s">
        <v>6455</v>
      </c>
      <c r="J207" s="15" t="s">
        <v>6456</v>
      </c>
      <c r="K207" s="16" t="s">
        <v>82</v>
      </c>
      <c r="L207" s="17"/>
      <c r="M207" s="17"/>
      <c r="N207" s="17"/>
      <c r="O207" s="17"/>
      <c r="P207" s="18"/>
      <c r="Q207" s="16" t="s">
        <v>83</v>
      </c>
      <c r="R207" s="18"/>
    </row>
    <row r="208" spans="1:18" ht="16.5" customHeight="1">
      <c r="A208" s="10">
        <v>207</v>
      </c>
      <c r="B208" s="10">
        <v>9</v>
      </c>
      <c r="C208" s="10">
        <v>326</v>
      </c>
      <c r="D208" s="11" t="s">
        <v>6457</v>
      </c>
      <c r="E208" s="12" t="s">
        <v>6458</v>
      </c>
      <c r="F208" s="11" t="s">
        <v>6459</v>
      </c>
      <c r="G208" s="10"/>
      <c r="H208" s="13" t="s">
        <v>6460</v>
      </c>
      <c r="I208" s="14" t="s">
        <v>6461</v>
      </c>
      <c r="J208" s="15" t="s">
        <v>6461</v>
      </c>
      <c r="K208" s="16" t="s">
        <v>82</v>
      </c>
      <c r="L208" s="17"/>
      <c r="M208" s="17"/>
      <c r="N208" s="17"/>
      <c r="O208" s="17"/>
      <c r="P208" s="18"/>
      <c r="Q208" s="16" t="s">
        <v>83</v>
      </c>
      <c r="R208" s="18"/>
    </row>
    <row r="209" spans="1:18" ht="16.5" customHeight="1">
      <c r="A209" s="10">
        <v>208</v>
      </c>
      <c r="B209" s="10">
        <v>9</v>
      </c>
      <c r="C209" s="10">
        <v>327</v>
      </c>
      <c r="D209" s="11" t="s">
        <v>6458</v>
      </c>
      <c r="E209" s="19" t="s">
        <v>6459</v>
      </c>
      <c r="F209" s="11" t="s">
        <v>6462</v>
      </c>
      <c r="G209" s="10" t="s">
        <v>6463</v>
      </c>
      <c r="H209" s="13" t="s">
        <v>6464</v>
      </c>
      <c r="I209" s="14" t="s">
        <v>6465</v>
      </c>
      <c r="J209" s="15" t="s">
        <v>6465</v>
      </c>
      <c r="K209" s="16" t="s">
        <v>82</v>
      </c>
      <c r="L209" s="17"/>
      <c r="M209" s="17"/>
      <c r="N209" s="17"/>
      <c r="O209" s="17"/>
      <c r="P209" s="18"/>
      <c r="Q209" s="16" t="s">
        <v>83</v>
      </c>
      <c r="R209" s="18"/>
    </row>
    <row r="210" spans="1:18" ht="16.5" customHeight="1">
      <c r="A210" s="10">
        <v>209</v>
      </c>
      <c r="B210" s="10">
        <v>9</v>
      </c>
      <c r="C210" s="10">
        <v>328</v>
      </c>
      <c r="D210" s="11" t="s">
        <v>6459</v>
      </c>
      <c r="E210" s="12" t="s">
        <v>6462</v>
      </c>
      <c r="F210" s="11" t="s">
        <v>6466</v>
      </c>
      <c r="G210" s="10"/>
      <c r="H210" s="13" t="s">
        <v>6467</v>
      </c>
      <c r="I210" s="14" t="s">
        <v>6468</v>
      </c>
      <c r="J210" s="15" t="s">
        <v>6469</v>
      </c>
      <c r="K210" s="16" t="s">
        <v>82</v>
      </c>
      <c r="L210" s="17"/>
      <c r="M210" s="17"/>
      <c r="N210" s="17"/>
      <c r="O210" s="17"/>
      <c r="P210" s="18"/>
      <c r="Q210" s="16" t="s">
        <v>83</v>
      </c>
      <c r="R210" s="18"/>
    </row>
    <row r="211" spans="1:18" ht="16.5" customHeight="1">
      <c r="A211" s="10">
        <v>210</v>
      </c>
      <c r="B211" s="10">
        <v>9</v>
      </c>
      <c r="C211" s="10">
        <v>332</v>
      </c>
      <c r="D211" s="11" t="s">
        <v>6470</v>
      </c>
      <c r="E211" s="12" t="s">
        <v>6471</v>
      </c>
      <c r="F211" s="11" t="s">
        <v>6472</v>
      </c>
      <c r="G211" s="10"/>
      <c r="H211" s="13" t="s">
        <v>6473</v>
      </c>
      <c r="I211" s="14" t="s">
        <v>6474</v>
      </c>
      <c r="J211" s="15" t="s">
        <v>6475</v>
      </c>
      <c r="K211" s="16" t="s">
        <v>89</v>
      </c>
      <c r="L211" s="17" t="s">
        <v>222</v>
      </c>
      <c r="M211" s="17" t="s">
        <v>91</v>
      </c>
      <c r="N211" s="17" t="s">
        <v>6476</v>
      </c>
      <c r="O211" s="17" t="s">
        <v>111</v>
      </c>
      <c r="P211" s="18" t="s">
        <v>6477</v>
      </c>
      <c r="Q211" s="16" t="s">
        <v>113</v>
      </c>
      <c r="R211" s="18"/>
    </row>
    <row r="212" spans="1:18" ht="16.5" customHeight="1">
      <c r="A212" s="10">
        <v>211</v>
      </c>
      <c r="B212" s="10">
        <v>9</v>
      </c>
      <c r="C212" s="10">
        <v>333</v>
      </c>
      <c r="D212" s="11" t="s">
        <v>6471</v>
      </c>
      <c r="E212" s="19" t="s">
        <v>6472</v>
      </c>
      <c r="F212" s="11" t="s">
        <v>6478</v>
      </c>
      <c r="G212" s="10" t="s">
        <v>320</v>
      </c>
      <c r="H212" s="13" t="s">
        <v>6479</v>
      </c>
      <c r="I212" s="14" t="s">
        <v>6480</v>
      </c>
      <c r="J212" s="15" t="s">
        <v>6481</v>
      </c>
      <c r="K212" s="16" t="s">
        <v>89</v>
      </c>
      <c r="L212" s="17" t="s">
        <v>128</v>
      </c>
      <c r="M212" s="17" t="s">
        <v>91</v>
      </c>
      <c r="N212" s="17" t="s">
        <v>6482</v>
      </c>
      <c r="O212" s="17" t="s">
        <v>6483</v>
      </c>
      <c r="P212" s="18" t="s">
        <v>6484</v>
      </c>
      <c r="Q212" s="16" t="s">
        <v>148</v>
      </c>
      <c r="R212" s="18"/>
    </row>
    <row r="213" spans="1:18" ht="16.5" customHeight="1">
      <c r="A213" s="10">
        <v>212</v>
      </c>
      <c r="B213" s="10">
        <v>9</v>
      </c>
      <c r="C213" s="10">
        <v>334</v>
      </c>
      <c r="D213" s="11" t="s">
        <v>6472</v>
      </c>
      <c r="E213" s="19" t="s">
        <v>6478</v>
      </c>
      <c r="F213" s="11" t="s">
        <v>6485</v>
      </c>
      <c r="G213" s="10" t="s">
        <v>320</v>
      </c>
      <c r="H213" s="13" t="s">
        <v>6486</v>
      </c>
      <c r="I213" s="14" t="s">
        <v>6487</v>
      </c>
      <c r="J213" s="15" t="s">
        <v>6488</v>
      </c>
      <c r="K213" s="16" t="s">
        <v>89</v>
      </c>
      <c r="L213" s="17" t="s">
        <v>368</v>
      </c>
      <c r="M213" s="17" t="s">
        <v>91</v>
      </c>
      <c r="N213" s="17" t="s">
        <v>6489</v>
      </c>
      <c r="O213" s="17" t="s">
        <v>6490</v>
      </c>
      <c r="P213" s="18" t="s">
        <v>6491</v>
      </c>
      <c r="Q213" s="16" t="s">
        <v>83</v>
      </c>
      <c r="R213" s="18"/>
    </row>
    <row r="214" spans="1:18" ht="16.5" customHeight="1">
      <c r="A214" s="10">
        <v>213</v>
      </c>
      <c r="B214" s="10">
        <v>9</v>
      </c>
      <c r="C214" s="10">
        <v>335</v>
      </c>
      <c r="D214" s="11" t="s">
        <v>6478</v>
      </c>
      <c r="E214" s="19" t="s">
        <v>6485</v>
      </c>
      <c r="F214" s="11" t="s">
        <v>6492</v>
      </c>
      <c r="G214" s="10" t="s">
        <v>85</v>
      </c>
      <c r="H214" s="13" t="s">
        <v>6493</v>
      </c>
      <c r="I214" s="14" t="s">
        <v>6494</v>
      </c>
      <c r="J214" s="15" t="s">
        <v>6494</v>
      </c>
      <c r="K214" s="16" t="s">
        <v>89</v>
      </c>
      <c r="L214" s="17" t="s">
        <v>90</v>
      </c>
      <c r="M214" s="17" t="s">
        <v>91</v>
      </c>
      <c r="N214" s="17" t="s">
        <v>92</v>
      </c>
      <c r="O214" s="17" t="s">
        <v>184</v>
      </c>
      <c r="P214" s="18" t="s">
        <v>6495</v>
      </c>
      <c r="Q214" s="16" t="s">
        <v>113</v>
      </c>
      <c r="R214" s="18"/>
    </row>
    <row r="215" spans="1:18" ht="26.25" customHeight="1">
      <c r="A215" s="10">
        <v>214</v>
      </c>
      <c r="B215" s="10">
        <v>9</v>
      </c>
      <c r="C215" s="10">
        <v>336</v>
      </c>
      <c r="D215" s="11" t="s">
        <v>6485</v>
      </c>
      <c r="E215" s="19" t="s">
        <v>6492</v>
      </c>
      <c r="F215" s="11" t="s">
        <v>6496</v>
      </c>
      <c r="G215" s="10" t="s">
        <v>774</v>
      </c>
      <c r="H215" s="13" t="s">
        <v>6497</v>
      </c>
      <c r="I215" s="14" t="s">
        <v>6498</v>
      </c>
      <c r="J215" s="15" t="s">
        <v>6499</v>
      </c>
      <c r="K215" s="16" t="s">
        <v>82</v>
      </c>
      <c r="L215" s="17"/>
      <c r="M215" s="17"/>
      <c r="N215" s="17"/>
      <c r="O215" s="17"/>
      <c r="P215" s="18"/>
      <c r="Q215" s="16" t="s">
        <v>83</v>
      </c>
      <c r="R215" s="18"/>
    </row>
    <row r="216" spans="1:18" ht="16.5" customHeight="1">
      <c r="A216" s="10">
        <v>215</v>
      </c>
      <c r="B216" s="10">
        <v>9</v>
      </c>
      <c r="C216" s="10">
        <v>337</v>
      </c>
      <c r="D216" s="11" t="s">
        <v>6492</v>
      </c>
      <c r="E216" s="19" t="s">
        <v>6496</v>
      </c>
      <c r="F216" s="11" t="s">
        <v>6500</v>
      </c>
      <c r="G216" s="10" t="s">
        <v>3386</v>
      </c>
      <c r="H216" s="13" t="s">
        <v>6501</v>
      </c>
      <c r="I216" s="14" t="s">
        <v>6502</v>
      </c>
      <c r="J216" s="15" t="s">
        <v>6503</v>
      </c>
      <c r="K216" s="16" t="s">
        <v>82</v>
      </c>
      <c r="L216" s="17"/>
      <c r="M216" s="17"/>
      <c r="N216" s="17"/>
      <c r="O216" s="17"/>
      <c r="P216" s="18"/>
      <c r="Q216" s="16" t="s">
        <v>83</v>
      </c>
      <c r="R216" s="18"/>
    </row>
    <row r="217" spans="1:18" ht="16.5" customHeight="1">
      <c r="A217" s="10">
        <v>216</v>
      </c>
      <c r="B217" s="10">
        <v>9</v>
      </c>
      <c r="C217" s="10">
        <v>338</v>
      </c>
      <c r="D217" s="11" t="s">
        <v>6496</v>
      </c>
      <c r="E217" s="12" t="s">
        <v>6500</v>
      </c>
      <c r="F217" s="11" t="s">
        <v>6504</v>
      </c>
      <c r="G217" s="10"/>
      <c r="H217" s="13" t="s">
        <v>6505</v>
      </c>
      <c r="I217" s="14" t="s">
        <v>6506</v>
      </c>
      <c r="J217" s="15" t="s">
        <v>6507</v>
      </c>
      <c r="K217" s="16" t="s">
        <v>82</v>
      </c>
      <c r="L217" s="17"/>
      <c r="M217" s="17"/>
      <c r="N217" s="17"/>
      <c r="O217" s="17"/>
      <c r="P217" s="18"/>
      <c r="Q217" s="16" t="s">
        <v>83</v>
      </c>
      <c r="R217" s="18"/>
    </row>
    <row r="218" spans="1:18" ht="16.5" customHeight="1">
      <c r="A218" s="10">
        <v>217</v>
      </c>
      <c r="B218" s="10">
        <v>9</v>
      </c>
      <c r="C218" s="10">
        <v>342</v>
      </c>
      <c r="D218" s="11" t="s">
        <v>6508</v>
      </c>
      <c r="E218" s="12" t="s">
        <v>6509</v>
      </c>
      <c r="F218" s="11" t="s">
        <v>6510</v>
      </c>
      <c r="G218" s="10"/>
      <c r="H218" s="13" t="s">
        <v>6511</v>
      </c>
      <c r="I218" s="14" t="s">
        <v>6512</v>
      </c>
      <c r="J218" s="15" t="s">
        <v>6513</v>
      </c>
      <c r="K218" s="16" t="s">
        <v>82</v>
      </c>
      <c r="L218" s="17"/>
      <c r="M218" s="17"/>
      <c r="N218" s="17"/>
      <c r="O218" s="17"/>
      <c r="P218" s="18"/>
      <c r="Q218" s="16" t="s">
        <v>83</v>
      </c>
      <c r="R218" s="18"/>
    </row>
    <row r="219" spans="1:18" ht="16.5" customHeight="1">
      <c r="A219" s="10">
        <v>218</v>
      </c>
      <c r="B219" s="10">
        <v>9</v>
      </c>
      <c r="C219" s="10">
        <v>343</v>
      </c>
      <c r="D219" s="11" t="s">
        <v>6509</v>
      </c>
      <c r="E219" s="19" t="s">
        <v>6510</v>
      </c>
      <c r="F219" s="11" t="s">
        <v>6514</v>
      </c>
      <c r="G219" s="10" t="s">
        <v>462</v>
      </c>
      <c r="H219" s="13" t="s">
        <v>6515</v>
      </c>
      <c r="I219" s="14" t="s">
        <v>6516</v>
      </c>
      <c r="J219" s="15" t="s">
        <v>6517</v>
      </c>
      <c r="K219" s="16" t="s">
        <v>82</v>
      </c>
      <c r="L219" s="17"/>
      <c r="M219" s="17"/>
      <c r="N219" s="17"/>
      <c r="O219" s="17"/>
      <c r="P219" s="18"/>
      <c r="Q219" s="16" t="s">
        <v>83</v>
      </c>
      <c r="R219" s="18"/>
    </row>
    <row r="220" spans="1:18" ht="16.5" customHeight="1">
      <c r="A220" s="10">
        <v>219</v>
      </c>
      <c r="B220" s="10">
        <v>9</v>
      </c>
      <c r="C220" s="10">
        <v>344</v>
      </c>
      <c r="D220" s="11" t="s">
        <v>6510</v>
      </c>
      <c r="E220" s="12" t="s">
        <v>6514</v>
      </c>
      <c r="F220" s="11" t="s">
        <v>6518</v>
      </c>
      <c r="G220" s="10"/>
      <c r="H220" s="13" t="s">
        <v>6519</v>
      </c>
      <c r="I220" s="14" t="s">
        <v>6520</v>
      </c>
      <c r="J220" s="15" t="s">
        <v>6521</v>
      </c>
      <c r="K220" s="16" t="s">
        <v>89</v>
      </c>
      <c r="L220" s="17" t="s">
        <v>155</v>
      </c>
      <c r="M220" s="17" t="s">
        <v>91</v>
      </c>
      <c r="N220" s="17" t="s">
        <v>6522</v>
      </c>
      <c r="O220" s="17" t="s">
        <v>6523</v>
      </c>
      <c r="P220" s="18" t="s">
        <v>6524</v>
      </c>
      <c r="Q220" s="16" t="s">
        <v>83</v>
      </c>
      <c r="R220" s="18"/>
    </row>
    <row r="221" spans="1:18" ht="16.5" customHeight="1">
      <c r="A221" s="10">
        <v>220</v>
      </c>
      <c r="B221" s="10">
        <v>9</v>
      </c>
      <c r="C221" s="10">
        <v>348</v>
      </c>
      <c r="D221" s="11" t="s">
        <v>6525</v>
      </c>
      <c r="E221" s="12" t="s">
        <v>6514</v>
      </c>
      <c r="F221" s="11" t="s">
        <v>6526</v>
      </c>
      <c r="G221" s="10"/>
      <c r="H221" s="13" t="s">
        <v>6519</v>
      </c>
      <c r="I221" s="14" t="s">
        <v>6520</v>
      </c>
      <c r="J221" s="15" t="s">
        <v>6527</v>
      </c>
      <c r="K221" s="16" t="s">
        <v>89</v>
      </c>
      <c r="L221" s="17" t="s">
        <v>155</v>
      </c>
      <c r="M221" s="17" t="s">
        <v>91</v>
      </c>
      <c r="N221" s="17" t="s">
        <v>6522</v>
      </c>
      <c r="O221" s="17" t="s">
        <v>6523</v>
      </c>
      <c r="P221" s="18" t="s">
        <v>6524</v>
      </c>
      <c r="Q221" s="16" t="s">
        <v>83</v>
      </c>
      <c r="R221" s="18"/>
    </row>
    <row r="222" spans="1:18" ht="16.5" customHeight="1">
      <c r="A222" s="10">
        <v>221</v>
      </c>
      <c r="B222" s="10">
        <v>9</v>
      </c>
      <c r="C222" s="10">
        <v>349</v>
      </c>
      <c r="D222" s="11" t="s">
        <v>6514</v>
      </c>
      <c r="E222" s="19" t="s">
        <v>6526</v>
      </c>
      <c r="F222" s="11" t="s">
        <v>6528</v>
      </c>
      <c r="G222" s="10" t="s">
        <v>320</v>
      </c>
      <c r="H222" s="13" t="s">
        <v>6529</v>
      </c>
      <c r="I222" s="14" t="s">
        <v>6530</v>
      </c>
      <c r="J222" s="15" t="s">
        <v>6531</v>
      </c>
      <c r="K222" s="16" t="s">
        <v>89</v>
      </c>
      <c r="L222" s="17" t="s">
        <v>155</v>
      </c>
      <c r="M222" s="17" t="s">
        <v>91</v>
      </c>
      <c r="N222" s="17" t="s">
        <v>6532</v>
      </c>
      <c r="O222" s="17" t="s">
        <v>6523</v>
      </c>
      <c r="P222" s="18" t="s">
        <v>6524</v>
      </c>
      <c r="Q222" s="16" t="s">
        <v>83</v>
      </c>
      <c r="R222" s="18"/>
    </row>
    <row r="223" spans="1:18" ht="16.5" customHeight="1">
      <c r="A223" s="10">
        <v>222</v>
      </c>
      <c r="B223" s="10">
        <v>9</v>
      </c>
      <c r="C223" s="10">
        <v>350</v>
      </c>
      <c r="D223" s="11" t="s">
        <v>6526</v>
      </c>
      <c r="E223" s="19" t="s">
        <v>6528</v>
      </c>
      <c r="F223" s="11" t="s">
        <v>6533</v>
      </c>
      <c r="G223" s="10" t="s">
        <v>774</v>
      </c>
      <c r="H223" s="13" t="s">
        <v>6534</v>
      </c>
      <c r="I223" s="14" t="s">
        <v>6535</v>
      </c>
      <c r="J223" s="15" t="s">
        <v>6536</v>
      </c>
      <c r="K223" s="16" t="s">
        <v>89</v>
      </c>
      <c r="L223" s="17" t="s">
        <v>155</v>
      </c>
      <c r="M223" s="17" t="s">
        <v>91</v>
      </c>
      <c r="N223" s="17" t="s">
        <v>6537</v>
      </c>
      <c r="O223" s="17" t="s">
        <v>6538</v>
      </c>
      <c r="P223" s="18" t="s">
        <v>6539</v>
      </c>
      <c r="Q223" s="16" t="s">
        <v>113</v>
      </c>
      <c r="R223" s="18"/>
    </row>
    <row r="224" spans="1:18" ht="26.25" customHeight="1">
      <c r="A224" s="10">
        <v>223</v>
      </c>
      <c r="B224" s="10">
        <v>9</v>
      </c>
      <c r="C224" s="10">
        <v>351</v>
      </c>
      <c r="D224" s="11" t="s">
        <v>6528</v>
      </c>
      <c r="E224" s="12" t="s">
        <v>6533</v>
      </c>
      <c r="F224" s="11" t="s">
        <v>6540</v>
      </c>
      <c r="G224" s="10"/>
      <c r="H224" s="13" t="s">
        <v>6541</v>
      </c>
      <c r="I224" s="14" t="s">
        <v>6542</v>
      </c>
      <c r="J224" s="15" t="s">
        <v>6542</v>
      </c>
      <c r="K224" s="16" t="s">
        <v>89</v>
      </c>
      <c r="L224" s="17" t="s">
        <v>90</v>
      </c>
      <c r="M224" s="17" t="s">
        <v>209</v>
      </c>
      <c r="N224" s="17" t="s">
        <v>92</v>
      </c>
      <c r="O224" s="17" t="s">
        <v>6543</v>
      </c>
      <c r="P224" s="18" t="s">
        <v>6544</v>
      </c>
      <c r="Q224" s="16" t="s">
        <v>83</v>
      </c>
      <c r="R224" s="18"/>
    </row>
    <row r="225" spans="1:18" ht="16.5" customHeight="1">
      <c r="A225" s="10">
        <v>224</v>
      </c>
      <c r="B225" s="10">
        <v>9</v>
      </c>
      <c r="C225" s="10">
        <v>356</v>
      </c>
      <c r="D225" s="11" t="s">
        <v>6071</v>
      </c>
      <c r="E225" s="12" t="s">
        <v>6545</v>
      </c>
      <c r="F225" s="11" t="s">
        <v>6546</v>
      </c>
      <c r="G225" s="10"/>
      <c r="H225" s="13" t="s">
        <v>6547</v>
      </c>
      <c r="I225" s="14" t="s">
        <v>6548</v>
      </c>
      <c r="J225" s="15" t="s">
        <v>6549</v>
      </c>
      <c r="K225" s="16" t="s">
        <v>82</v>
      </c>
      <c r="L225" s="17"/>
      <c r="M225" s="17"/>
      <c r="N225" s="17"/>
      <c r="O225" s="17"/>
      <c r="P225" s="18"/>
      <c r="Q225" s="16" t="s">
        <v>83</v>
      </c>
      <c r="R225" s="18"/>
    </row>
    <row r="226" spans="1:18" ht="26.25" customHeight="1">
      <c r="A226" s="10">
        <v>225</v>
      </c>
      <c r="B226" s="10">
        <v>9</v>
      </c>
      <c r="C226" s="10">
        <v>357</v>
      </c>
      <c r="D226" s="11" t="s">
        <v>6545</v>
      </c>
      <c r="E226" s="19" t="s">
        <v>6546</v>
      </c>
      <c r="F226" s="11" t="s">
        <v>6550</v>
      </c>
      <c r="G226" s="10" t="s">
        <v>3386</v>
      </c>
      <c r="H226" s="13" t="s">
        <v>6551</v>
      </c>
      <c r="I226" s="14" t="s">
        <v>6552</v>
      </c>
      <c r="J226" s="15" t="s">
        <v>6553</v>
      </c>
      <c r="K226" s="16" t="s">
        <v>82</v>
      </c>
      <c r="L226" s="17"/>
      <c r="M226" s="17"/>
      <c r="N226" s="17"/>
      <c r="O226" s="17"/>
      <c r="P226" s="18"/>
      <c r="Q226" s="16" t="s">
        <v>83</v>
      </c>
      <c r="R226" s="18"/>
    </row>
    <row r="227" spans="1:18" ht="16.5" customHeight="1">
      <c r="A227" s="10">
        <v>226</v>
      </c>
      <c r="B227" s="10">
        <v>9</v>
      </c>
      <c r="C227" s="10">
        <v>358</v>
      </c>
      <c r="D227" s="11" t="s">
        <v>6546</v>
      </c>
      <c r="E227" s="12" t="s">
        <v>6550</v>
      </c>
      <c r="F227" s="11" t="s">
        <v>6554</v>
      </c>
      <c r="G227" s="10"/>
      <c r="H227" s="13" t="s">
        <v>6432</v>
      </c>
      <c r="I227" s="14" t="s">
        <v>6021</v>
      </c>
      <c r="J227" s="15" t="s">
        <v>6021</v>
      </c>
      <c r="K227" s="16" t="s">
        <v>82</v>
      </c>
      <c r="L227" s="17"/>
      <c r="M227" s="17"/>
      <c r="N227" s="17"/>
      <c r="O227" s="17"/>
      <c r="P227" s="18"/>
      <c r="Q227" s="16" t="s">
        <v>83</v>
      </c>
      <c r="R227" s="18"/>
    </row>
    <row r="228" spans="1:18" ht="16.5" customHeight="1">
      <c r="A228" s="10">
        <v>227</v>
      </c>
      <c r="B228" s="10">
        <v>9</v>
      </c>
      <c r="C228" s="10">
        <v>359</v>
      </c>
      <c r="D228" s="11" t="s">
        <v>6550</v>
      </c>
      <c r="E228" s="12" t="s">
        <v>6554</v>
      </c>
      <c r="F228" s="11" t="s">
        <v>6555</v>
      </c>
      <c r="G228" s="10"/>
      <c r="H228" s="13" t="s">
        <v>6556</v>
      </c>
      <c r="I228" s="14" t="s">
        <v>6557</v>
      </c>
      <c r="J228" s="15" t="s">
        <v>6558</v>
      </c>
      <c r="K228" s="16" t="s">
        <v>82</v>
      </c>
      <c r="L228" s="17"/>
      <c r="M228" s="17"/>
      <c r="N228" s="17"/>
      <c r="O228" s="17"/>
      <c r="P228" s="18"/>
      <c r="Q228" s="16" t="s">
        <v>83</v>
      </c>
      <c r="R228" s="18"/>
    </row>
    <row r="229" spans="1:18" ht="16.5" customHeight="1">
      <c r="A229" s="10">
        <v>228</v>
      </c>
      <c r="B229" s="10">
        <v>9</v>
      </c>
      <c r="C229" s="10">
        <v>360</v>
      </c>
      <c r="D229" s="11" t="s">
        <v>6554</v>
      </c>
      <c r="E229" s="19" t="s">
        <v>6555</v>
      </c>
      <c r="F229" s="11" t="s">
        <v>6559</v>
      </c>
      <c r="G229" s="10" t="s">
        <v>3386</v>
      </c>
      <c r="H229" s="13" t="s">
        <v>6560</v>
      </c>
      <c r="I229" s="14" t="s">
        <v>6561</v>
      </c>
      <c r="J229" s="15" t="s">
        <v>6562</v>
      </c>
      <c r="K229" s="16" t="s">
        <v>82</v>
      </c>
      <c r="L229" s="17"/>
      <c r="M229" s="17"/>
      <c r="N229" s="17"/>
      <c r="O229" s="17"/>
      <c r="P229" s="18"/>
      <c r="Q229" s="16" t="s">
        <v>83</v>
      </c>
      <c r="R229" s="18"/>
    </row>
    <row r="230" spans="1:18" ht="16.5" customHeight="1">
      <c r="A230" s="10">
        <v>229</v>
      </c>
      <c r="B230" s="10">
        <v>9</v>
      </c>
      <c r="C230" s="10">
        <v>361</v>
      </c>
      <c r="D230" s="11" t="s">
        <v>6555</v>
      </c>
      <c r="E230" s="12" t="s">
        <v>6559</v>
      </c>
      <c r="F230" s="11" t="s">
        <v>6563</v>
      </c>
      <c r="G230" s="10"/>
      <c r="H230" s="13" t="s">
        <v>6564</v>
      </c>
      <c r="I230" s="14" t="s">
        <v>6565</v>
      </c>
      <c r="J230" s="15" t="s">
        <v>6566</v>
      </c>
      <c r="K230" s="16" t="s">
        <v>82</v>
      </c>
      <c r="L230" s="17"/>
      <c r="M230" s="17"/>
      <c r="N230" s="17"/>
      <c r="O230" s="17"/>
      <c r="P230" s="18"/>
      <c r="Q230" s="16" t="s">
        <v>83</v>
      </c>
      <c r="R230" s="18"/>
    </row>
    <row r="231" spans="1:18" ht="16.5" customHeight="1">
      <c r="A231" s="10">
        <v>230</v>
      </c>
      <c r="B231" s="10">
        <v>9</v>
      </c>
      <c r="C231" s="10">
        <v>367</v>
      </c>
      <c r="D231" s="11" t="s">
        <v>6567</v>
      </c>
      <c r="E231" s="12" t="s">
        <v>6568</v>
      </c>
      <c r="F231" s="11" t="s">
        <v>6569</v>
      </c>
      <c r="G231" s="10"/>
      <c r="H231" s="13" t="s">
        <v>6570</v>
      </c>
      <c r="I231" s="14" t="s">
        <v>6571</v>
      </c>
      <c r="J231" s="15" t="s">
        <v>6572</v>
      </c>
      <c r="K231" s="16" t="s">
        <v>82</v>
      </c>
      <c r="L231" s="17"/>
      <c r="M231" s="17"/>
      <c r="N231" s="17"/>
      <c r="O231" s="17"/>
      <c r="P231" s="18"/>
      <c r="Q231" s="16" t="s">
        <v>83</v>
      </c>
      <c r="R231" s="18"/>
    </row>
    <row r="232" spans="1:18" ht="16.5" customHeight="1">
      <c r="A232" s="10">
        <v>231</v>
      </c>
      <c r="B232" s="10">
        <v>9</v>
      </c>
      <c r="C232" s="10">
        <v>368</v>
      </c>
      <c r="D232" s="11" t="s">
        <v>6568</v>
      </c>
      <c r="E232" s="19" t="s">
        <v>6569</v>
      </c>
      <c r="F232" s="11" t="s">
        <v>6573</v>
      </c>
      <c r="G232" s="10" t="s">
        <v>160</v>
      </c>
      <c r="H232" s="13" t="s">
        <v>6574</v>
      </c>
      <c r="I232" s="14" t="s">
        <v>6575</v>
      </c>
      <c r="J232" s="15" t="s">
        <v>6576</v>
      </c>
      <c r="K232" s="16" t="s">
        <v>82</v>
      </c>
      <c r="L232" s="17"/>
      <c r="M232" s="17"/>
      <c r="N232" s="17"/>
      <c r="O232" s="17"/>
      <c r="P232" s="18"/>
      <c r="Q232" s="16" t="s">
        <v>83</v>
      </c>
      <c r="R232" s="18"/>
    </row>
    <row r="233" spans="1:18" ht="16.5" customHeight="1">
      <c r="A233" s="10">
        <v>232</v>
      </c>
      <c r="B233" s="10">
        <v>9</v>
      </c>
      <c r="C233" s="10">
        <v>369</v>
      </c>
      <c r="D233" s="11" t="s">
        <v>6569</v>
      </c>
      <c r="E233" s="12" t="s">
        <v>6573</v>
      </c>
      <c r="F233" s="11" t="s">
        <v>6577</v>
      </c>
      <c r="G233" s="10"/>
      <c r="H233" s="13" t="s">
        <v>6578</v>
      </c>
      <c r="I233" s="14" t="s">
        <v>6579</v>
      </c>
      <c r="J233" s="15" t="s">
        <v>6580</v>
      </c>
      <c r="K233" s="16" t="s">
        <v>89</v>
      </c>
      <c r="L233" s="17" t="s">
        <v>128</v>
      </c>
      <c r="M233" s="17" t="s">
        <v>91</v>
      </c>
      <c r="N233" s="17" t="s">
        <v>6581</v>
      </c>
      <c r="O233" s="17" t="s">
        <v>6582</v>
      </c>
      <c r="P233" s="18" t="s">
        <v>6583</v>
      </c>
      <c r="Q233" s="16" t="s">
        <v>148</v>
      </c>
      <c r="R233" s="18"/>
    </row>
    <row r="234" spans="1:18" ht="16.5" customHeight="1">
      <c r="A234" s="10">
        <v>233</v>
      </c>
      <c r="B234" s="10">
        <v>9</v>
      </c>
      <c r="C234" s="10">
        <v>370</v>
      </c>
      <c r="D234" s="11" t="s">
        <v>6573</v>
      </c>
      <c r="E234" s="12" t="s">
        <v>6577</v>
      </c>
      <c r="F234" s="11" t="s">
        <v>6584</v>
      </c>
      <c r="G234" s="10"/>
      <c r="H234" s="13" t="s">
        <v>6585</v>
      </c>
      <c r="I234" s="14" t="s">
        <v>6586</v>
      </c>
      <c r="J234" s="15" t="s">
        <v>6587</v>
      </c>
      <c r="K234" s="16" t="s">
        <v>82</v>
      </c>
      <c r="L234" s="17"/>
      <c r="M234" s="17"/>
      <c r="N234" s="17"/>
      <c r="O234" s="17"/>
      <c r="P234" s="18"/>
      <c r="Q234" s="16" t="s">
        <v>83</v>
      </c>
      <c r="R234" s="18"/>
    </row>
    <row r="235" spans="1:18" ht="16.5" customHeight="1">
      <c r="A235" s="10">
        <v>234</v>
      </c>
      <c r="B235" s="10">
        <v>9</v>
      </c>
      <c r="C235" s="10">
        <v>371</v>
      </c>
      <c r="D235" s="11" t="s">
        <v>6577</v>
      </c>
      <c r="E235" s="19" t="s">
        <v>6584</v>
      </c>
      <c r="F235" s="11" t="s">
        <v>6588</v>
      </c>
      <c r="G235" s="10" t="s">
        <v>3386</v>
      </c>
      <c r="H235" s="13" t="s">
        <v>6589</v>
      </c>
      <c r="I235" s="14" t="s">
        <v>6590</v>
      </c>
      <c r="J235" s="15" t="s">
        <v>6590</v>
      </c>
      <c r="K235" s="16" t="s">
        <v>82</v>
      </c>
      <c r="L235" s="17"/>
      <c r="M235" s="17"/>
      <c r="N235" s="17"/>
      <c r="O235" s="17"/>
      <c r="P235" s="18"/>
      <c r="Q235" s="16" t="s">
        <v>83</v>
      </c>
      <c r="R235" s="18"/>
    </row>
    <row r="236" spans="1:18" ht="16.5" customHeight="1">
      <c r="A236" s="10">
        <v>235</v>
      </c>
      <c r="B236" s="10">
        <v>9</v>
      </c>
      <c r="C236" s="10">
        <v>372</v>
      </c>
      <c r="D236" s="11" t="s">
        <v>6584</v>
      </c>
      <c r="E236" s="12" t="s">
        <v>6588</v>
      </c>
      <c r="F236" s="11" t="s">
        <v>223</v>
      </c>
      <c r="G236" s="10"/>
      <c r="H236" s="13" t="s">
        <v>6591</v>
      </c>
      <c r="I236" s="14" t="s">
        <v>6592</v>
      </c>
      <c r="J236" s="15" t="s">
        <v>6592</v>
      </c>
      <c r="K236" s="16" t="s">
        <v>82</v>
      </c>
      <c r="L236" s="17"/>
      <c r="M236" s="17"/>
      <c r="N236" s="17"/>
      <c r="O236" s="17"/>
      <c r="P236" s="18"/>
      <c r="Q236" s="16" t="s">
        <v>83</v>
      </c>
      <c r="R236" s="18"/>
    </row>
    <row r="237" spans="1:18" ht="16.5" customHeight="1">
      <c r="A237" s="10">
        <v>236</v>
      </c>
      <c r="B237" s="10">
        <v>9</v>
      </c>
      <c r="C237" s="10">
        <v>393</v>
      </c>
      <c r="D237" s="11" t="s">
        <v>6593</v>
      </c>
      <c r="E237" s="12" t="s">
        <v>6594</v>
      </c>
      <c r="F237" s="11" t="s">
        <v>6595</v>
      </c>
      <c r="G237" s="10"/>
      <c r="H237" s="13" t="s">
        <v>6596</v>
      </c>
      <c r="I237" s="14" t="s">
        <v>6597</v>
      </c>
      <c r="J237" s="15" t="s">
        <v>6597</v>
      </c>
      <c r="K237" s="16" t="s">
        <v>82</v>
      </c>
      <c r="L237" s="17"/>
      <c r="M237" s="17"/>
      <c r="N237" s="17"/>
      <c r="O237" s="17"/>
      <c r="P237" s="18"/>
      <c r="Q237" s="16" t="s">
        <v>83</v>
      </c>
      <c r="R237" s="18"/>
    </row>
    <row r="238" spans="1:18" ht="16.5" customHeight="1">
      <c r="A238" s="10">
        <v>237</v>
      </c>
      <c r="B238" s="10">
        <v>9</v>
      </c>
      <c r="C238" s="10">
        <v>394</v>
      </c>
      <c r="D238" s="11" t="s">
        <v>6594</v>
      </c>
      <c r="E238" s="19" t="s">
        <v>6595</v>
      </c>
      <c r="F238" s="11" t="s">
        <v>6598</v>
      </c>
      <c r="G238" s="10" t="s">
        <v>774</v>
      </c>
      <c r="H238" s="13" t="s">
        <v>6599</v>
      </c>
      <c r="I238" s="14" t="s">
        <v>6600</v>
      </c>
      <c r="J238" s="15" t="s">
        <v>6601</v>
      </c>
      <c r="K238" s="16" t="s">
        <v>82</v>
      </c>
      <c r="L238" s="17"/>
      <c r="M238" s="17"/>
      <c r="N238" s="17"/>
      <c r="O238" s="17"/>
      <c r="P238" s="18"/>
      <c r="Q238" s="16" t="s">
        <v>83</v>
      </c>
      <c r="R238" s="18"/>
    </row>
    <row r="239" spans="1:18" ht="16.5" customHeight="1">
      <c r="A239" s="10">
        <v>238</v>
      </c>
      <c r="B239" s="10">
        <v>9</v>
      </c>
      <c r="C239" s="10">
        <v>395</v>
      </c>
      <c r="D239" s="11" t="s">
        <v>6595</v>
      </c>
      <c r="E239" s="19" t="s">
        <v>6598</v>
      </c>
      <c r="F239" s="11" t="s">
        <v>6602</v>
      </c>
      <c r="G239" s="10" t="s">
        <v>1957</v>
      </c>
      <c r="H239" s="13" t="s">
        <v>6603</v>
      </c>
      <c r="I239" s="14" t="s">
        <v>6604</v>
      </c>
      <c r="J239" s="15" t="s">
        <v>6605</v>
      </c>
      <c r="K239" s="16" t="s">
        <v>89</v>
      </c>
      <c r="L239" s="17" t="s">
        <v>128</v>
      </c>
      <c r="M239" s="17" t="s">
        <v>447</v>
      </c>
      <c r="N239" s="17" t="s">
        <v>6606</v>
      </c>
      <c r="O239" s="17" t="s">
        <v>6607</v>
      </c>
      <c r="P239" s="18" t="s">
        <v>6608</v>
      </c>
      <c r="Q239" s="16" t="s">
        <v>148</v>
      </c>
      <c r="R239" s="18"/>
    </row>
    <row r="240" spans="1:18" ht="16.5" customHeight="1">
      <c r="A240" s="10">
        <v>239</v>
      </c>
      <c r="B240" s="10">
        <v>9</v>
      </c>
      <c r="C240" s="10">
        <v>396</v>
      </c>
      <c r="D240" s="11" t="s">
        <v>6598</v>
      </c>
      <c r="E240" s="12" t="s">
        <v>6602</v>
      </c>
      <c r="F240" s="11" t="s">
        <v>6609</v>
      </c>
      <c r="G240" s="10"/>
      <c r="H240" s="13" t="s">
        <v>6610</v>
      </c>
      <c r="I240" s="14" t="s">
        <v>6611</v>
      </c>
      <c r="J240" s="15" t="s">
        <v>6611</v>
      </c>
      <c r="K240" s="16" t="s">
        <v>82</v>
      </c>
      <c r="L240" s="17"/>
      <c r="M240" s="17"/>
      <c r="N240" s="17"/>
      <c r="O240" s="17"/>
      <c r="P240" s="18"/>
      <c r="Q240" s="16" t="s">
        <v>83</v>
      </c>
      <c r="R240" s="18"/>
    </row>
    <row r="241" spans="1:18" ht="16.5" customHeight="1">
      <c r="A241" s="10">
        <v>240</v>
      </c>
      <c r="B241" s="10">
        <v>9</v>
      </c>
      <c r="C241" s="10">
        <v>398</v>
      </c>
      <c r="D241" s="11" t="s">
        <v>6609</v>
      </c>
      <c r="E241" s="12" t="s">
        <v>6612</v>
      </c>
      <c r="F241" s="11" t="s">
        <v>6613</v>
      </c>
      <c r="G241" s="10"/>
      <c r="H241" s="13" t="s">
        <v>6614</v>
      </c>
      <c r="I241" s="14" t="s">
        <v>6615</v>
      </c>
      <c r="J241" s="15" t="s">
        <v>6616</v>
      </c>
      <c r="K241" s="16" t="s">
        <v>82</v>
      </c>
      <c r="L241" s="17"/>
      <c r="M241" s="17"/>
      <c r="N241" s="17"/>
      <c r="O241" s="17"/>
      <c r="P241" s="18"/>
      <c r="Q241" s="16" t="s">
        <v>83</v>
      </c>
      <c r="R241" s="18"/>
    </row>
    <row r="242" spans="1:18" ht="16.5" customHeight="1">
      <c r="A242" s="10">
        <v>241</v>
      </c>
      <c r="B242" s="10">
        <v>9</v>
      </c>
      <c r="C242" s="10">
        <v>399</v>
      </c>
      <c r="D242" s="11" t="s">
        <v>6612</v>
      </c>
      <c r="E242" s="19" t="s">
        <v>6613</v>
      </c>
      <c r="F242" s="11" t="s">
        <v>6617</v>
      </c>
      <c r="G242" s="10" t="s">
        <v>397</v>
      </c>
      <c r="H242" s="13" t="s">
        <v>6618</v>
      </c>
      <c r="I242" s="14" t="s">
        <v>6619</v>
      </c>
      <c r="J242" s="15" t="s">
        <v>6620</v>
      </c>
      <c r="K242" s="16" t="s">
        <v>82</v>
      </c>
      <c r="L242" s="17"/>
      <c r="M242" s="17"/>
      <c r="N242" s="17"/>
      <c r="O242" s="17"/>
      <c r="P242" s="18"/>
      <c r="Q242" s="16" t="s">
        <v>83</v>
      </c>
      <c r="R242" s="18"/>
    </row>
    <row r="243" spans="1:18" ht="16.5" customHeight="1">
      <c r="A243" s="10">
        <v>242</v>
      </c>
      <c r="B243" s="10">
        <v>9</v>
      </c>
      <c r="C243" s="10">
        <v>400</v>
      </c>
      <c r="D243" s="11" t="s">
        <v>6613</v>
      </c>
      <c r="E243" s="12" t="s">
        <v>6617</v>
      </c>
      <c r="F243" s="11" t="s">
        <v>6621</v>
      </c>
      <c r="G243" s="10"/>
      <c r="H243" s="13" t="s">
        <v>6622</v>
      </c>
      <c r="I243" s="14" t="s">
        <v>6623</v>
      </c>
      <c r="J243" s="15" t="s">
        <v>6624</v>
      </c>
      <c r="K243" s="16" t="s">
        <v>82</v>
      </c>
      <c r="L243" s="17"/>
      <c r="M243" s="17"/>
      <c r="N243" s="17"/>
      <c r="O243" s="17"/>
      <c r="P243" s="18"/>
      <c r="Q243" s="16" t="s">
        <v>83</v>
      </c>
      <c r="R243" s="18"/>
    </row>
    <row r="244" spans="1:18" ht="16.5" customHeight="1">
      <c r="A244" s="10">
        <v>243</v>
      </c>
      <c r="B244" s="10">
        <v>9</v>
      </c>
      <c r="C244" s="10">
        <v>481</v>
      </c>
      <c r="D244" s="11" t="s">
        <v>6625</v>
      </c>
      <c r="E244" s="12" t="s">
        <v>6626</v>
      </c>
      <c r="F244" s="11" t="s">
        <v>6627</v>
      </c>
      <c r="G244" s="10"/>
      <c r="H244" s="13" t="s">
        <v>6628</v>
      </c>
      <c r="I244" s="14" t="s">
        <v>6629</v>
      </c>
      <c r="J244" s="15" t="s">
        <v>6630</v>
      </c>
      <c r="K244" s="16" t="s">
        <v>82</v>
      </c>
      <c r="L244" s="17"/>
      <c r="M244" s="17"/>
      <c r="N244" s="17"/>
      <c r="O244" s="17"/>
      <c r="P244" s="18"/>
      <c r="Q244" s="16" t="s">
        <v>83</v>
      </c>
      <c r="R244" s="18"/>
    </row>
    <row r="245" spans="1:18" ht="16.5" customHeight="1">
      <c r="A245" s="10">
        <v>244</v>
      </c>
      <c r="B245" s="10">
        <v>9</v>
      </c>
      <c r="C245" s="10">
        <v>482</v>
      </c>
      <c r="D245" s="11" t="s">
        <v>6626</v>
      </c>
      <c r="E245" s="19" t="s">
        <v>6627</v>
      </c>
      <c r="F245" s="11" t="s">
        <v>6631</v>
      </c>
      <c r="G245" s="10" t="s">
        <v>1067</v>
      </c>
      <c r="H245" s="13" t="s">
        <v>6632</v>
      </c>
      <c r="I245" s="14" t="s">
        <v>6633</v>
      </c>
      <c r="J245" s="15" t="s">
        <v>6634</v>
      </c>
      <c r="K245" s="16" t="s">
        <v>82</v>
      </c>
      <c r="L245" s="17"/>
      <c r="M245" s="17"/>
      <c r="N245" s="17"/>
      <c r="O245" s="17"/>
      <c r="P245" s="18"/>
      <c r="Q245" s="16" t="s">
        <v>83</v>
      </c>
      <c r="R245" s="18"/>
    </row>
    <row r="246" spans="1:18" ht="26.25" customHeight="1">
      <c r="A246" s="10">
        <v>245</v>
      </c>
      <c r="B246" s="10">
        <v>9</v>
      </c>
      <c r="C246" s="10">
        <v>483</v>
      </c>
      <c r="D246" s="11" t="s">
        <v>6627</v>
      </c>
      <c r="E246" s="12" t="s">
        <v>6631</v>
      </c>
      <c r="F246" s="11" t="s">
        <v>6635</v>
      </c>
      <c r="G246" s="10"/>
      <c r="H246" s="13" t="s">
        <v>6636</v>
      </c>
      <c r="I246" s="14" t="s">
        <v>6637</v>
      </c>
      <c r="J246" s="15" t="s">
        <v>6638</v>
      </c>
      <c r="K246" s="16" t="s">
        <v>82</v>
      </c>
      <c r="L246" s="17"/>
      <c r="M246" s="17"/>
      <c r="N246" s="17"/>
      <c r="O246" s="17"/>
      <c r="P246" s="18"/>
      <c r="Q246" s="16" t="s">
        <v>83</v>
      </c>
      <c r="R246" s="18"/>
    </row>
    <row r="247" spans="1:18" ht="16.5" customHeight="1">
      <c r="A247" s="10">
        <v>246</v>
      </c>
      <c r="B247" s="10">
        <v>9</v>
      </c>
      <c r="C247" s="10">
        <v>487</v>
      </c>
      <c r="D247" s="11" t="s">
        <v>6639</v>
      </c>
      <c r="E247" s="12" t="s">
        <v>6640</v>
      </c>
      <c r="F247" s="11" t="s">
        <v>6641</v>
      </c>
      <c r="G247" s="10"/>
      <c r="H247" s="13" t="s">
        <v>6642</v>
      </c>
      <c r="I247" s="14" t="s">
        <v>6643</v>
      </c>
      <c r="J247" s="15" t="s">
        <v>6644</v>
      </c>
      <c r="K247" s="16" t="s">
        <v>82</v>
      </c>
      <c r="L247" s="17"/>
      <c r="M247" s="17"/>
      <c r="N247" s="17"/>
      <c r="O247" s="17"/>
      <c r="P247" s="18"/>
      <c r="Q247" s="16" t="s">
        <v>83</v>
      </c>
      <c r="R247" s="18"/>
    </row>
    <row r="248" spans="1:18" ht="16.5" customHeight="1">
      <c r="A248" s="10">
        <v>247</v>
      </c>
      <c r="B248" s="10">
        <v>9</v>
      </c>
      <c r="C248" s="10">
        <v>488</v>
      </c>
      <c r="D248" s="11" t="s">
        <v>6640</v>
      </c>
      <c r="E248" s="19" t="s">
        <v>6641</v>
      </c>
      <c r="F248" s="11" t="s">
        <v>6645</v>
      </c>
      <c r="G248" s="10" t="s">
        <v>106</v>
      </c>
      <c r="H248" s="13" t="s">
        <v>6646</v>
      </c>
      <c r="I248" s="14" t="s">
        <v>6647</v>
      </c>
      <c r="J248" s="15" t="s">
        <v>6648</v>
      </c>
      <c r="K248" s="16" t="s">
        <v>82</v>
      </c>
      <c r="L248" s="17"/>
      <c r="M248" s="17"/>
      <c r="N248" s="17"/>
      <c r="O248" s="17"/>
      <c r="P248" s="18"/>
      <c r="Q248" s="16" t="s">
        <v>83</v>
      </c>
      <c r="R248" s="18"/>
    </row>
    <row r="249" spans="1:18" ht="16.5" customHeight="1">
      <c r="A249" s="10">
        <v>248</v>
      </c>
      <c r="B249" s="10">
        <v>9</v>
      </c>
      <c r="C249" s="10">
        <v>489</v>
      </c>
      <c r="D249" s="11" t="s">
        <v>6641</v>
      </c>
      <c r="E249" s="12" t="s">
        <v>6645</v>
      </c>
      <c r="F249" s="11" t="s">
        <v>6649</v>
      </c>
      <c r="G249" s="10"/>
      <c r="H249" s="13" t="s">
        <v>6650</v>
      </c>
      <c r="I249" s="14" t="s">
        <v>6651</v>
      </c>
      <c r="J249" s="15" t="s">
        <v>6651</v>
      </c>
      <c r="K249" s="16" t="s">
        <v>89</v>
      </c>
      <c r="L249" s="17" t="s">
        <v>90</v>
      </c>
      <c r="M249" s="17" t="s">
        <v>3814</v>
      </c>
      <c r="N249" s="17" t="s">
        <v>6652</v>
      </c>
      <c r="O249" s="17" t="s">
        <v>6653</v>
      </c>
      <c r="P249" s="18" t="s">
        <v>6654</v>
      </c>
      <c r="Q249" s="16" t="s">
        <v>83</v>
      </c>
      <c r="R249" s="18"/>
    </row>
    <row r="250" spans="1:18" ht="16.5" customHeight="1">
      <c r="A250" s="10">
        <v>249</v>
      </c>
      <c r="B250" s="10">
        <v>9</v>
      </c>
      <c r="C250" s="10">
        <v>502</v>
      </c>
      <c r="D250" s="11" t="s">
        <v>6655</v>
      </c>
      <c r="E250" s="12" t="s">
        <v>6656</v>
      </c>
      <c r="F250" s="11" t="s">
        <v>6657</v>
      </c>
      <c r="G250" s="10"/>
      <c r="H250" s="13" t="s">
        <v>6658</v>
      </c>
      <c r="I250" s="14" t="s">
        <v>6659</v>
      </c>
      <c r="J250" s="15" t="s">
        <v>6659</v>
      </c>
      <c r="K250" s="16" t="s">
        <v>82</v>
      </c>
      <c r="L250" s="17"/>
      <c r="M250" s="17"/>
      <c r="N250" s="17"/>
      <c r="O250" s="17"/>
      <c r="P250" s="18"/>
      <c r="Q250" s="16" t="s">
        <v>83</v>
      </c>
      <c r="R250" s="18"/>
    </row>
    <row r="251" spans="1:18" ht="16.5" customHeight="1">
      <c r="A251" s="10">
        <v>250</v>
      </c>
      <c r="B251" s="10">
        <v>9</v>
      </c>
      <c r="C251" s="10">
        <v>503</v>
      </c>
      <c r="D251" s="11" t="s">
        <v>6656</v>
      </c>
      <c r="E251" s="19" t="s">
        <v>6657</v>
      </c>
      <c r="F251" s="11" t="s">
        <v>6660</v>
      </c>
      <c r="G251" s="10" t="s">
        <v>462</v>
      </c>
      <c r="H251" s="13" t="s">
        <v>6661</v>
      </c>
      <c r="I251" s="14" t="s">
        <v>6662</v>
      </c>
      <c r="J251" s="15" t="s">
        <v>6663</v>
      </c>
      <c r="K251" s="16" t="s">
        <v>82</v>
      </c>
      <c r="L251" s="17"/>
      <c r="M251" s="17"/>
      <c r="N251" s="17"/>
      <c r="O251" s="17"/>
      <c r="P251" s="18"/>
      <c r="Q251" s="16" t="s">
        <v>83</v>
      </c>
      <c r="R251" s="18"/>
    </row>
    <row r="252" spans="1:18" ht="16.5" customHeight="1">
      <c r="A252" s="10">
        <v>251</v>
      </c>
      <c r="B252" s="10">
        <v>9</v>
      </c>
      <c r="C252" s="10">
        <v>504</v>
      </c>
      <c r="D252" s="11" t="s">
        <v>6657</v>
      </c>
      <c r="E252" s="12" t="s">
        <v>6660</v>
      </c>
      <c r="F252" s="11" t="s">
        <v>6664</v>
      </c>
      <c r="G252" s="10"/>
      <c r="H252" s="13" t="s">
        <v>6665</v>
      </c>
      <c r="I252" s="14" t="s">
        <v>6666</v>
      </c>
      <c r="J252" s="15" t="s">
        <v>6666</v>
      </c>
      <c r="K252" s="16" t="s">
        <v>82</v>
      </c>
      <c r="L252" s="17"/>
      <c r="M252" s="17"/>
      <c r="N252" s="17"/>
      <c r="O252" s="17"/>
      <c r="P252" s="18"/>
      <c r="Q252" s="16" t="s">
        <v>83</v>
      </c>
      <c r="R252" s="18"/>
    </row>
    <row r="253" spans="1:18" ht="16.5" customHeight="1">
      <c r="A253" s="10">
        <v>252</v>
      </c>
      <c r="B253" s="10">
        <v>10</v>
      </c>
      <c r="C253" s="10">
        <v>30</v>
      </c>
      <c r="D253" s="11" t="s">
        <v>6667</v>
      </c>
      <c r="E253" s="12" t="s">
        <v>6668</v>
      </c>
      <c r="F253" s="11" t="s">
        <v>6669</v>
      </c>
      <c r="G253" s="10"/>
      <c r="H253" s="13" t="s">
        <v>6670</v>
      </c>
      <c r="I253" s="14" t="s">
        <v>6671</v>
      </c>
      <c r="J253" s="15" t="s">
        <v>6672</v>
      </c>
      <c r="K253" s="16" t="s">
        <v>82</v>
      </c>
      <c r="L253" s="17"/>
      <c r="M253" s="17"/>
      <c r="N253" s="17"/>
      <c r="O253" s="17"/>
      <c r="P253" s="18"/>
      <c r="Q253" s="16" t="s">
        <v>83</v>
      </c>
      <c r="R253" s="18"/>
    </row>
    <row r="254" spans="1:18" ht="16.5" customHeight="1">
      <c r="A254" s="10">
        <v>253</v>
      </c>
      <c r="B254" s="10">
        <v>10</v>
      </c>
      <c r="C254" s="10">
        <v>31</v>
      </c>
      <c r="D254" s="11" t="s">
        <v>6668</v>
      </c>
      <c r="E254" s="19" t="s">
        <v>6669</v>
      </c>
      <c r="F254" s="11" t="s">
        <v>6673</v>
      </c>
      <c r="G254" s="10" t="s">
        <v>397</v>
      </c>
      <c r="H254" s="13" t="s">
        <v>6674</v>
      </c>
      <c r="I254" s="14" t="s">
        <v>6675</v>
      </c>
      <c r="J254" s="15" t="s">
        <v>6676</v>
      </c>
      <c r="K254" s="16" t="s">
        <v>82</v>
      </c>
      <c r="L254" s="17"/>
      <c r="M254" s="17"/>
      <c r="N254" s="17"/>
      <c r="O254" s="17"/>
      <c r="P254" s="18"/>
      <c r="Q254" s="16" t="s">
        <v>83</v>
      </c>
      <c r="R254" s="18"/>
    </row>
    <row r="255" spans="1:18" ht="16.5" customHeight="1">
      <c r="A255" s="10">
        <v>254</v>
      </c>
      <c r="B255" s="10">
        <v>10</v>
      </c>
      <c r="C255" s="10">
        <v>32</v>
      </c>
      <c r="D255" s="11" t="s">
        <v>6669</v>
      </c>
      <c r="E255" s="12" t="s">
        <v>6673</v>
      </c>
      <c r="F255" s="11" t="s">
        <v>6677</v>
      </c>
      <c r="G255" s="10"/>
      <c r="H255" s="13" t="s">
        <v>6678</v>
      </c>
      <c r="I255" s="14" t="s">
        <v>6679</v>
      </c>
      <c r="J255" s="15" t="s">
        <v>6680</v>
      </c>
      <c r="K255" s="16" t="s">
        <v>82</v>
      </c>
      <c r="L255" s="17"/>
      <c r="M255" s="17"/>
      <c r="N255" s="17"/>
      <c r="O255" s="17"/>
      <c r="P255" s="18"/>
      <c r="Q255" s="16" t="s">
        <v>83</v>
      </c>
      <c r="R255" s="18"/>
    </row>
  </sheetData>
  <phoneticPr fontId="9" type="noConversion"/>
  <dataValidations count="4">
    <dataValidation type="list" allowBlank="1" sqref="K2:K255" xr:uid="{00000000-0002-0000-0700-000000000000}">
      <formula1>"Y,N"</formula1>
      <formula2>0</formula2>
    </dataValidation>
    <dataValidation type="list" allowBlank="1" sqref="L2:L255" xr:uid="{00000000-0002-0000-0700-000001000000}">
      <formula1>"SD-1 자연·물질,SD-2 신체·감각,SD-3 공간·방위,SD-4 사냥·전쟁,SD-5 운동·시간,SD-6 문화·제도,(수사 기제)"</formula1>
      <formula2>0</formula2>
    </dataValidation>
    <dataValidation type="list" allowBlank="1" sqref="M2:M255" xr:uid="{00000000-0002-0000-0700-000002000000}">
      <formula1>"TD-1 축적·유통,TD-2 권력·지배,TD-3 인식·진위,TD-4 도덕·책무,TD-5 문명·제도,TD-7 경물·감각,TD-6 기타"</formula1>
      <formula2>0</formula2>
    </dataValidation>
    <dataValidation type="list" allowBlank="1" sqref="Q2:Q255" xr:uid="{00000000-0002-0000-0700-000003000000}">
      <formula1>"높음,보통,낮음"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66"/>
  <sheetViews>
    <sheetView zoomScaleNormal="100" workbookViewId="0">
      <pane xSplit="10" ySplit="1" topLeftCell="K2" activePane="bottomRight" state="frozen"/>
      <selection pane="topRight" activeCell="K1" sqref="K1"/>
      <selection pane="bottomLeft" activeCell="A2" sqref="A2"/>
      <selection pane="bottomRight"/>
    </sheetView>
  </sheetViews>
  <sheetFormatPr defaultColWidth="8.7109375" defaultRowHeight="15"/>
  <cols>
    <col min="1" max="1" width="5" style="4" customWidth="1"/>
    <col min="2" max="3" width="6" style="4" customWidth="1"/>
    <col min="4" max="4" width="20" style="4" customWidth="1"/>
    <col min="5" max="5" width="30" style="4" customWidth="1"/>
    <col min="6" max="6" width="20" style="4" customWidth="1"/>
    <col min="7" max="7" width="13" style="4" customWidth="1"/>
    <col min="8" max="8" width="58" style="4" customWidth="1"/>
    <col min="9" max="10" width="34" style="4" customWidth="1"/>
    <col min="11" max="11" width="12" style="4" customWidth="1"/>
    <col min="12" max="12" width="14" style="4" customWidth="1"/>
    <col min="13" max="13" width="26" style="4" customWidth="1"/>
    <col min="14" max="14" width="8" style="4" customWidth="1"/>
    <col min="15" max="15" width="16" style="4" customWidth="1"/>
  </cols>
  <sheetData>
    <row r="1" spans="1:18" ht="31.5" customHeight="1">
      <c r="A1" s="9" t="s">
        <v>58</v>
      </c>
      <c r="B1" s="9" t="s">
        <v>59</v>
      </c>
      <c r="C1" s="9" t="s">
        <v>60</v>
      </c>
      <c r="D1" s="9" t="s">
        <v>61</v>
      </c>
      <c r="E1" s="9" t="s">
        <v>62</v>
      </c>
      <c r="F1" s="9" t="s">
        <v>63</v>
      </c>
      <c r="G1" s="9" t="s">
        <v>64</v>
      </c>
      <c r="H1" s="9" t="s">
        <v>65</v>
      </c>
      <c r="I1" s="9" t="s">
        <v>66</v>
      </c>
      <c r="J1" s="9" t="s">
        <v>67</v>
      </c>
      <c r="K1" s="9" t="s">
        <v>68</v>
      </c>
      <c r="L1" s="9" t="s">
        <v>69</v>
      </c>
      <c r="M1" s="9" t="s">
        <v>70</v>
      </c>
      <c r="N1" s="9" t="s">
        <v>71</v>
      </c>
      <c r="O1" s="9" t="s">
        <v>72</v>
      </c>
      <c r="P1" s="9" t="s">
        <v>73</v>
      </c>
      <c r="Q1" s="9" t="s">
        <v>74</v>
      </c>
      <c r="R1" s="9" t="s">
        <v>75</v>
      </c>
    </row>
    <row r="2" spans="1:18" ht="16.5" customHeight="1">
      <c r="A2" s="10">
        <v>1</v>
      </c>
      <c r="B2" s="10">
        <v>2</v>
      </c>
      <c r="C2" s="10">
        <v>23</v>
      </c>
      <c r="D2" s="11" t="s">
        <v>6681</v>
      </c>
      <c r="E2" s="12" t="s">
        <v>6682</v>
      </c>
      <c r="F2" s="11" t="s">
        <v>6683</v>
      </c>
      <c r="G2" s="10"/>
      <c r="H2" s="13" t="s">
        <v>6684</v>
      </c>
      <c r="I2" s="14" t="s">
        <v>6685</v>
      </c>
      <c r="J2" s="15" t="s">
        <v>6686</v>
      </c>
      <c r="K2" s="16" t="s">
        <v>82</v>
      </c>
      <c r="L2" s="17"/>
      <c r="M2" s="17"/>
      <c r="N2" s="17"/>
      <c r="O2" s="17"/>
      <c r="P2" s="18"/>
      <c r="Q2" s="16" t="s">
        <v>83</v>
      </c>
      <c r="R2" s="18"/>
    </row>
    <row r="3" spans="1:18" ht="16.5" customHeight="1">
      <c r="A3" s="10">
        <v>2</v>
      </c>
      <c r="B3" s="10">
        <v>2</v>
      </c>
      <c r="C3" s="10">
        <v>24</v>
      </c>
      <c r="D3" s="11" t="s">
        <v>6682</v>
      </c>
      <c r="E3" s="19" t="s">
        <v>6683</v>
      </c>
      <c r="F3" s="11" t="s">
        <v>6687</v>
      </c>
      <c r="G3" s="10" t="s">
        <v>540</v>
      </c>
      <c r="H3" s="13" t="s">
        <v>6688</v>
      </c>
      <c r="I3" s="14" t="s">
        <v>6689</v>
      </c>
      <c r="J3" s="15" t="s">
        <v>6690</v>
      </c>
      <c r="K3" s="16" t="s">
        <v>82</v>
      </c>
      <c r="L3" s="17"/>
      <c r="M3" s="17"/>
      <c r="N3" s="17"/>
      <c r="O3" s="17"/>
      <c r="P3" s="18"/>
      <c r="Q3" s="16" t="s">
        <v>83</v>
      </c>
      <c r="R3" s="18"/>
    </row>
    <row r="4" spans="1:18" ht="16.5" customHeight="1">
      <c r="A4" s="10">
        <v>3</v>
      </c>
      <c r="B4" s="10">
        <v>2</v>
      </c>
      <c r="C4" s="10">
        <v>25</v>
      </c>
      <c r="D4" s="11" t="s">
        <v>6683</v>
      </c>
      <c r="E4" s="12" t="s">
        <v>6687</v>
      </c>
      <c r="F4" s="11" t="s">
        <v>6691</v>
      </c>
      <c r="G4" s="10"/>
      <c r="H4" s="13" t="s">
        <v>6692</v>
      </c>
      <c r="I4" s="14" t="s">
        <v>6693</v>
      </c>
      <c r="J4" s="15" t="s">
        <v>6694</v>
      </c>
      <c r="K4" s="16" t="s">
        <v>82</v>
      </c>
      <c r="L4" s="17"/>
      <c r="M4" s="17"/>
      <c r="N4" s="17"/>
      <c r="O4" s="17"/>
      <c r="P4" s="18"/>
      <c r="Q4" s="16" t="s">
        <v>83</v>
      </c>
      <c r="R4" s="18"/>
    </row>
    <row r="5" spans="1:18" ht="16.5" customHeight="1">
      <c r="A5" s="10">
        <v>4</v>
      </c>
      <c r="B5" s="10">
        <v>2</v>
      </c>
      <c r="C5" s="10">
        <v>36</v>
      </c>
      <c r="D5" s="11" t="s">
        <v>6695</v>
      </c>
      <c r="E5" s="12" t="s">
        <v>6696</v>
      </c>
      <c r="F5" s="11" t="s">
        <v>6697</v>
      </c>
      <c r="G5" s="10"/>
      <c r="H5" s="13" t="s">
        <v>6698</v>
      </c>
      <c r="I5" s="14" t="s">
        <v>6699</v>
      </c>
      <c r="J5" s="15" t="s">
        <v>6700</v>
      </c>
      <c r="K5" s="16" t="s">
        <v>89</v>
      </c>
      <c r="L5" s="17" t="s">
        <v>368</v>
      </c>
      <c r="M5" s="17" t="s">
        <v>447</v>
      </c>
      <c r="N5" s="17" t="s">
        <v>6701</v>
      </c>
      <c r="O5" s="17" t="s">
        <v>6702</v>
      </c>
      <c r="P5" s="18" t="s">
        <v>6703</v>
      </c>
      <c r="Q5" s="16" t="s">
        <v>83</v>
      </c>
      <c r="R5" s="18"/>
    </row>
    <row r="6" spans="1:18" ht="26.25" customHeight="1">
      <c r="A6" s="10">
        <v>5</v>
      </c>
      <c r="B6" s="10">
        <v>2</v>
      </c>
      <c r="C6" s="10">
        <v>37</v>
      </c>
      <c r="D6" s="11" t="s">
        <v>6696</v>
      </c>
      <c r="E6" s="19" t="s">
        <v>6697</v>
      </c>
      <c r="F6" s="11" t="s">
        <v>6704</v>
      </c>
      <c r="G6" s="10" t="s">
        <v>1957</v>
      </c>
      <c r="H6" s="13" t="s">
        <v>6705</v>
      </c>
      <c r="I6" s="14" t="s">
        <v>6706</v>
      </c>
      <c r="J6" s="15" t="s">
        <v>6707</v>
      </c>
      <c r="K6" s="16" t="s">
        <v>89</v>
      </c>
      <c r="L6" s="17" t="s">
        <v>155</v>
      </c>
      <c r="M6" s="17" t="s">
        <v>91</v>
      </c>
      <c r="N6" s="17" t="s">
        <v>6708</v>
      </c>
      <c r="O6" s="17" t="s">
        <v>6709</v>
      </c>
      <c r="P6" s="18" t="s">
        <v>6710</v>
      </c>
      <c r="Q6" s="16" t="s">
        <v>113</v>
      </c>
      <c r="R6" s="18"/>
    </row>
    <row r="7" spans="1:18" ht="16.5" customHeight="1">
      <c r="A7" s="10">
        <v>6</v>
      </c>
      <c r="B7" s="10">
        <v>2</v>
      </c>
      <c r="C7" s="10">
        <v>38</v>
      </c>
      <c r="D7" s="11" t="s">
        <v>6697</v>
      </c>
      <c r="E7" s="12" t="s">
        <v>6704</v>
      </c>
      <c r="F7" s="11" t="s">
        <v>6711</v>
      </c>
      <c r="G7" s="10"/>
      <c r="H7" s="13" t="s">
        <v>5572</v>
      </c>
      <c r="I7" s="14" t="s">
        <v>6712</v>
      </c>
      <c r="J7" s="15" t="s">
        <v>6713</v>
      </c>
      <c r="K7" s="16" t="s">
        <v>82</v>
      </c>
      <c r="L7" s="17"/>
      <c r="M7" s="17"/>
      <c r="N7" s="17"/>
      <c r="O7" s="17"/>
      <c r="P7" s="18"/>
      <c r="Q7" s="16" t="s">
        <v>83</v>
      </c>
      <c r="R7" s="18"/>
    </row>
    <row r="8" spans="1:18" ht="16.5" customHeight="1">
      <c r="A8" s="10">
        <v>7</v>
      </c>
      <c r="B8" s="10">
        <v>2</v>
      </c>
      <c r="C8" s="10">
        <v>50</v>
      </c>
      <c r="D8" s="11" t="s">
        <v>6714</v>
      </c>
      <c r="E8" s="12" t="s">
        <v>6715</v>
      </c>
      <c r="F8" s="11" t="s">
        <v>6716</v>
      </c>
      <c r="G8" s="10"/>
      <c r="H8" s="13" t="s">
        <v>6717</v>
      </c>
      <c r="I8" s="14" t="s">
        <v>6718</v>
      </c>
      <c r="J8" s="15" t="s">
        <v>6719</v>
      </c>
      <c r="K8" s="16" t="s">
        <v>89</v>
      </c>
      <c r="L8" s="17" t="s">
        <v>155</v>
      </c>
      <c r="M8" s="17" t="s">
        <v>164</v>
      </c>
      <c r="N8" s="17" t="s">
        <v>6720</v>
      </c>
      <c r="O8" s="17" t="s">
        <v>6721</v>
      </c>
      <c r="P8" s="18" t="s">
        <v>6722</v>
      </c>
      <c r="Q8" s="16" t="s">
        <v>113</v>
      </c>
      <c r="R8" s="18"/>
    </row>
    <row r="9" spans="1:18" ht="16.5" customHeight="1">
      <c r="A9" s="10">
        <v>8</v>
      </c>
      <c r="B9" s="10">
        <v>2</v>
      </c>
      <c r="C9" s="10">
        <v>51</v>
      </c>
      <c r="D9" s="11" t="s">
        <v>6715</v>
      </c>
      <c r="E9" s="19" t="s">
        <v>6716</v>
      </c>
      <c r="F9" s="11" t="s">
        <v>6723</v>
      </c>
      <c r="G9" s="10" t="s">
        <v>462</v>
      </c>
      <c r="H9" s="13" t="s">
        <v>6724</v>
      </c>
      <c r="I9" s="14" t="s">
        <v>6725</v>
      </c>
      <c r="J9" s="15" t="s">
        <v>6726</v>
      </c>
      <c r="K9" s="16" t="s">
        <v>82</v>
      </c>
      <c r="L9" s="17"/>
      <c r="M9" s="17"/>
      <c r="N9" s="17"/>
      <c r="O9" s="17"/>
      <c r="P9" s="18"/>
      <c r="Q9" s="16" t="s">
        <v>83</v>
      </c>
      <c r="R9" s="18"/>
    </row>
    <row r="10" spans="1:18" ht="16.5" customHeight="1">
      <c r="A10" s="10">
        <v>9</v>
      </c>
      <c r="B10" s="10">
        <v>2</v>
      </c>
      <c r="C10" s="10">
        <v>52</v>
      </c>
      <c r="D10" s="11" t="s">
        <v>6716</v>
      </c>
      <c r="E10" s="12" t="s">
        <v>6723</v>
      </c>
      <c r="F10" s="11" t="s">
        <v>6727</v>
      </c>
      <c r="G10" s="10"/>
      <c r="H10" s="13" t="s">
        <v>6728</v>
      </c>
      <c r="I10" s="14" t="s">
        <v>6729</v>
      </c>
      <c r="J10" s="15" t="s">
        <v>6730</v>
      </c>
      <c r="K10" s="16" t="s">
        <v>82</v>
      </c>
      <c r="L10" s="17"/>
      <c r="M10" s="17"/>
      <c r="N10" s="17"/>
      <c r="O10" s="17"/>
      <c r="P10" s="18"/>
      <c r="Q10" s="16" t="s">
        <v>83</v>
      </c>
      <c r="R10" s="18"/>
    </row>
    <row r="11" spans="1:18" ht="26.25" customHeight="1">
      <c r="A11" s="10">
        <v>10</v>
      </c>
      <c r="B11" s="10">
        <v>2</v>
      </c>
      <c r="C11" s="10">
        <v>64</v>
      </c>
      <c r="D11" s="11" t="s">
        <v>6731</v>
      </c>
      <c r="E11" s="12" t="s">
        <v>6732</v>
      </c>
      <c r="F11" s="11" t="s">
        <v>6733</v>
      </c>
      <c r="G11" s="10"/>
      <c r="H11" s="13" t="s">
        <v>6734</v>
      </c>
      <c r="I11" s="14" t="s">
        <v>6735</v>
      </c>
      <c r="J11" s="15" t="s">
        <v>6736</v>
      </c>
      <c r="K11" s="16" t="s">
        <v>82</v>
      </c>
      <c r="L11" s="17"/>
      <c r="M11" s="17"/>
      <c r="N11" s="17"/>
      <c r="O11" s="17"/>
      <c r="P11" s="18"/>
      <c r="Q11" s="16" t="s">
        <v>83</v>
      </c>
      <c r="R11" s="18"/>
    </row>
    <row r="12" spans="1:18" ht="16.5" customHeight="1">
      <c r="A12" s="10">
        <v>11</v>
      </c>
      <c r="B12" s="10">
        <v>2</v>
      </c>
      <c r="C12" s="10">
        <v>65</v>
      </c>
      <c r="D12" s="11" t="s">
        <v>6732</v>
      </c>
      <c r="E12" s="19" t="s">
        <v>6733</v>
      </c>
      <c r="F12" s="11" t="s">
        <v>6737</v>
      </c>
      <c r="G12" s="10" t="s">
        <v>540</v>
      </c>
      <c r="H12" s="13" t="s">
        <v>6738</v>
      </c>
      <c r="I12" s="14" t="s">
        <v>6739</v>
      </c>
      <c r="J12" s="15" t="s">
        <v>6740</v>
      </c>
      <c r="K12" s="16" t="s">
        <v>82</v>
      </c>
      <c r="L12" s="17"/>
      <c r="M12" s="17"/>
      <c r="N12" s="17"/>
      <c r="O12" s="17"/>
      <c r="P12" s="18"/>
      <c r="Q12" s="16" t="s">
        <v>83</v>
      </c>
      <c r="R12" s="18"/>
    </row>
    <row r="13" spans="1:18" ht="16.5" customHeight="1">
      <c r="A13" s="10">
        <v>12</v>
      </c>
      <c r="B13" s="10">
        <v>2</v>
      </c>
      <c r="C13" s="10">
        <v>66</v>
      </c>
      <c r="D13" s="11" t="s">
        <v>6733</v>
      </c>
      <c r="E13" s="12" t="s">
        <v>6737</v>
      </c>
      <c r="F13" s="11" t="s">
        <v>6741</v>
      </c>
      <c r="G13" s="10"/>
      <c r="H13" s="13" t="s">
        <v>6742</v>
      </c>
      <c r="I13" s="14" t="s">
        <v>6743</v>
      </c>
      <c r="J13" s="15" t="s">
        <v>6744</v>
      </c>
      <c r="K13" s="16" t="s">
        <v>82</v>
      </c>
      <c r="L13" s="17"/>
      <c r="M13" s="17"/>
      <c r="N13" s="17"/>
      <c r="O13" s="17"/>
      <c r="P13" s="18"/>
      <c r="Q13" s="16" t="s">
        <v>83</v>
      </c>
      <c r="R13" s="18"/>
    </row>
    <row r="14" spans="1:18" ht="16.5" customHeight="1">
      <c r="A14" s="10">
        <v>13</v>
      </c>
      <c r="B14" s="10">
        <v>2</v>
      </c>
      <c r="C14" s="10">
        <v>84</v>
      </c>
      <c r="D14" s="11" t="s">
        <v>6745</v>
      </c>
      <c r="E14" s="12" t="s">
        <v>6746</v>
      </c>
      <c r="F14" s="11" t="s">
        <v>6747</v>
      </c>
      <c r="G14" s="10"/>
      <c r="H14" s="13" t="s">
        <v>6748</v>
      </c>
      <c r="I14" s="14" t="s">
        <v>6749</v>
      </c>
      <c r="J14" s="15" t="s">
        <v>6750</v>
      </c>
      <c r="K14" s="16" t="s">
        <v>89</v>
      </c>
      <c r="L14" s="17" t="s">
        <v>368</v>
      </c>
      <c r="M14" s="17" t="s">
        <v>447</v>
      </c>
      <c r="N14" s="17" t="s">
        <v>6751</v>
      </c>
      <c r="O14" s="17" t="s">
        <v>6752</v>
      </c>
      <c r="P14" s="18" t="s">
        <v>6753</v>
      </c>
      <c r="Q14" s="16" t="s">
        <v>83</v>
      </c>
      <c r="R14" s="18"/>
    </row>
    <row r="15" spans="1:18" ht="16.5" customHeight="1">
      <c r="A15" s="10">
        <v>14</v>
      </c>
      <c r="B15" s="10">
        <v>2</v>
      </c>
      <c r="C15" s="10">
        <v>85</v>
      </c>
      <c r="D15" s="11" t="s">
        <v>6746</v>
      </c>
      <c r="E15" s="19" t="s">
        <v>6747</v>
      </c>
      <c r="F15" s="11" t="s">
        <v>6754</v>
      </c>
      <c r="G15" s="10" t="s">
        <v>540</v>
      </c>
      <c r="H15" s="13" t="s">
        <v>6755</v>
      </c>
      <c r="I15" s="14" t="s">
        <v>6756</v>
      </c>
      <c r="J15" s="15" t="s">
        <v>6757</v>
      </c>
      <c r="K15" s="16" t="s">
        <v>82</v>
      </c>
      <c r="L15" s="17"/>
      <c r="M15" s="17"/>
      <c r="N15" s="17"/>
      <c r="O15" s="17"/>
      <c r="P15" s="18"/>
      <c r="Q15" s="16" t="s">
        <v>83</v>
      </c>
      <c r="R15" s="18"/>
    </row>
    <row r="16" spans="1:18" ht="16.5" customHeight="1">
      <c r="A16" s="10">
        <v>15</v>
      </c>
      <c r="B16" s="10">
        <v>2</v>
      </c>
      <c r="C16" s="10">
        <v>86</v>
      </c>
      <c r="D16" s="11" t="s">
        <v>6747</v>
      </c>
      <c r="E16" s="12" t="s">
        <v>6754</v>
      </c>
      <c r="F16" s="11" t="s">
        <v>6758</v>
      </c>
      <c r="G16" s="10"/>
      <c r="H16" s="13" t="s">
        <v>6759</v>
      </c>
      <c r="I16" s="14" t="s">
        <v>6760</v>
      </c>
      <c r="J16" s="15" t="s">
        <v>6761</v>
      </c>
      <c r="K16" s="16" t="s">
        <v>82</v>
      </c>
      <c r="L16" s="17"/>
      <c r="M16" s="17"/>
      <c r="N16" s="17"/>
      <c r="O16" s="17"/>
      <c r="P16" s="18"/>
      <c r="Q16" s="16" t="s">
        <v>83</v>
      </c>
      <c r="R16" s="18"/>
    </row>
    <row r="17" spans="1:18" ht="26.25" customHeight="1">
      <c r="A17" s="10">
        <v>16</v>
      </c>
      <c r="B17" s="10">
        <v>8</v>
      </c>
      <c r="C17" s="10">
        <v>6</v>
      </c>
      <c r="D17" s="11" t="s">
        <v>6762</v>
      </c>
      <c r="E17" s="12" t="s">
        <v>6763</v>
      </c>
      <c r="F17" s="11" t="s">
        <v>6764</v>
      </c>
      <c r="G17" s="10"/>
      <c r="H17" s="13" t="s">
        <v>6765</v>
      </c>
      <c r="I17" s="14" t="s">
        <v>6766</v>
      </c>
      <c r="J17" s="15" t="s">
        <v>6767</v>
      </c>
      <c r="K17" s="16" t="s">
        <v>82</v>
      </c>
      <c r="L17" s="17"/>
      <c r="M17" s="17"/>
      <c r="N17" s="17"/>
      <c r="O17" s="17"/>
      <c r="P17" s="18"/>
      <c r="Q17" s="16" t="s">
        <v>83</v>
      </c>
      <c r="R17" s="18"/>
    </row>
    <row r="18" spans="1:18" ht="16.5" customHeight="1">
      <c r="A18" s="10">
        <v>17</v>
      </c>
      <c r="B18" s="10">
        <v>8</v>
      </c>
      <c r="C18" s="10">
        <v>7</v>
      </c>
      <c r="D18" s="11" t="s">
        <v>6763</v>
      </c>
      <c r="E18" s="19" t="s">
        <v>6764</v>
      </c>
      <c r="F18" s="11" t="s">
        <v>6768</v>
      </c>
      <c r="G18" s="10" t="s">
        <v>802</v>
      </c>
      <c r="H18" s="13" t="s">
        <v>6769</v>
      </c>
      <c r="I18" s="14" t="s">
        <v>6770</v>
      </c>
      <c r="J18" s="15" t="s">
        <v>6771</v>
      </c>
      <c r="K18" s="16" t="s">
        <v>82</v>
      </c>
      <c r="L18" s="17"/>
      <c r="M18" s="17"/>
      <c r="N18" s="17"/>
      <c r="O18" s="17"/>
      <c r="P18" s="18"/>
      <c r="Q18" s="16" t="s">
        <v>83</v>
      </c>
      <c r="R18" s="18"/>
    </row>
    <row r="19" spans="1:18" ht="16.5" customHeight="1">
      <c r="A19" s="10">
        <v>18</v>
      </c>
      <c r="B19" s="10">
        <v>8</v>
      </c>
      <c r="C19" s="10">
        <v>8</v>
      </c>
      <c r="D19" s="11" t="s">
        <v>6764</v>
      </c>
      <c r="E19" s="12" t="s">
        <v>6768</v>
      </c>
      <c r="F19" s="11" t="s">
        <v>6772</v>
      </c>
      <c r="G19" s="10"/>
      <c r="H19" s="13" t="s">
        <v>6773</v>
      </c>
      <c r="I19" s="14" t="s">
        <v>6774</v>
      </c>
      <c r="J19" s="15" t="s">
        <v>6775</v>
      </c>
      <c r="K19" s="16" t="s">
        <v>82</v>
      </c>
      <c r="L19" s="17"/>
      <c r="M19" s="17"/>
      <c r="N19" s="17"/>
      <c r="O19" s="17"/>
      <c r="P19" s="18"/>
      <c r="Q19" s="16" t="s">
        <v>83</v>
      </c>
      <c r="R19" s="18"/>
    </row>
    <row r="20" spans="1:18" ht="16.5" customHeight="1">
      <c r="A20" s="10">
        <v>19</v>
      </c>
      <c r="B20" s="10">
        <v>8</v>
      </c>
      <c r="C20" s="10">
        <v>11</v>
      </c>
      <c r="D20" s="11" t="s">
        <v>6776</v>
      </c>
      <c r="E20" s="12" t="s">
        <v>6777</v>
      </c>
      <c r="F20" s="11" t="s">
        <v>6778</v>
      </c>
      <c r="G20" s="10"/>
      <c r="H20" s="13" t="s">
        <v>6779</v>
      </c>
      <c r="I20" s="14" t="s">
        <v>6780</v>
      </c>
      <c r="J20" s="15" t="s">
        <v>6781</v>
      </c>
      <c r="K20" s="16" t="s">
        <v>82</v>
      </c>
      <c r="L20" s="17"/>
      <c r="M20" s="17"/>
      <c r="N20" s="17"/>
      <c r="O20" s="17"/>
      <c r="P20" s="18"/>
      <c r="Q20" s="16" t="s">
        <v>83</v>
      </c>
      <c r="R20" s="18"/>
    </row>
    <row r="21" spans="1:18" ht="16.5" customHeight="1">
      <c r="A21" s="10">
        <v>20</v>
      </c>
      <c r="B21" s="10">
        <v>8</v>
      </c>
      <c r="C21" s="10">
        <v>12</v>
      </c>
      <c r="D21" s="11" t="s">
        <v>6777</v>
      </c>
      <c r="E21" s="19" t="s">
        <v>6778</v>
      </c>
      <c r="F21" s="11" t="s">
        <v>6782</v>
      </c>
      <c r="G21" s="10" t="s">
        <v>540</v>
      </c>
      <c r="H21" s="13" t="s">
        <v>6783</v>
      </c>
      <c r="I21" s="14" t="s">
        <v>6784</v>
      </c>
      <c r="J21" s="15" t="s">
        <v>6785</v>
      </c>
      <c r="K21" s="16" t="s">
        <v>82</v>
      </c>
      <c r="L21" s="17"/>
      <c r="M21" s="17"/>
      <c r="N21" s="17"/>
      <c r="O21" s="17"/>
      <c r="P21" s="18"/>
      <c r="Q21" s="16" t="s">
        <v>83</v>
      </c>
      <c r="R21" s="18"/>
    </row>
    <row r="22" spans="1:18" ht="16.5" customHeight="1">
      <c r="A22" s="10">
        <v>21</v>
      </c>
      <c r="B22" s="10">
        <v>8</v>
      </c>
      <c r="C22" s="10">
        <v>13</v>
      </c>
      <c r="D22" s="11" t="s">
        <v>6778</v>
      </c>
      <c r="E22" s="12" t="s">
        <v>6782</v>
      </c>
      <c r="F22" s="11" t="s">
        <v>6786</v>
      </c>
      <c r="G22" s="10"/>
      <c r="H22" s="13" t="s">
        <v>6787</v>
      </c>
      <c r="I22" s="14" t="s">
        <v>6788</v>
      </c>
      <c r="J22" s="15" t="s">
        <v>6789</v>
      </c>
      <c r="K22" s="16" t="s">
        <v>82</v>
      </c>
      <c r="L22" s="17"/>
      <c r="M22" s="17"/>
      <c r="N22" s="17"/>
      <c r="O22" s="17"/>
      <c r="P22" s="18"/>
      <c r="Q22" s="16" t="s">
        <v>83</v>
      </c>
      <c r="R22" s="18"/>
    </row>
    <row r="23" spans="1:18" ht="16.5" customHeight="1">
      <c r="A23" s="10">
        <v>22</v>
      </c>
      <c r="B23" s="10">
        <v>9</v>
      </c>
      <c r="C23" s="10">
        <v>2</v>
      </c>
      <c r="D23" s="11" t="s">
        <v>6790</v>
      </c>
      <c r="E23" s="12" t="s">
        <v>6791</v>
      </c>
      <c r="F23" s="11" t="s">
        <v>6792</v>
      </c>
      <c r="G23" s="10"/>
      <c r="H23" s="13" t="s">
        <v>6793</v>
      </c>
      <c r="I23" s="14" t="s">
        <v>6794</v>
      </c>
      <c r="J23" s="15" t="s">
        <v>6795</v>
      </c>
      <c r="K23" s="16" t="s">
        <v>82</v>
      </c>
      <c r="L23" s="17"/>
      <c r="M23" s="17"/>
      <c r="N23" s="17"/>
      <c r="O23" s="17"/>
      <c r="P23" s="18"/>
      <c r="Q23" s="16" t="s">
        <v>83</v>
      </c>
      <c r="R23" s="18"/>
    </row>
    <row r="24" spans="1:18" ht="16.5" customHeight="1">
      <c r="A24" s="10">
        <v>23</v>
      </c>
      <c r="B24" s="10">
        <v>9</v>
      </c>
      <c r="C24" s="10">
        <v>3</v>
      </c>
      <c r="D24" s="11" t="s">
        <v>6791</v>
      </c>
      <c r="E24" s="19" t="s">
        <v>6792</v>
      </c>
      <c r="F24" s="11" t="s">
        <v>6796</v>
      </c>
      <c r="G24" s="10" t="s">
        <v>802</v>
      </c>
      <c r="H24" s="13" t="s">
        <v>6797</v>
      </c>
      <c r="I24" s="14" t="s">
        <v>6798</v>
      </c>
      <c r="J24" s="15" t="s">
        <v>6799</v>
      </c>
      <c r="K24" s="16" t="s">
        <v>82</v>
      </c>
      <c r="L24" s="17"/>
      <c r="M24" s="17"/>
      <c r="N24" s="17"/>
      <c r="O24" s="17"/>
      <c r="P24" s="18"/>
      <c r="Q24" s="16" t="s">
        <v>83</v>
      </c>
      <c r="R24" s="18"/>
    </row>
    <row r="25" spans="1:18" ht="16.5" customHeight="1">
      <c r="A25" s="10">
        <v>24</v>
      </c>
      <c r="B25" s="10">
        <v>9</v>
      </c>
      <c r="C25" s="10">
        <v>4</v>
      </c>
      <c r="D25" s="11" t="s">
        <v>6792</v>
      </c>
      <c r="E25" s="12" t="s">
        <v>6796</v>
      </c>
      <c r="F25" s="11" t="s">
        <v>6800</v>
      </c>
      <c r="G25" s="10"/>
      <c r="H25" s="13" t="s">
        <v>6801</v>
      </c>
      <c r="I25" s="14" t="s">
        <v>6802</v>
      </c>
      <c r="J25" s="15" t="s">
        <v>6803</v>
      </c>
      <c r="K25" s="16" t="s">
        <v>82</v>
      </c>
      <c r="L25" s="17"/>
      <c r="M25" s="17"/>
      <c r="N25" s="17"/>
      <c r="O25" s="17"/>
      <c r="P25" s="18"/>
      <c r="Q25" s="16" t="s">
        <v>83</v>
      </c>
      <c r="R25" s="18"/>
    </row>
    <row r="26" spans="1:18" ht="16.5" customHeight="1">
      <c r="A26" s="10">
        <v>25</v>
      </c>
      <c r="B26" s="10">
        <v>9</v>
      </c>
      <c r="C26" s="10">
        <v>11</v>
      </c>
      <c r="D26" s="11" t="s">
        <v>6804</v>
      </c>
      <c r="E26" s="12" t="s">
        <v>6805</v>
      </c>
      <c r="F26" s="11" t="s">
        <v>6806</v>
      </c>
      <c r="G26" s="10"/>
      <c r="H26" s="13" t="s">
        <v>6807</v>
      </c>
      <c r="I26" s="14" t="s">
        <v>6808</v>
      </c>
      <c r="J26" s="15" t="s">
        <v>6809</v>
      </c>
      <c r="K26" s="16" t="s">
        <v>82</v>
      </c>
      <c r="L26" s="17"/>
      <c r="M26" s="17"/>
      <c r="N26" s="17"/>
      <c r="O26" s="17"/>
      <c r="P26" s="18"/>
      <c r="Q26" s="16" t="s">
        <v>83</v>
      </c>
      <c r="R26" s="18"/>
    </row>
    <row r="27" spans="1:18" ht="16.5" customHeight="1">
      <c r="A27" s="10">
        <v>26</v>
      </c>
      <c r="B27" s="10">
        <v>9</v>
      </c>
      <c r="C27" s="10">
        <v>12</v>
      </c>
      <c r="D27" s="11" t="s">
        <v>6805</v>
      </c>
      <c r="E27" s="19" t="s">
        <v>6806</v>
      </c>
      <c r="F27" s="11" t="s">
        <v>6810</v>
      </c>
      <c r="G27" s="10" t="s">
        <v>338</v>
      </c>
      <c r="H27" s="13" t="s">
        <v>6811</v>
      </c>
      <c r="I27" s="14" t="s">
        <v>6812</v>
      </c>
      <c r="J27" s="15" t="s">
        <v>6813</v>
      </c>
      <c r="K27" s="16" t="s">
        <v>89</v>
      </c>
      <c r="L27" s="17" t="s">
        <v>128</v>
      </c>
      <c r="M27" s="17" t="s">
        <v>209</v>
      </c>
      <c r="N27" s="17" t="s">
        <v>6814</v>
      </c>
      <c r="O27" s="17" t="s">
        <v>6815</v>
      </c>
      <c r="P27" s="18" t="s">
        <v>6816</v>
      </c>
      <c r="Q27" s="16" t="s">
        <v>83</v>
      </c>
      <c r="R27" s="18"/>
    </row>
    <row r="28" spans="1:18" ht="16.5" customHeight="1">
      <c r="A28" s="10">
        <v>27</v>
      </c>
      <c r="B28" s="10">
        <v>9</v>
      </c>
      <c r="C28" s="10">
        <v>13</v>
      </c>
      <c r="D28" s="11" t="s">
        <v>6806</v>
      </c>
      <c r="E28" s="12" t="s">
        <v>6810</v>
      </c>
      <c r="F28" s="11" t="s">
        <v>6817</v>
      </c>
      <c r="G28" s="10"/>
      <c r="H28" s="13" t="s">
        <v>4290</v>
      </c>
      <c r="I28" s="14" t="s">
        <v>6818</v>
      </c>
      <c r="J28" s="15" t="s">
        <v>6818</v>
      </c>
      <c r="K28" s="16" t="s">
        <v>82</v>
      </c>
      <c r="L28" s="17"/>
      <c r="M28" s="17"/>
      <c r="N28" s="17"/>
      <c r="O28" s="17"/>
      <c r="P28" s="18"/>
      <c r="Q28" s="16" t="s">
        <v>83</v>
      </c>
      <c r="R28" s="18"/>
    </row>
    <row r="29" spans="1:18" ht="16.5" customHeight="1">
      <c r="A29" s="10">
        <v>28</v>
      </c>
      <c r="B29" s="10">
        <v>13</v>
      </c>
      <c r="C29" s="10">
        <v>4</v>
      </c>
      <c r="D29" s="11" t="s">
        <v>6819</v>
      </c>
      <c r="E29" s="12" t="s">
        <v>6820</v>
      </c>
      <c r="F29" s="11" t="s">
        <v>6821</v>
      </c>
      <c r="G29" s="10"/>
      <c r="H29" s="13" t="s">
        <v>6822</v>
      </c>
      <c r="I29" s="14" t="s">
        <v>6823</v>
      </c>
      <c r="J29" s="15" t="s">
        <v>6824</v>
      </c>
      <c r="K29" s="16" t="s">
        <v>82</v>
      </c>
      <c r="L29" s="17"/>
      <c r="M29" s="17"/>
      <c r="N29" s="17"/>
      <c r="O29" s="17"/>
      <c r="P29" s="18"/>
      <c r="Q29" s="16" t="s">
        <v>83</v>
      </c>
      <c r="R29" s="18"/>
    </row>
    <row r="30" spans="1:18" ht="16.5" customHeight="1">
      <c r="A30" s="10">
        <v>29</v>
      </c>
      <c r="B30" s="10">
        <v>13</v>
      </c>
      <c r="C30" s="10">
        <v>5</v>
      </c>
      <c r="D30" s="11" t="s">
        <v>6820</v>
      </c>
      <c r="E30" s="19" t="s">
        <v>6821</v>
      </c>
      <c r="F30" s="11" t="s">
        <v>6825</v>
      </c>
      <c r="G30" s="10" t="s">
        <v>540</v>
      </c>
      <c r="H30" s="13" t="s">
        <v>6826</v>
      </c>
      <c r="I30" s="14" t="s">
        <v>6827</v>
      </c>
      <c r="J30" s="15" t="s">
        <v>6827</v>
      </c>
      <c r="K30" s="16" t="s">
        <v>82</v>
      </c>
      <c r="L30" s="17"/>
      <c r="M30" s="17"/>
      <c r="N30" s="17"/>
      <c r="O30" s="17"/>
      <c r="P30" s="18"/>
      <c r="Q30" s="16" t="s">
        <v>83</v>
      </c>
      <c r="R30" s="18"/>
    </row>
    <row r="31" spans="1:18" ht="16.5" customHeight="1">
      <c r="A31" s="10">
        <v>30</v>
      </c>
      <c r="B31" s="10">
        <v>13</v>
      </c>
      <c r="C31" s="10">
        <v>6</v>
      </c>
      <c r="D31" s="11" t="s">
        <v>6821</v>
      </c>
      <c r="E31" s="12" t="s">
        <v>6825</v>
      </c>
      <c r="F31" s="11" t="s">
        <v>6828</v>
      </c>
      <c r="G31" s="10"/>
      <c r="H31" s="13" t="s">
        <v>6829</v>
      </c>
      <c r="I31" s="14" t="s">
        <v>6830</v>
      </c>
      <c r="J31" s="15" t="s">
        <v>6830</v>
      </c>
      <c r="K31" s="16" t="s">
        <v>82</v>
      </c>
      <c r="L31" s="17"/>
      <c r="M31" s="17"/>
      <c r="N31" s="17"/>
      <c r="O31" s="17"/>
      <c r="P31" s="18"/>
      <c r="Q31" s="16" t="s">
        <v>83</v>
      </c>
      <c r="R31" s="18"/>
    </row>
    <row r="32" spans="1:18" ht="16.5" customHeight="1">
      <c r="A32" s="10">
        <v>31</v>
      </c>
      <c r="B32" s="10">
        <v>13</v>
      </c>
      <c r="C32" s="10">
        <v>18</v>
      </c>
      <c r="D32" s="11" t="s">
        <v>6831</v>
      </c>
      <c r="E32" s="12" t="s">
        <v>6832</v>
      </c>
      <c r="F32" s="11" t="s">
        <v>6833</v>
      </c>
      <c r="G32" s="10"/>
      <c r="H32" s="13" t="s">
        <v>6834</v>
      </c>
      <c r="I32" s="14" t="s">
        <v>6835</v>
      </c>
      <c r="J32" s="15" t="s">
        <v>6836</v>
      </c>
      <c r="K32" s="16" t="s">
        <v>89</v>
      </c>
      <c r="L32" s="17" t="s">
        <v>155</v>
      </c>
      <c r="M32" s="17" t="s">
        <v>209</v>
      </c>
      <c r="N32" s="17" t="s">
        <v>6837</v>
      </c>
      <c r="O32" s="17" t="s">
        <v>6838</v>
      </c>
      <c r="P32" s="18" t="s">
        <v>6839</v>
      </c>
      <c r="Q32" s="16" t="s">
        <v>83</v>
      </c>
      <c r="R32" s="18"/>
    </row>
    <row r="33" spans="1:18" ht="16.5" customHeight="1">
      <c r="A33" s="10">
        <v>32</v>
      </c>
      <c r="B33" s="10">
        <v>13</v>
      </c>
      <c r="C33" s="10">
        <v>19</v>
      </c>
      <c r="D33" s="11" t="s">
        <v>6832</v>
      </c>
      <c r="E33" s="19" t="s">
        <v>6833</v>
      </c>
      <c r="F33" s="11" t="s">
        <v>6840</v>
      </c>
      <c r="G33" s="10" t="s">
        <v>1957</v>
      </c>
      <c r="H33" s="13" t="s">
        <v>6841</v>
      </c>
      <c r="I33" s="14" t="s">
        <v>6842</v>
      </c>
      <c r="J33" s="15" t="s">
        <v>6842</v>
      </c>
      <c r="K33" s="16" t="s">
        <v>82</v>
      </c>
      <c r="L33" s="17"/>
      <c r="M33" s="17"/>
      <c r="N33" s="17"/>
      <c r="O33" s="17"/>
      <c r="P33" s="18"/>
      <c r="Q33" s="16" t="s">
        <v>83</v>
      </c>
      <c r="R33" s="18"/>
    </row>
    <row r="34" spans="1:18" ht="16.5" customHeight="1">
      <c r="A34" s="10">
        <v>33</v>
      </c>
      <c r="B34" s="10">
        <v>13</v>
      </c>
      <c r="C34" s="10">
        <v>20</v>
      </c>
      <c r="D34" s="11" t="s">
        <v>6833</v>
      </c>
      <c r="E34" s="12" t="s">
        <v>6840</v>
      </c>
      <c r="F34" s="11" t="s">
        <v>6843</v>
      </c>
      <c r="G34" s="10"/>
      <c r="H34" s="13" t="s">
        <v>6844</v>
      </c>
      <c r="I34" s="14" t="s">
        <v>6845</v>
      </c>
      <c r="J34" s="15" t="s">
        <v>6845</v>
      </c>
      <c r="K34" s="16" t="s">
        <v>82</v>
      </c>
      <c r="L34" s="17"/>
      <c r="M34" s="17"/>
      <c r="N34" s="17"/>
      <c r="O34" s="17"/>
      <c r="P34" s="18"/>
      <c r="Q34" s="16" t="s">
        <v>83</v>
      </c>
      <c r="R34" s="18"/>
    </row>
    <row r="35" spans="1:18" ht="16.5" customHeight="1">
      <c r="A35" s="10">
        <v>34</v>
      </c>
      <c r="B35" s="10">
        <v>13</v>
      </c>
      <c r="C35" s="10">
        <v>21</v>
      </c>
      <c r="D35" s="11" t="s">
        <v>6840</v>
      </c>
      <c r="E35" s="12" t="s">
        <v>6843</v>
      </c>
      <c r="F35" s="11" t="s">
        <v>6846</v>
      </c>
      <c r="G35" s="10"/>
      <c r="H35" s="13" t="s">
        <v>6847</v>
      </c>
      <c r="I35" s="14" t="s">
        <v>6848</v>
      </c>
      <c r="J35" s="15" t="s">
        <v>6849</v>
      </c>
      <c r="K35" s="16" t="s">
        <v>82</v>
      </c>
      <c r="L35" s="17"/>
      <c r="M35" s="17"/>
      <c r="N35" s="17"/>
      <c r="O35" s="17"/>
      <c r="P35" s="18"/>
      <c r="Q35" s="16" t="s">
        <v>83</v>
      </c>
      <c r="R35" s="18"/>
    </row>
    <row r="36" spans="1:18" ht="16.5" customHeight="1">
      <c r="A36" s="10">
        <v>35</v>
      </c>
      <c r="B36" s="10">
        <v>13</v>
      </c>
      <c r="C36" s="10">
        <v>22</v>
      </c>
      <c r="D36" s="11" t="s">
        <v>6843</v>
      </c>
      <c r="E36" s="19" t="s">
        <v>6846</v>
      </c>
      <c r="F36" s="11" t="s">
        <v>6850</v>
      </c>
      <c r="G36" s="10" t="s">
        <v>1957</v>
      </c>
      <c r="H36" s="13" t="s">
        <v>6851</v>
      </c>
      <c r="I36" s="14" t="s">
        <v>6852</v>
      </c>
      <c r="J36" s="15" t="s">
        <v>6853</v>
      </c>
      <c r="K36" s="16" t="s">
        <v>82</v>
      </c>
      <c r="L36" s="17"/>
      <c r="M36" s="17"/>
      <c r="N36" s="17"/>
      <c r="O36" s="17"/>
      <c r="P36" s="18"/>
      <c r="Q36" s="16" t="s">
        <v>83</v>
      </c>
      <c r="R36" s="18"/>
    </row>
    <row r="37" spans="1:18" ht="16.5" customHeight="1">
      <c r="A37" s="10">
        <v>36</v>
      </c>
      <c r="B37" s="10">
        <v>13</v>
      </c>
      <c r="C37" s="10">
        <v>23</v>
      </c>
      <c r="D37" s="11" t="s">
        <v>6846</v>
      </c>
      <c r="E37" s="12" t="s">
        <v>6850</v>
      </c>
      <c r="F37" s="11" t="s">
        <v>6854</v>
      </c>
      <c r="G37" s="10"/>
      <c r="H37" s="13" t="s">
        <v>6855</v>
      </c>
      <c r="I37" s="14" t="s">
        <v>6856</v>
      </c>
      <c r="J37" s="15" t="s">
        <v>6856</v>
      </c>
      <c r="K37" s="16" t="s">
        <v>82</v>
      </c>
      <c r="L37" s="17"/>
      <c r="M37" s="17"/>
      <c r="N37" s="17"/>
      <c r="O37" s="17"/>
      <c r="P37" s="18"/>
      <c r="Q37" s="16" t="s">
        <v>83</v>
      </c>
      <c r="R37" s="18"/>
    </row>
    <row r="38" spans="1:18" ht="39" customHeight="1">
      <c r="A38" s="10">
        <v>37</v>
      </c>
      <c r="B38" s="10">
        <v>16</v>
      </c>
      <c r="C38" s="10">
        <v>3</v>
      </c>
      <c r="D38" s="11" t="s">
        <v>6857</v>
      </c>
      <c r="E38" s="12" t="s">
        <v>6858</v>
      </c>
      <c r="F38" s="11" t="s">
        <v>6859</v>
      </c>
      <c r="G38" s="10"/>
      <c r="H38" s="13" t="s">
        <v>6860</v>
      </c>
      <c r="I38" s="14" t="s">
        <v>6861</v>
      </c>
      <c r="J38" s="15" t="s">
        <v>6861</v>
      </c>
      <c r="K38" s="16" t="s">
        <v>82</v>
      </c>
      <c r="L38" s="17"/>
      <c r="M38" s="17"/>
      <c r="N38" s="17"/>
      <c r="O38" s="17"/>
      <c r="P38" s="18"/>
      <c r="Q38" s="16" t="s">
        <v>83</v>
      </c>
      <c r="R38" s="18"/>
    </row>
    <row r="39" spans="1:18" ht="16.5" customHeight="1">
      <c r="A39" s="10">
        <v>38</v>
      </c>
      <c r="B39" s="10">
        <v>16</v>
      </c>
      <c r="C39" s="10">
        <v>4</v>
      </c>
      <c r="D39" s="11" t="s">
        <v>6858</v>
      </c>
      <c r="E39" s="19" t="s">
        <v>6859</v>
      </c>
      <c r="F39" s="11" t="s">
        <v>6862</v>
      </c>
      <c r="G39" s="10" t="s">
        <v>540</v>
      </c>
      <c r="H39" s="13" t="s">
        <v>6863</v>
      </c>
      <c r="I39" s="14" t="s">
        <v>6864</v>
      </c>
      <c r="J39" s="15" t="s">
        <v>6865</v>
      </c>
      <c r="K39" s="16" t="s">
        <v>82</v>
      </c>
      <c r="L39" s="17"/>
      <c r="M39" s="17"/>
      <c r="N39" s="17"/>
      <c r="O39" s="17"/>
      <c r="P39" s="18"/>
      <c r="Q39" s="16" t="s">
        <v>83</v>
      </c>
      <c r="R39" s="18"/>
    </row>
    <row r="40" spans="1:18" ht="26.25" customHeight="1">
      <c r="A40" s="10">
        <v>39</v>
      </c>
      <c r="B40" s="10">
        <v>16</v>
      </c>
      <c r="C40" s="10">
        <v>5</v>
      </c>
      <c r="D40" s="11" t="s">
        <v>6859</v>
      </c>
      <c r="E40" s="12" t="s">
        <v>6862</v>
      </c>
      <c r="F40" s="11" t="s">
        <v>6866</v>
      </c>
      <c r="G40" s="10"/>
      <c r="H40" s="13" t="s">
        <v>6867</v>
      </c>
      <c r="I40" s="14" t="s">
        <v>6868</v>
      </c>
      <c r="J40" s="15" t="s">
        <v>6869</v>
      </c>
      <c r="K40" s="16" t="s">
        <v>82</v>
      </c>
      <c r="L40" s="17"/>
      <c r="M40" s="17"/>
      <c r="N40" s="17"/>
      <c r="O40" s="17"/>
      <c r="P40" s="18"/>
      <c r="Q40" s="16" t="s">
        <v>83</v>
      </c>
      <c r="R40" s="18"/>
    </row>
    <row r="41" spans="1:18" ht="16.5" customHeight="1">
      <c r="A41" s="10">
        <v>40</v>
      </c>
      <c r="B41" s="10">
        <v>16</v>
      </c>
      <c r="C41" s="10">
        <v>6</v>
      </c>
      <c r="D41" s="11" t="s">
        <v>6862</v>
      </c>
      <c r="E41" s="19" t="s">
        <v>6866</v>
      </c>
      <c r="F41" s="11" t="s">
        <v>6870</v>
      </c>
      <c r="G41" s="10" t="s">
        <v>338</v>
      </c>
      <c r="H41" s="13" t="s">
        <v>6871</v>
      </c>
      <c r="I41" s="14" t="s">
        <v>6872</v>
      </c>
      <c r="J41" s="15" t="s">
        <v>6873</v>
      </c>
      <c r="K41" s="16" t="s">
        <v>82</v>
      </c>
      <c r="L41" s="17"/>
      <c r="M41" s="17"/>
      <c r="N41" s="17"/>
      <c r="O41" s="17"/>
      <c r="P41" s="18"/>
      <c r="Q41" s="16" t="s">
        <v>83</v>
      </c>
      <c r="R41" s="18"/>
    </row>
    <row r="42" spans="1:18" ht="26.25" customHeight="1">
      <c r="A42" s="10">
        <v>41</v>
      </c>
      <c r="B42" s="10">
        <v>16</v>
      </c>
      <c r="C42" s="10">
        <v>7</v>
      </c>
      <c r="D42" s="11" t="s">
        <v>6866</v>
      </c>
      <c r="E42" s="12" t="s">
        <v>6870</v>
      </c>
      <c r="F42" s="11" t="s">
        <v>6874</v>
      </c>
      <c r="G42" s="10"/>
      <c r="H42" s="13" t="s">
        <v>6875</v>
      </c>
      <c r="I42" s="14" t="s">
        <v>6876</v>
      </c>
      <c r="J42" s="15" t="s">
        <v>6877</v>
      </c>
      <c r="K42" s="16" t="s">
        <v>82</v>
      </c>
      <c r="L42" s="17"/>
      <c r="M42" s="17"/>
      <c r="N42" s="17"/>
      <c r="O42" s="17"/>
      <c r="P42" s="18"/>
      <c r="Q42" s="16" t="s">
        <v>83</v>
      </c>
      <c r="R42" s="18"/>
    </row>
    <row r="43" spans="1:18" ht="16.5" customHeight="1">
      <c r="A43" s="10">
        <v>42</v>
      </c>
      <c r="B43" s="10">
        <v>16</v>
      </c>
      <c r="C43" s="10">
        <v>13</v>
      </c>
      <c r="D43" s="11" t="s">
        <v>6878</v>
      </c>
      <c r="E43" s="12" t="s">
        <v>6879</v>
      </c>
      <c r="F43" s="11" t="s">
        <v>6880</v>
      </c>
      <c r="G43" s="10"/>
      <c r="H43" s="13" t="s">
        <v>6881</v>
      </c>
      <c r="I43" s="14" t="s">
        <v>6882</v>
      </c>
      <c r="J43" s="15" t="s">
        <v>6883</v>
      </c>
      <c r="K43" s="16" t="s">
        <v>82</v>
      </c>
      <c r="L43" s="17"/>
      <c r="M43" s="17"/>
      <c r="N43" s="17"/>
      <c r="O43" s="17"/>
      <c r="P43" s="18"/>
      <c r="Q43" s="16" t="s">
        <v>83</v>
      </c>
      <c r="R43" s="18"/>
    </row>
    <row r="44" spans="1:18" ht="16.5" customHeight="1">
      <c r="A44" s="10">
        <v>43</v>
      </c>
      <c r="B44" s="10">
        <v>16</v>
      </c>
      <c r="C44" s="10">
        <v>14</v>
      </c>
      <c r="D44" s="11" t="s">
        <v>6879</v>
      </c>
      <c r="E44" s="19" t="s">
        <v>6880</v>
      </c>
      <c r="F44" s="11" t="s">
        <v>6884</v>
      </c>
      <c r="G44" s="10" t="s">
        <v>540</v>
      </c>
      <c r="H44" s="13" t="s">
        <v>6885</v>
      </c>
      <c r="I44" s="14" t="s">
        <v>6886</v>
      </c>
      <c r="J44" s="15" t="s">
        <v>6887</v>
      </c>
      <c r="K44" s="16" t="s">
        <v>82</v>
      </c>
      <c r="L44" s="17"/>
      <c r="M44" s="17"/>
      <c r="N44" s="17"/>
      <c r="O44" s="17"/>
      <c r="P44" s="18"/>
      <c r="Q44" s="16" t="s">
        <v>83</v>
      </c>
      <c r="R44" s="18"/>
    </row>
    <row r="45" spans="1:18" ht="16.5" customHeight="1">
      <c r="A45" s="10">
        <v>44</v>
      </c>
      <c r="B45" s="10">
        <v>16</v>
      </c>
      <c r="C45" s="10">
        <v>15</v>
      </c>
      <c r="D45" s="11" t="s">
        <v>6880</v>
      </c>
      <c r="E45" s="12" t="s">
        <v>6884</v>
      </c>
      <c r="F45" s="11" t="s">
        <v>6888</v>
      </c>
      <c r="G45" s="10"/>
      <c r="H45" s="13" t="s">
        <v>2884</v>
      </c>
      <c r="I45" s="14" t="s">
        <v>6889</v>
      </c>
      <c r="J45" s="15" t="s">
        <v>6889</v>
      </c>
      <c r="K45" s="16" t="s">
        <v>82</v>
      </c>
      <c r="L45" s="17"/>
      <c r="M45" s="17"/>
      <c r="N45" s="17"/>
      <c r="O45" s="17"/>
      <c r="P45" s="18"/>
      <c r="Q45" s="16" t="s">
        <v>83</v>
      </c>
      <c r="R45" s="18"/>
    </row>
    <row r="46" spans="1:18" ht="16.5" customHeight="1">
      <c r="A46" s="10">
        <v>45</v>
      </c>
      <c r="B46" s="10">
        <v>16</v>
      </c>
      <c r="C46" s="10">
        <v>17</v>
      </c>
      <c r="D46" s="11" t="s">
        <v>6888</v>
      </c>
      <c r="E46" s="12" t="s">
        <v>6890</v>
      </c>
      <c r="F46" s="11" t="s">
        <v>6891</v>
      </c>
      <c r="G46" s="10"/>
      <c r="H46" s="13" t="s">
        <v>6892</v>
      </c>
      <c r="I46" s="14" t="s">
        <v>6893</v>
      </c>
      <c r="J46" s="15" t="s">
        <v>6893</v>
      </c>
      <c r="K46" s="16" t="s">
        <v>82</v>
      </c>
      <c r="L46" s="17"/>
      <c r="M46" s="17"/>
      <c r="N46" s="17"/>
      <c r="O46" s="17"/>
      <c r="P46" s="18"/>
      <c r="Q46" s="16" t="s">
        <v>83</v>
      </c>
      <c r="R46" s="18"/>
    </row>
    <row r="47" spans="1:18" ht="16.5" customHeight="1">
      <c r="A47" s="10">
        <v>46</v>
      </c>
      <c r="B47" s="10">
        <v>16</v>
      </c>
      <c r="C47" s="10">
        <v>18</v>
      </c>
      <c r="D47" s="11" t="s">
        <v>6890</v>
      </c>
      <c r="E47" s="19" t="s">
        <v>6891</v>
      </c>
      <c r="F47" s="11" t="s">
        <v>6894</v>
      </c>
      <c r="G47" s="10" t="s">
        <v>540</v>
      </c>
      <c r="H47" s="13" t="s">
        <v>6895</v>
      </c>
      <c r="I47" s="14" t="s">
        <v>6896</v>
      </c>
      <c r="J47" s="15" t="s">
        <v>6897</v>
      </c>
      <c r="K47" s="16" t="s">
        <v>82</v>
      </c>
      <c r="L47" s="17"/>
      <c r="M47" s="17"/>
      <c r="N47" s="17"/>
      <c r="O47" s="17"/>
      <c r="P47" s="18"/>
      <c r="Q47" s="16" t="s">
        <v>83</v>
      </c>
      <c r="R47" s="18"/>
    </row>
    <row r="48" spans="1:18" ht="16.5" customHeight="1">
      <c r="A48" s="10">
        <v>47</v>
      </c>
      <c r="B48" s="10">
        <v>16</v>
      </c>
      <c r="C48" s="10">
        <v>19</v>
      </c>
      <c r="D48" s="11" t="s">
        <v>6891</v>
      </c>
      <c r="E48" s="12" t="s">
        <v>6894</v>
      </c>
      <c r="F48" s="11" t="s">
        <v>6898</v>
      </c>
      <c r="G48" s="10"/>
      <c r="H48" s="13" t="s">
        <v>393</v>
      </c>
      <c r="I48" s="14" t="s">
        <v>6899</v>
      </c>
      <c r="J48" s="15" t="s">
        <v>6900</v>
      </c>
      <c r="K48" s="16" t="s">
        <v>82</v>
      </c>
      <c r="L48" s="17"/>
      <c r="M48" s="17"/>
      <c r="N48" s="17"/>
      <c r="O48" s="17"/>
      <c r="P48" s="18"/>
      <c r="Q48" s="16" t="s">
        <v>83</v>
      </c>
      <c r="R48" s="18"/>
    </row>
    <row r="49" spans="1:18" ht="16.5" customHeight="1">
      <c r="A49" s="10">
        <v>48</v>
      </c>
      <c r="B49" s="10">
        <v>16</v>
      </c>
      <c r="C49" s="10">
        <v>31</v>
      </c>
      <c r="D49" s="11" t="s">
        <v>6901</v>
      </c>
      <c r="E49" s="12" t="s">
        <v>6902</v>
      </c>
      <c r="F49" s="11" t="s">
        <v>6903</v>
      </c>
      <c r="G49" s="10"/>
      <c r="H49" s="13" t="s">
        <v>4716</v>
      </c>
      <c r="I49" s="14" t="s">
        <v>6904</v>
      </c>
      <c r="J49" s="15" t="s">
        <v>6905</v>
      </c>
      <c r="K49" s="16" t="s">
        <v>82</v>
      </c>
      <c r="L49" s="17"/>
      <c r="M49" s="17"/>
      <c r="N49" s="17"/>
      <c r="O49" s="17"/>
      <c r="P49" s="18"/>
      <c r="Q49" s="16" t="s">
        <v>83</v>
      </c>
      <c r="R49" s="18"/>
    </row>
    <row r="50" spans="1:18" ht="16.5" customHeight="1">
      <c r="A50" s="10">
        <v>49</v>
      </c>
      <c r="B50" s="10">
        <v>16</v>
      </c>
      <c r="C50" s="10">
        <v>32</v>
      </c>
      <c r="D50" s="11" t="s">
        <v>6902</v>
      </c>
      <c r="E50" s="19" t="s">
        <v>6903</v>
      </c>
      <c r="F50" s="11" t="s">
        <v>6906</v>
      </c>
      <c r="G50" s="10" t="s">
        <v>540</v>
      </c>
      <c r="H50" s="13" t="s">
        <v>6907</v>
      </c>
      <c r="I50" s="14" t="s">
        <v>6908</v>
      </c>
      <c r="J50" s="15" t="s">
        <v>6908</v>
      </c>
      <c r="K50" s="16" t="s">
        <v>82</v>
      </c>
      <c r="L50" s="17"/>
      <c r="M50" s="17"/>
      <c r="N50" s="17"/>
      <c r="O50" s="17"/>
      <c r="P50" s="18"/>
      <c r="Q50" s="16" t="s">
        <v>83</v>
      </c>
      <c r="R50" s="18"/>
    </row>
    <row r="51" spans="1:18" ht="16.5" customHeight="1">
      <c r="A51" s="10">
        <v>50</v>
      </c>
      <c r="B51" s="10">
        <v>16</v>
      </c>
      <c r="C51" s="10">
        <v>33</v>
      </c>
      <c r="D51" s="11" t="s">
        <v>6903</v>
      </c>
      <c r="E51" s="12" t="s">
        <v>6906</v>
      </c>
      <c r="F51" s="11" t="s">
        <v>6909</v>
      </c>
      <c r="G51" s="10"/>
      <c r="H51" s="13" t="s">
        <v>6910</v>
      </c>
      <c r="I51" s="14" t="s">
        <v>6911</v>
      </c>
      <c r="J51" s="15" t="s">
        <v>6912</v>
      </c>
      <c r="K51" s="16" t="s">
        <v>82</v>
      </c>
      <c r="L51" s="17"/>
      <c r="M51" s="17"/>
      <c r="N51" s="17"/>
      <c r="O51" s="17"/>
      <c r="P51" s="18"/>
      <c r="Q51" s="16" t="s">
        <v>83</v>
      </c>
      <c r="R51" s="18" t="s">
        <v>6913</v>
      </c>
    </row>
    <row r="52" spans="1:18" ht="16.5" customHeight="1">
      <c r="A52" s="10">
        <v>51</v>
      </c>
      <c r="B52" s="10">
        <v>16</v>
      </c>
      <c r="C52" s="10">
        <v>34</v>
      </c>
      <c r="D52" s="11" t="s">
        <v>6906</v>
      </c>
      <c r="E52" s="12" t="s">
        <v>6909</v>
      </c>
      <c r="F52" s="11" t="s">
        <v>6914</v>
      </c>
      <c r="G52" s="10"/>
      <c r="H52" s="13" t="s">
        <v>6915</v>
      </c>
      <c r="I52" s="14" t="s">
        <v>6916</v>
      </c>
      <c r="J52" s="15" t="s">
        <v>6917</v>
      </c>
      <c r="K52" s="16" t="s">
        <v>89</v>
      </c>
      <c r="L52" s="17" t="s">
        <v>368</v>
      </c>
      <c r="M52" s="17" t="s">
        <v>209</v>
      </c>
      <c r="N52" s="17" t="s">
        <v>6918</v>
      </c>
      <c r="O52" s="17" t="s">
        <v>6919</v>
      </c>
      <c r="P52" s="18" t="s">
        <v>6920</v>
      </c>
      <c r="Q52" s="16" t="s">
        <v>83</v>
      </c>
      <c r="R52" s="18"/>
    </row>
    <row r="53" spans="1:18" ht="16.5" customHeight="1">
      <c r="A53" s="10">
        <v>52</v>
      </c>
      <c r="B53" s="10">
        <v>16</v>
      </c>
      <c r="C53" s="10">
        <v>35</v>
      </c>
      <c r="D53" s="11" t="s">
        <v>6909</v>
      </c>
      <c r="E53" s="19" t="s">
        <v>6914</v>
      </c>
      <c r="F53" s="11" t="s">
        <v>6921</v>
      </c>
      <c r="G53" s="10" t="s">
        <v>540</v>
      </c>
      <c r="H53" s="13" t="s">
        <v>6922</v>
      </c>
      <c r="I53" s="14" t="s">
        <v>6923</v>
      </c>
      <c r="J53" s="15" t="s">
        <v>6924</v>
      </c>
      <c r="K53" s="16" t="s">
        <v>82</v>
      </c>
      <c r="L53" s="17"/>
      <c r="M53" s="17"/>
      <c r="N53" s="17"/>
      <c r="O53" s="17"/>
      <c r="P53" s="18"/>
      <c r="Q53" s="16" t="s">
        <v>83</v>
      </c>
      <c r="R53" s="18"/>
    </row>
    <row r="54" spans="1:18" ht="16.5" customHeight="1">
      <c r="A54" s="10">
        <v>53</v>
      </c>
      <c r="B54" s="10">
        <v>16</v>
      </c>
      <c r="C54" s="10">
        <v>36</v>
      </c>
      <c r="D54" s="11" t="s">
        <v>6914</v>
      </c>
      <c r="E54" s="12" t="s">
        <v>6921</v>
      </c>
      <c r="F54" s="11" t="s">
        <v>6925</v>
      </c>
      <c r="G54" s="10"/>
      <c r="H54" s="13" t="s">
        <v>6926</v>
      </c>
      <c r="I54" s="14" t="s">
        <v>6927</v>
      </c>
      <c r="J54" s="15" t="s">
        <v>6928</v>
      </c>
      <c r="K54" s="16" t="s">
        <v>82</v>
      </c>
      <c r="L54" s="17"/>
      <c r="M54" s="17"/>
      <c r="N54" s="17"/>
      <c r="O54" s="17"/>
      <c r="P54" s="18"/>
      <c r="Q54" s="16" t="s">
        <v>83</v>
      </c>
      <c r="R54" s="18"/>
    </row>
    <row r="55" spans="1:18" ht="16.5" customHeight="1">
      <c r="A55" s="10">
        <v>54</v>
      </c>
      <c r="B55" s="10">
        <v>16</v>
      </c>
      <c r="C55" s="10">
        <v>37</v>
      </c>
      <c r="D55" s="11" t="s">
        <v>6921</v>
      </c>
      <c r="E55" s="12" t="s">
        <v>6925</v>
      </c>
      <c r="F55" s="11" t="s">
        <v>6929</v>
      </c>
      <c r="G55" s="10"/>
      <c r="H55" s="13" t="s">
        <v>6930</v>
      </c>
      <c r="I55" s="14" t="s">
        <v>6931</v>
      </c>
      <c r="J55" s="15" t="s">
        <v>6932</v>
      </c>
      <c r="K55" s="16" t="s">
        <v>82</v>
      </c>
      <c r="L55" s="17"/>
      <c r="M55" s="17"/>
      <c r="N55" s="17"/>
      <c r="O55" s="17"/>
      <c r="P55" s="18"/>
      <c r="Q55" s="16" t="s">
        <v>83</v>
      </c>
      <c r="R55" s="18"/>
    </row>
    <row r="56" spans="1:18" ht="16.5" customHeight="1">
      <c r="A56" s="10">
        <v>55</v>
      </c>
      <c r="B56" s="10">
        <v>16</v>
      </c>
      <c r="C56" s="10">
        <v>38</v>
      </c>
      <c r="D56" s="11" t="s">
        <v>6925</v>
      </c>
      <c r="E56" s="19" t="s">
        <v>6929</v>
      </c>
      <c r="F56" s="11" t="s">
        <v>6933</v>
      </c>
      <c r="G56" s="10" t="s">
        <v>540</v>
      </c>
      <c r="H56" s="13" t="s">
        <v>6934</v>
      </c>
      <c r="I56" s="14" t="s">
        <v>6935</v>
      </c>
      <c r="J56" s="15" t="s">
        <v>6936</v>
      </c>
      <c r="K56" s="16" t="s">
        <v>82</v>
      </c>
      <c r="L56" s="17"/>
      <c r="M56" s="17"/>
      <c r="N56" s="17"/>
      <c r="O56" s="17"/>
      <c r="P56" s="18"/>
      <c r="Q56" s="16" t="s">
        <v>83</v>
      </c>
      <c r="R56" s="18"/>
    </row>
    <row r="57" spans="1:18" ht="16.5" customHeight="1">
      <c r="A57" s="10">
        <v>56</v>
      </c>
      <c r="B57" s="10">
        <v>16</v>
      </c>
      <c r="C57" s="10">
        <v>39</v>
      </c>
      <c r="D57" s="11" t="s">
        <v>6929</v>
      </c>
      <c r="E57" s="12" t="s">
        <v>6933</v>
      </c>
      <c r="F57" s="11" t="s">
        <v>6937</v>
      </c>
      <c r="G57" s="10"/>
      <c r="H57" s="13" t="s">
        <v>6938</v>
      </c>
      <c r="I57" s="14" t="s">
        <v>6939</v>
      </c>
      <c r="J57" s="15" t="s">
        <v>6940</v>
      </c>
      <c r="K57" s="16" t="s">
        <v>82</v>
      </c>
      <c r="L57" s="17"/>
      <c r="M57" s="17"/>
      <c r="N57" s="17"/>
      <c r="O57" s="17"/>
      <c r="P57" s="18"/>
      <c r="Q57" s="16" t="s">
        <v>83</v>
      </c>
      <c r="R57" s="18"/>
    </row>
    <row r="58" spans="1:18" ht="16.5" customHeight="1">
      <c r="A58" s="10">
        <v>57</v>
      </c>
      <c r="B58" s="10">
        <v>17</v>
      </c>
      <c r="C58" s="10">
        <v>16</v>
      </c>
      <c r="D58" s="11" t="s">
        <v>6941</v>
      </c>
      <c r="E58" s="12" t="s">
        <v>6942</v>
      </c>
      <c r="F58" s="11" t="s">
        <v>6943</v>
      </c>
      <c r="G58" s="10"/>
      <c r="H58" s="13" t="s">
        <v>6944</v>
      </c>
      <c r="I58" s="14" t="s">
        <v>6945</v>
      </c>
      <c r="J58" s="15" t="s">
        <v>6946</v>
      </c>
      <c r="K58" s="16" t="s">
        <v>82</v>
      </c>
      <c r="L58" s="17"/>
      <c r="M58" s="17"/>
      <c r="N58" s="17"/>
      <c r="O58" s="17"/>
      <c r="P58" s="18"/>
      <c r="Q58" s="16" t="s">
        <v>83</v>
      </c>
      <c r="R58" s="18"/>
    </row>
    <row r="59" spans="1:18" ht="16.5" customHeight="1">
      <c r="A59" s="10">
        <v>58</v>
      </c>
      <c r="B59" s="10">
        <v>17</v>
      </c>
      <c r="C59" s="10">
        <v>17</v>
      </c>
      <c r="D59" s="11" t="s">
        <v>6942</v>
      </c>
      <c r="E59" s="19" t="s">
        <v>6943</v>
      </c>
      <c r="F59" s="11" t="s">
        <v>6947</v>
      </c>
      <c r="G59" s="10" t="s">
        <v>1957</v>
      </c>
      <c r="H59" s="13" t="s">
        <v>6948</v>
      </c>
      <c r="I59" s="14" t="s">
        <v>6949</v>
      </c>
      <c r="J59" s="15" t="s">
        <v>6950</v>
      </c>
      <c r="K59" s="16" t="s">
        <v>82</v>
      </c>
      <c r="L59" s="17"/>
      <c r="M59" s="17"/>
      <c r="N59" s="17"/>
      <c r="O59" s="17"/>
      <c r="P59" s="18"/>
      <c r="Q59" s="16" t="s">
        <v>83</v>
      </c>
      <c r="R59" s="18"/>
    </row>
    <row r="60" spans="1:18" ht="16.5" customHeight="1">
      <c r="A60" s="10">
        <v>59</v>
      </c>
      <c r="B60" s="10">
        <v>17</v>
      </c>
      <c r="C60" s="10">
        <v>18</v>
      </c>
      <c r="D60" s="11" t="s">
        <v>6943</v>
      </c>
      <c r="E60" s="12" t="s">
        <v>6947</v>
      </c>
      <c r="F60" s="11" t="s">
        <v>6951</v>
      </c>
      <c r="G60" s="10"/>
      <c r="H60" s="13" t="s">
        <v>6952</v>
      </c>
      <c r="I60" s="14" t="s">
        <v>6953</v>
      </c>
      <c r="J60" s="15" t="s">
        <v>6954</v>
      </c>
      <c r="K60" s="16" t="s">
        <v>89</v>
      </c>
      <c r="L60" s="17" t="s">
        <v>155</v>
      </c>
      <c r="M60" s="17" t="s">
        <v>447</v>
      </c>
      <c r="N60" s="17" t="s">
        <v>6947</v>
      </c>
      <c r="O60" s="17" t="s">
        <v>6955</v>
      </c>
      <c r="P60" s="18" t="s">
        <v>6956</v>
      </c>
      <c r="Q60" s="16" t="s">
        <v>113</v>
      </c>
      <c r="R60" s="18"/>
    </row>
    <row r="61" spans="1:18" ht="16.5" customHeight="1">
      <c r="A61" s="10">
        <v>60</v>
      </c>
      <c r="B61" s="10">
        <v>19</v>
      </c>
      <c r="C61" s="10">
        <v>26</v>
      </c>
      <c r="D61" s="11" t="s">
        <v>6957</v>
      </c>
      <c r="E61" s="12" t="s">
        <v>6958</v>
      </c>
      <c r="F61" s="11" t="s">
        <v>6959</v>
      </c>
      <c r="G61" s="10"/>
      <c r="H61" s="13" t="s">
        <v>6960</v>
      </c>
      <c r="I61" s="14" t="s">
        <v>6961</v>
      </c>
      <c r="J61" s="15" t="s">
        <v>6962</v>
      </c>
      <c r="K61" s="16" t="s">
        <v>82</v>
      </c>
      <c r="L61" s="17"/>
      <c r="M61" s="17"/>
      <c r="N61" s="17"/>
      <c r="O61" s="17"/>
      <c r="P61" s="18"/>
      <c r="Q61" s="16" t="s">
        <v>83</v>
      </c>
      <c r="R61" s="18"/>
    </row>
    <row r="62" spans="1:18" ht="16.5" customHeight="1">
      <c r="A62" s="10">
        <v>61</v>
      </c>
      <c r="B62" s="10">
        <v>19</v>
      </c>
      <c r="C62" s="10">
        <v>27</v>
      </c>
      <c r="D62" s="11" t="s">
        <v>6958</v>
      </c>
      <c r="E62" s="19" t="s">
        <v>6959</v>
      </c>
      <c r="F62" s="11" t="s">
        <v>6963</v>
      </c>
      <c r="G62" s="10" t="s">
        <v>338</v>
      </c>
      <c r="H62" s="13" t="s">
        <v>6964</v>
      </c>
      <c r="I62" s="14" t="s">
        <v>6965</v>
      </c>
      <c r="J62" s="15" t="s">
        <v>6966</v>
      </c>
      <c r="K62" s="16" t="s">
        <v>82</v>
      </c>
      <c r="L62" s="17"/>
      <c r="M62" s="17"/>
      <c r="N62" s="17"/>
      <c r="O62" s="17"/>
      <c r="P62" s="18"/>
      <c r="Q62" s="16" t="s">
        <v>83</v>
      </c>
      <c r="R62" s="18"/>
    </row>
    <row r="63" spans="1:18" ht="16.5" customHeight="1">
      <c r="A63" s="10">
        <v>62</v>
      </c>
      <c r="B63" s="10">
        <v>19</v>
      </c>
      <c r="C63" s="10">
        <v>28</v>
      </c>
      <c r="D63" s="11" t="s">
        <v>6959</v>
      </c>
      <c r="E63" s="12" t="s">
        <v>6963</v>
      </c>
      <c r="F63" s="11" t="s">
        <v>6967</v>
      </c>
      <c r="G63" s="10"/>
      <c r="H63" s="13" t="s">
        <v>6968</v>
      </c>
      <c r="I63" s="14" t="s">
        <v>6969</v>
      </c>
      <c r="J63" s="15" t="s">
        <v>6969</v>
      </c>
      <c r="K63" s="16" t="s">
        <v>82</v>
      </c>
      <c r="L63" s="17"/>
      <c r="M63" s="17"/>
      <c r="N63" s="17"/>
      <c r="O63" s="17"/>
      <c r="P63" s="18"/>
      <c r="Q63" s="16" t="s">
        <v>83</v>
      </c>
      <c r="R63" s="18"/>
    </row>
    <row r="64" spans="1:18" ht="26.25" customHeight="1">
      <c r="A64" s="10">
        <v>63</v>
      </c>
      <c r="B64" s="10">
        <v>21</v>
      </c>
      <c r="C64" s="10">
        <v>2</v>
      </c>
      <c r="D64" s="11" t="s">
        <v>6970</v>
      </c>
      <c r="E64" s="12" t="s">
        <v>6971</v>
      </c>
      <c r="F64" s="11" t="s">
        <v>6972</v>
      </c>
      <c r="G64" s="10"/>
      <c r="H64" s="13" t="s">
        <v>6973</v>
      </c>
      <c r="I64" s="14" t="s">
        <v>6974</v>
      </c>
      <c r="J64" s="15" t="s">
        <v>6975</v>
      </c>
      <c r="K64" s="16" t="s">
        <v>89</v>
      </c>
      <c r="L64" s="17" t="s">
        <v>90</v>
      </c>
      <c r="M64" s="17" t="s">
        <v>3814</v>
      </c>
      <c r="N64" s="17" t="s">
        <v>6976</v>
      </c>
      <c r="O64" s="17" t="s">
        <v>6977</v>
      </c>
      <c r="P64" s="18" t="s">
        <v>6978</v>
      </c>
      <c r="Q64" s="16" t="s">
        <v>83</v>
      </c>
      <c r="R64" s="18"/>
    </row>
    <row r="65" spans="1:18" ht="16.5" customHeight="1">
      <c r="A65" s="10">
        <v>64</v>
      </c>
      <c r="B65" s="10">
        <v>21</v>
      </c>
      <c r="C65" s="10">
        <v>3</v>
      </c>
      <c r="D65" s="11" t="s">
        <v>6971</v>
      </c>
      <c r="E65" s="19" t="s">
        <v>6972</v>
      </c>
      <c r="F65" s="11" t="s">
        <v>6979</v>
      </c>
      <c r="G65" s="10" t="s">
        <v>4635</v>
      </c>
      <c r="H65" s="13" t="s">
        <v>6980</v>
      </c>
      <c r="I65" s="14" t="s">
        <v>6981</v>
      </c>
      <c r="J65" s="15" t="s">
        <v>6982</v>
      </c>
      <c r="K65" s="16" t="s">
        <v>82</v>
      </c>
      <c r="L65" s="17"/>
      <c r="M65" s="17"/>
      <c r="N65" s="17"/>
      <c r="O65" s="17"/>
      <c r="P65" s="18"/>
      <c r="Q65" s="16" t="s">
        <v>83</v>
      </c>
      <c r="R65" s="18"/>
    </row>
    <row r="66" spans="1:18" ht="26.25" customHeight="1">
      <c r="A66" s="10">
        <v>65</v>
      </c>
      <c r="B66" s="10">
        <v>21</v>
      </c>
      <c r="C66" s="10">
        <v>4</v>
      </c>
      <c r="D66" s="11" t="s">
        <v>6972</v>
      </c>
      <c r="E66" s="12" t="s">
        <v>6979</v>
      </c>
      <c r="F66" s="11"/>
      <c r="G66" s="10"/>
      <c r="H66" s="13" t="s">
        <v>6983</v>
      </c>
      <c r="I66" s="14" t="s">
        <v>6984</v>
      </c>
      <c r="J66" s="15" t="s">
        <v>6985</v>
      </c>
      <c r="K66" s="16" t="s">
        <v>89</v>
      </c>
      <c r="L66" s="17" t="s">
        <v>155</v>
      </c>
      <c r="M66" s="17" t="s">
        <v>3814</v>
      </c>
      <c r="N66" s="17" t="s">
        <v>6986</v>
      </c>
      <c r="O66" s="17" t="s">
        <v>6987</v>
      </c>
      <c r="P66" s="18" t="s">
        <v>6988</v>
      </c>
      <c r="Q66" s="16" t="s">
        <v>83</v>
      </c>
      <c r="R66" s="18"/>
    </row>
  </sheetData>
  <phoneticPr fontId="9" type="noConversion"/>
  <dataValidations count="4">
    <dataValidation type="list" allowBlank="1" sqref="K2:K66" xr:uid="{00000000-0002-0000-0800-000000000000}">
      <formula1>"Y,N"</formula1>
      <formula2>0</formula2>
    </dataValidation>
    <dataValidation type="list" allowBlank="1" sqref="L2:L66" xr:uid="{00000000-0002-0000-0800-000001000000}">
      <formula1>"SD-1 자연·물질,SD-2 신체·감각,SD-3 공간·방위,SD-4 사냥·전쟁,SD-5 운동·시간,SD-6 문화·제도,(수사 기제)"</formula1>
      <formula2>0</formula2>
    </dataValidation>
    <dataValidation type="list" allowBlank="1" sqref="M2:M66" xr:uid="{00000000-0002-0000-0800-000002000000}">
      <formula1>"TD-1 축적·유통,TD-2 권력·지배,TD-3 인식·진위,TD-4 도덕·책무,TD-5 문명·제도,TD-7 경물·감각,TD-6 기타"</formula1>
      <formula2>0</formula2>
    </dataValidation>
    <dataValidation type="list" allowBlank="1" sqref="Q2:Q66" xr:uid="{00000000-0002-0000-0800-000003000000}">
      <formula1>"높음,보통,낮음"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R22"/>
  <sheetViews>
    <sheetView zoomScaleNormal="100" workbookViewId="0">
      <pane xSplit="10" ySplit="1" topLeftCell="K2" activePane="bottomRight" state="frozen"/>
      <selection pane="topRight" activeCell="K1" sqref="K1"/>
      <selection pane="bottomLeft" activeCell="A2" sqref="A2"/>
      <selection pane="bottomRight"/>
    </sheetView>
  </sheetViews>
  <sheetFormatPr defaultColWidth="8.7109375" defaultRowHeight="15"/>
  <cols>
    <col min="1" max="1" width="5" style="4" customWidth="1"/>
    <col min="2" max="3" width="6" style="4" customWidth="1"/>
    <col min="4" max="4" width="20" style="4" customWidth="1"/>
    <col min="5" max="5" width="30" style="4" customWidth="1"/>
    <col min="6" max="6" width="20" style="4" customWidth="1"/>
    <col min="7" max="7" width="13" style="4" customWidth="1"/>
    <col min="8" max="8" width="58" style="4" customWidth="1"/>
    <col min="9" max="10" width="34" style="4" customWidth="1"/>
    <col min="11" max="11" width="12" style="4" customWidth="1"/>
    <col min="12" max="12" width="14" style="4" customWidth="1"/>
    <col min="13" max="13" width="26" style="4" customWidth="1"/>
    <col min="14" max="14" width="8" style="4" customWidth="1"/>
    <col min="15" max="15" width="16" style="4" customWidth="1"/>
  </cols>
  <sheetData>
    <row r="1" spans="1:18" ht="31.5" customHeight="1">
      <c r="A1" s="9" t="s">
        <v>58</v>
      </c>
      <c r="B1" s="9" t="s">
        <v>59</v>
      </c>
      <c r="C1" s="9" t="s">
        <v>60</v>
      </c>
      <c r="D1" s="9" t="s">
        <v>61</v>
      </c>
      <c r="E1" s="9" t="s">
        <v>62</v>
      </c>
      <c r="F1" s="9" t="s">
        <v>63</v>
      </c>
      <c r="G1" s="9" t="s">
        <v>64</v>
      </c>
      <c r="H1" s="9" t="s">
        <v>65</v>
      </c>
      <c r="I1" s="9" t="s">
        <v>66</v>
      </c>
      <c r="J1" s="9" t="s">
        <v>67</v>
      </c>
      <c r="K1" s="9" t="s">
        <v>68</v>
      </c>
      <c r="L1" s="9" t="s">
        <v>69</v>
      </c>
      <c r="M1" s="9" t="s">
        <v>70</v>
      </c>
      <c r="N1" s="9" t="s">
        <v>71</v>
      </c>
      <c r="O1" s="9" t="s">
        <v>72</v>
      </c>
      <c r="P1" s="9" t="s">
        <v>73</v>
      </c>
      <c r="Q1" s="9" t="s">
        <v>74</v>
      </c>
      <c r="R1" s="9" t="s">
        <v>75</v>
      </c>
    </row>
    <row r="2" spans="1:18" ht="16.5" customHeight="1">
      <c r="A2" s="10">
        <v>1</v>
      </c>
      <c r="B2" s="10">
        <v>2</v>
      </c>
      <c r="C2" s="10">
        <v>22</v>
      </c>
      <c r="D2" s="11" t="s">
        <v>92</v>
      </c>
      <c r="E2" s="12" t="s">
        <v>6989</v>
      </c>
      <c r="F2" s="11" t="s">
        <v>6990</v>
      </c>
      <c r="G2" s="10"/>
      <c r="H2" s="13" t="s">
        <v>6991</v>
      </c>
      <c r="I2" s="14" t="s">
        <v>6992</v>
      </c>
      <c r="J2" s="15" t="s">
        <v>6993</v>
      </c>
      <c r="K2" s="16" t="s">
        <v>82</v>
      </c>
      <c r="L2" s="17"/>
      <c r="M2" s="17"/>
      <c r="N2" s="17"/>
      <c r="O2" s="17"/>
      <c r="P2" s="18"/>
      <c r="Q2" s="16" t="s">
        <v>83</v>
      </c>
      <c r="R2" s="18"/>
    </row>
    <row r="3" spans="1:18" ht="16.5" customHeight="1">
      <c r="A3" s="10">
        <v>2</v>
      </c>
      <c r="B3" s="10">
        <v>2</v>
      </c>
      <c r="C3" s="10">
        <v>23</v>
      </c>
      <c r="D3" s="11" t="s">
        <v>6989</v>
      </c>
      <c r="E3" s="19" t="s">
        <v>6990</v>
      </c>
      <c r="F3" s="11" t="s">
        <v>6994</v>
      </c>
      <c r="G3" s="10" t="s">
        <v>397</v>
      </c>
      <c r="H3" s="13" t="s">
        <v>6995</v>
      </c>
      <c r="I3" s="14" t="s">
        <v>6996</v>
      </c>
      <c r="J3" s="15" t="s">
        <v>6997</v>
      </c>
      <c r="K3" s="16" t="s">
        <v>89</v>
      </c>
      <c r="L3" s="17" t="s">
        <v>368</v>
      </c>
      <c r="M3" s="17" t="s">
        <v>447</v>
      </c>
      <c r="N3" s="17" t="s">
        <v>3743</v>
      </c>
      <c r="O3" s="17" t="s">
        <v>5233</v>
      </c>
      <c r="P3" s="18" t="s">
        <v>6998</v>
      </c>
      <c r="Q3" s="16" t="s">
        <v>83</v>
      </c>
      <c r="R3" s="18"/>
    </row>
    <row r="4" spans="1:18" ht="16.5" customHeight="1">
      <c r="A4" s="10">
        <v>3</v>
      </c>
      <c r="B4" s="10">
        <v>2</v>
      </c>
      <c r="C4" s="10">
        <v>24</v>
      </c>
      <c r="D4" s="11" t="s">
        <v>6990</v>
      </c>
      <c r="E4" s="12" t="s">
        <v>6994</v>
      </c>
      <c r="F4" s="11" t="s">
        <v>6999</v>
      </c>
      <c r="G4" s="10"/>
      <c r="H4" s="13" t="s">
        <v>7000</v>
      </c>
      <c r="I4" s="14" t="s">
        <v>7001</v>
      </c>
      <c r="J4" s="15" t="s">
        <v>7002</v>
      </c>
      <c r="K4" s="16" t="s">
        <v>82</v>
      </c>
      <c r="L4" s="17"/>
      <c r="M4" s="17"/>
      <c r="N4" s="17"/>
      <c r="O4" s="17"/>
      <c r="P4" s="18"/>
      <c r="Q4" s="16" t="s">
        <v>83</v>
      </c>
      <c r="R4" s="18"/>
    </row>
    <row r="5" spans="1:18" ht="16.5" customHeight="1">
      <c r="A5" s="10">
        <v>4</v>
      </c>
      <c r="B5" s="10">
        <v>2</v>
      </c>
      <c r="C5" s="10">
        <v>109</v>
      </c>
      <c r="D5" s="11" t="s">
        <v>7003</v>
      </c>
      <c r="E5" s="12" t="s">
        <v>7004</v>
      </c>
      <c r="F5" s="11" t="s">
        <v>7005</v>
      </c>
      <c r="G5" s="10"/>
      <c r="H5" s="13" t="s">
        <v>4253</v>
      </c>
      <c r="I5" s="14" t="s">
        <v>7006</v>
      </c>
      <c r="J5" s="15" t="s">
        <v>7007</v>
      </c>
      <c r="K5" s="16" t="s">
        <v>82</v>
      </c>
      <c r="L5" s="17"/>
      <c r="M5" s="17"/>
      <c r="N5" s="17"/>
      <c r="O5" s="17"/>
      <c r="P5" s="18"/>
      <c r="Q5" s="16" t="s">
        <v>83</v>
      </c>
      <c r="R5" s="18"/>
    </row>
    <row r="6" spans="1:18" ht="16.5" customHeight="1">
      <c r="A6" s="10">
        <v>5</v>
      </c>
      <c r="B6" s="10">
        <v>2</v>
      </c>
      <c r="C6" s="10">
        <v>110</v>
      </c>
      <c r="D6" s="11" t="s">
        <v>7004</v>
      </c>
      <c r="E6" s="19" t="s">
        <v>7005</v>
      </c>
      <c r="F6" s="11" t="s">
        <v>7008</v>
      </c>
      <c r="G6" s="10" t="s">
        <v>160</v>
      </c>
      <c r="H6" s="13" t="s">
        <v>229</v>
      </c>
      <c r="I6" s="14" t="s">
        <v>7009</v>
      </c>
      <c r="J6" s="15" t="s">
        <v>7010</v>
      </c>
      <c r="K6" s="16" t="s">
        <v>82</v>
      </c>
      <c r="L6" s="17"/>
      <c r="M6" s="17"/>
      <c r="N6" s="17"/>
      <c r="O6" s="17"/>
      <c r="P6" s="18"/>
      <c r="Q6" s="16" t="s">
        <v>83</v>
      </c>
      <c r="R6" s="18"/>
    </row>
    <row r="7" spans="1:18" ht="16.5" customHeight="1">
      <c r="A7" s="10">
        <v>6</v>
      </c>
      <c r="B7" s="10">
        <v>2</v>
      </c>
      <c r="C7" s="10">
        <v>111</v>
      </c>
      <c r="D7" s="11" t="s">
        <v>7005</v>
      </c>
      <c r="E7" s="12" t="s">
        <v>7008</v>
      </c>
      <c r="F7" s="11" t="s">
        <v>7011</v>
      </c>
      <c r="G7" s="10"/>
      <c r="H7" s="13" t="s">
        <v>7012</v>
      </c>
      <c r="I7" s="14" t="s">
        <v>7013</v>
      </c>
      <c r="J7" s="15" t="s">
        <v>7014</v>
      </c>
      <c r="K7" s="16" t="s">
        <v>89</v>
      </c>
      <c r="L7" s="17" t="s">
        <v>90</v>
      </c>
      <c r="M7" s="17" t="s">
        <v>164</v>
      </c>
      <c r="N7" s="17" t="s">
        <v>7015</v>
      </c>
      <c r="O7" s="17" t="s">
        <v>2667</v>
      </c>
      <c r="P7" s="18" t="s">
        <v>7016</v>
      </c>
      <c r="Q7" s="16" t="s">
        <v>83</v>
      </c>
      <c r="R7" s="18"/>
    </row>
    <row r="8" spans="1:18" ht="16.5" customHeight="1">
      <c r="A8" s="10">
        <v>7</v>
      </c>
      <c r="B8" s="10">
        <v>2</v>
      </c>
      <c r="C8" s="10">
        <v>131</v>
      </c>
      <c r="D8" s="11" t="s">
        <v>7017</v>
      </c>
      <c r="E8" s="12" t="s">
        <v>7018</v>
      </c>
      <c r="F8" s="11" t="s">
        <v>7019</v>
      </c>
      <c r="G8" s="10"/>
      <c r="H8" s="13" t="s">
        <v>7020</v>
      </c>
      <c r="I8" s="14" t="s">
        <v>7021</v>
      </c>
      <c r="J8" s="15" t="s">
        <v>7022</v>
      </c>
      <c r="K8" s="16" t="s">
        <v>82</v>
      </c>
      <c r="L8" s="17"/>
      <c r="M8" s="17"/>
      <c r="N8" s="17"/>
      <c r="O8" s="17"/>
      <c r="P8" s="18"/>
      <c r="Q8" s="16" t="s">
        <v>83</v>
      </c>
      <c r="R8" s="18"/>
    </row>
    <row r="9" spans="1:18" ht="16.5" customHeight="1">
      <c r="A9" s="10">
        <v>8</v>
      </c>
      <c r="B9" s="10">
        <v>2</v>
      </c>
      <c r="C9" s="10">
        <v>132</v>
      </c>
      <c r="D9" s="11" t="s">
        <v>7018</v>
      </c>
      <c r="E9" s="19" t="s">
        <v>7019</v>
      </c>
      <c r="F9" s="11" t="s">
        <v>7023</v>
      </c>
      <c r="G9" s="10" t="s">
        <v>540</v>
      </c>
      <c r="H9" s="13" t="s">
        <v>7024</v>
      </c>
      <c r="I9" s="14" t="s">
        <v>7025</v>
      </c>
      <c r="J9" s="15" t="s">
        <v>7026</v>
      </c>
      <c r="K9" s="16" t="s">
        <v>89</v>
      </c>
      <c r="L9" s="17" t="s">
        <v>128</v>
      </c>
      <c r="M9" s="17" t="s">
        <v>3814</v>
      </c>
      <c r="N9" s="17" t="s">
        <v>7027</v>
      </c>
      <c r="O9" s="17" t="s">
        <v>7028</v>
      </c>
      <c r="P9" s="18" t="s">
        <v>7029</v>
      </c>
      <c r="Q9" s="16" t="s">
        <v>83</v>
      </c>
      <c r="R9" s="18"/>
    </row>
    <row r="10" spans="1:18" ht="16.5" customHeight="1">
      <c r="A10" s="10">
        <v>9</v>
      </c>
      <c r="B10" s="10">
        <v>2</v>
      </c>
      <c r="C10" s="10">
        <v>133</v>
      </c>
      <c r="D10" s="11" t="s">
        <v>7019</v>
      </c>
      <c r="E10" s="12" t="s">
        <v>7023</v>
      </c>
      <c r="F10" s="11" t="s">
        <v>7030</v>
      </c>
      <c r="G10" s="10"/>
      <c r="H10" s="13" t="s">
        <v>7031</v>
      </c>
      <c r="I10" s="14" t="s">
        <v>7032</v>
      </c>
      <c r="J10" s="15" t="s">
        <v>7033</v>
      </c>
      <c r="K10" s="16" t="s">
        <v>89</v>
      </c>
      <c r="L10" s="17" t="s">
        <v>128</v>
      </c>
      <c r="M10" s="17" t="s">
        <v>3814</v>
      </c>
      <c r="N10" s="17" t="s">
        <v>7023</v>
      </c>
      <c r="O10" s="17" t="s">
        <v>7034</v>
      </c>
      <c r="P10" s="18" t="s">
        <v>7035</v>
      </c>
      <c r="Q10" s="16" t="s">
        <v>83</v>
      </c>
      <c r="R10" s="18"/>
    </row>
    <row r="11" spans="1:18" ht="16.5" customHeight="1">
      <c r="A11" s="10">
        <v>10</v>
      </c>
      <c r="B11" s="10">
        <v>2</v>
      </c>
      <c r="C11" s="10">
        <v>238</v>
      </c>
      <c r="D11" s="11" t="s">
        <v>349</v>
      </c>
      <c r="E11" s="12" t="s">
        <v>7036</v>
      </c>
      <c r="F11" s="11" t="s">
        <v>7037</v>
      </c>
      <c r="G11" s="10"/>
      <c r="H11" s="13" t="s">
        <v>7038</v>
      </c>
      <c r="I11" s="14" t="s">
        <v>7039</v>
      </c>
      <c r="J11" s="15" t="s">
        <v>7040</v>
      </c>
      <c r="K11" s="16" t="s">
        <v>82</v>
      </c>
      <c r="L11" s="17"/>
      <c r="M11" s="17"/>
      <c r="N11" s="17"/>
      <c r="O11" s="17"/>
      <c r="P11" s="18"/>
      <c r="Q11" s="16" t="s">
        <v>83</v>
      </c>
      <c r="R11" s="18"/>
    </row>
    <row r="12" spans="1:18" ht="16.5" customHeight="1">
      <c r="A12" s="10">
        <v>11</v>
      </c>
      <c r="B12" s="10">
        <v>2</v>
      </c>
      <c r="C12" s="10">
        <v>239</v>
      </c>
      <c r="D12" s="11" t="s">
        <v>7036</v>
      </c>
      <c r="E12" s="19" t="s">
        <v>7037</v>
      </c>
      <c r="F12" s="11" t="s">
        <v>7041</v>
      </c>
      <c r="G12" s="10" t="s">
        <v>85</v>
      </c>
      <c r="H12" s="13" t="s">
        <v>7042</v>
      </c>
      <c r="I12" s="14" t="s">
        <v>7043</v>
      </c>
      <c r="J12" s="15" t="s">
        <v>7044</v>
      </c>
      <c r="K12" s="16" t="s">
        <v>82</v>
      </c>
      <c r="L12" s="17"/>
      <c r="M12" s="17"/>
      <c r="N12" s="17"/>
      <c r="O12" s="17"/>
      <c r="P12" s="18"/>
      <c r="Q12" s="16" t="s">
        <v>83</v>
      </c>
      <c r="R12" s="18"/>
    </row>
    <row r="13" spans="1:18" ht="16.5" customHeight="1">
      <c r="A13" s="10">
        <v>12</v>
      </c>
      <c r="B13" s="10">
        <v>2</v>
      </c>
      <c r="C13" s="10">
        <v>240</v>
      </c>
      <c r="D13" s="11" t="s">
        <v>7037</v>
      </c>
      <c r="E13" s="12" t="s">
        <v>7041</v>
      </c>
      <c r="F13" s="11" t="s">
        <v>7045</v>
      </c>
      <c r="G13" s="10"/>
      <c r="H13" s="13" t="s">
        <v>7046</v>
      </c>
      <c r="I13" s="14" t="s">
        <v>7047</v>
      </c>
      <c r="J13" s="15" t="s">
        <v>7048</v>
      </c>
      <c r="K13" s="16" t="s">
        <v>82</v>
      </c>
      <c r="L13" s="17"/>
      <c r="M13" s="17"/>
      <c r="N13" s="17"/>
      <c r="O13" s="17"/>
      <c r="P13" s="18"/>
      <c r="Q13" s="16" t="s">
        <v>83</v>
      </c>
      <c r="R13" s="18"/>
    </row>
    <row r="14" spans="1:18" ht="26.25" customHeight="1">
      <c r="A14" s="10">
        <v>13</v>
      </c>
      <c r="B14" s="10">
        <v>2</v>
      </c>
      <c r="C14" s="10">
        <v>288</v>
      </c>
      <c r="D14" s="11" t="s">
        <v>7049</v>
      </c>
      <c r="E14" s="12" t="s">
        <v>7050</v>
      </c>
      <c r="F14" s="11" t="s">
        <v>7051</v>
      </c>
      <c r="G14" s="10"/>
      <c r="H14" s="13" t="s">
        <v>7052</v>
      </c>
      <c r="I14" s="14" t="s">
        <v>7053</v>
      </c>
      <c r="J14" s="15" t="s">
        <v>7054</v>
      </c>
      <c r="K14" s="16" t="s">
        <v>82</v>
      </c>
      <c r="L14" s="17"/>
      <c r="M14" s="17"/>
      <c r="N14" s="17"/>
      <c r="O14" s="17"/>
      <c r="P14" s="18"/>
      <c r="Q14" s="16" t="s">
        <v>83</v>
      </c>
      <c r="R14" s="18"/>
    </row>
    <row r="15" spans="1:18" ht="16.5" customHeight="1">
      <c r="A15" s="10">
        <v>14</v>
      </c>
      <c r="B15" s="10">
        <v>2</v>
      </c>
      <c r="C15" s="10">
        <v>289</v>
      </c>
      <c r="D15" s="11" t="s">
        <v>7050</v>
      </c>
      <c r="E15" s="19" t="s">
        <v>7051</v>
      </c>
      <c r="F15" s="11" t="s">
        <v>7055</v>
      </c>
      <c r="G15" s="10" t="s">
        <v>1244</v>
      </c>
      <c r="H15" s="13" t="s">
        <v>7056</v>
      </c>
      <c r="I15" s="14" t="s">
        <v>7057</v>
      </c>
      <c r="J15" s="15" t="s">
        <v>7058</v>
      </c>
      <c r="K15" s="16" t="s">
        <v>89</v>
      </c>
      <c r="L15" s="17" t="s">
        <v>90</v>
      </c>
      <c r="M15" s="17" t="s">
        <v>447</v>
      </c>
      <c r="N15" s="17" t="s">
        <v>7059</v>
      </c>
      <c r="O15" s="17" t="s">
        <v>7060</v>
      </c>
      <c r="P15" s="18" t="s">
        <v>7061</v>
      </c>
      <c r="Q15" s="16" t="s">
        <v>83</v>
      </c>
      <c r="R15" s="18"/>
    </row>
    <row r="16" spans="1:18" ht="26.25" customHeight="1">
      <c r="A16" s="10">
        <v>15</v>
      </c>
      <c r="B16" s="10">
        <v>2</v>
      </c>
      <c r="C16" s="10">
        <v>290</v>
      </c>
      <c r="D16" s="11" t="s">
        <v>7051</v>
      </c>
      <c r="E16" s="12" t="s">
        <v>7055</v>
      </c>
      <c r="F16" s="11" t="s">
        <v>7062</v>
      </c>
      <c r="G16" s="10"/>
      <c r="H16" s="13" t="s">
        <v>7063</v>
      </c>
      <c r="I16" s="14" t="s">
        <v>7064</v>
      </c>
      <c r="J16" s="15" t="s">
        <v>7064</v>
      </c>
      <c r="K16" s="16" t="s">
        <v>82</v>
      </c>
      <c r="L16" s="17"/>
      <c r="M16" s="17"/>
      <c r="N16" s="17"/>
      <c r="O16" s="17"/>
      <c r="P16" s="18"/>
      <c r="Q16" s="16" t="s">
        <v>83</v>
      </c>
      <c r="R16" s="18"/>
    </row>
    <row r="17" spans="1:18" ht="16.5" customHeight="1">
      <c r="A17" s="10">
        <v>16</v>
      </c>
      <c r="B17" s="10">
        <v>2</v>
      </c>
      <c r="C17" s="10">
        <v>296</v>
      </c>
      <c r="D17" s="11" t="s">
        <v>7065</v>
      </c>
      <c r="E17" s="12" t="s">
        <v>7066</v>
      </c>
      <c r="F17" s="11" t="s">
        <v>7067</v>
      </c>
      <c r="G17" s="10"/>
      <c r="H17" s="13" t="s">
        <v>7068</v>
      </c>
      <c r="I17" s="14" t="s">
        <v>7069</v>
      </c>
      <c r="J17" s="15" t="s">
        <v>7070</v>
      </c>
      <c r="K17" s="16" t="s">
        <v>82</v>
      </c>
      <c r="L17" s="17"/>
      <c r="M17" s="17"/>
      <c r="N17" s="17"/>
      <c r="O17" s="17"/>
      <c r="P17" s="18"/>
      <c r="Q17" s="16" t="s">
        <v>83</v>
      </c>
      <c r="R17" s="18"/>
    </row>
    <row r="18" spans="1:18" ht="26.25" customHeight="1">
      <c r="A18" s="10">
        <v>17</v>
      </c>
      <c r="B18" s="10">
        <v>2</v>
      </c>
      <c r="C18" s="10">
        <v>297</v>
      </c>
      <c r="D18" s="11" t="s">
        <v>7066</v>
      </c>
      <c r="E18" s="19" t="s">
        <v>7067</v>
      </c>
      <c r="F18" s="11" t="s">
        <v>7071</v>
      </c>
      <c r="G18" s="10" t="s">
        <v>85</v>
      </c>
      <c r="H18" s="13" t="s">
        <v>7072</v>
      </c>
      <c r="I18" s="14" t="s">
        <v>7073</v>
      </c>
      <c r="J18" s="15" t="s">
        <v>7074</v>
      </c>
      <c r="K18" s="16" t="s">
        <v>82</v>
      </c>
      <c r="L18" s="17"/>
      <c r="M18" s="17"/>
      <c r="N18" s="17"/>
      <c r="O18" s="17"/>
      <c r="P18" s="18"/>
      <c r="Q18" s="16" t="s">
        <v>83</v>
      </c>
      <c r="R18" s="18"/>
    </row>
    <row r="19" spans="1:18" ht="26.25" customHeight="1">
      <c r="A19" s="10">
        <v>18</v>
      </c>
      <c r="B19" s="10">
        <v>2</v>
      </c>
      <c r="C19" s="10">
        <v>298</v>
      </c>
      <c r="D19" s="11" t="s">
        <v>7067</v>
      </c>
      <c r="E19" s="12" t="s">
        <v>7071</v>
      </c>
      <c r="F19" s="11" t="s">
        <v>7075</v>
      </c>
      <c r="G19" s="10"/>
      <c r="H19" s="13" t="s">
        <v>7076</v>
      </c>
      <c r="I19" s="14" t="s">
        <v>7077</v>
      </c>
      <c r="J19" s="15" t="s">
        <v>7078</v>
      </c>
      <c r="K19" s="16" t="s">
        <v>89</v>
      </c>
      <c r="L19" s="17" t="s">
        <v>155</v>
      </c>
      <c r="M19" s="17" t="s">
        <v>447</v>
      </c>
      <c r="N19" s="17" t="s">
        <v>7079</v>
      </c>
      <c r="O19" s="17" t="s">
        <v>7080</v>
      </c>
      <c r="P19" s="18" t="s">
        <v>7081</v>
      </c>
      <c r="Q19" s="16" t="s">
        <v>113</v>
      </c>
      <c r="R19" s="18"/>
    </row>
    <row r="20" spans="1:18" ht="26.25" customHeight="1">
      <c r="A20" s="10">
        <v>19</v>
      </c>
      <c r="B20" s="10">
        <v>2</v>
      </c>
      <c r="C20" s="10">
        <v>328</v>
      </c>
      <c r="D20" s="11" t="s">
        <v>7082</v>
      </c>
      <c r="E20" s="12" t="s">
        <v>7083</v>
      </c>
      <c r="F20" s="11" t="s">
        <v>7084</v>
      </c>
      <c r="G20" s="10"/>
      <c r="H20" s="13" t="s">
        <v>7085</v>
      </c>
      <c r="I20" s="14" t="s">
        <v>7086</v>
      </c>
      <c r="J20" s="15" t="s">
        <v>7087</v>
      </c>
      <c r="K20" s="16" t="s">
        <v>82</v>
      </c>
      <c r="L20" s="17"/>
      <c r="M20" s="17"/>
      <c r="N20" s="17"/>
      <c r="O20" s="17"/>
      <c r="P20" s="18"/>
      <c r="Q20" s="16" t="s">
        <v>83</v>
      </c>
      <c r="R20" s="18"/>
    </row>
    <row r="21" spans="1:18" ht="26.25" customHeight="1">
      <c r="A21" s="10">
        <v>20</v>
      </c>
      <c r="B21" s="10">
        <v>2</v>
      </c>
      <c r="C21" s="10">
        <v>329</v>
      </c>
      <c r="D21" s="11" t="s">
        <v>7083</v>
      </c>
      <c r="E21" s="19" t="s">
        <v>7084</v>
      </c>
      <c r="F21" s="11" t="s">
        <v>7088</v>
      </c>
      <c r="G21" s="10" t="s">
        <v>338</v>
      </c>
      <c r="H21" s="13" t="s">
        <v>7089</v>
      </c>
      <c r="I21" s="14" t="s">
        <v>7090</v>
      </c>
      <c r="J21" s="15" t="s">
        <v>7091</v>
      </c>
      <c r="K21" s="16" t="s">
        <v>89</v>
      </c>
      <c r="L21" s="17" t="s">
        <v>155</v>
      </c>
      <c r="M21" s="17" t="s">
        <v>447</v>
      </c>
      <c r="N21" s="17" t="s">
        <v>7092</v>
      </c>
      <c r="O21" s="17" t="s">
        <v>7093</v>
      </c>
      <c r="P21" s="18" t="s">
        <v>7094</v>
      </c>
      <c r="Q21" s="16" t="s">
        <v>83</v>
      </c>
      <c r="R21" s="18"/>
    </row>
    <row r="22" spans="1:18" ht="26.25" customHeight="1">
      <c r="A22" s="10">
        <v>21</v>
      </c>
      <c r="B22" s="10">
        <v>2</v>
      </c>
      <c r="C22" s="10">
        <v>330</v>
      </c>
      <c r="D22" s="11" t="s">
        <v>7084</v>
      </c>
      <c r="E22" s="12" t="s">
        <v>7088</v>
      </c>
      <c r="F22" s="11" t="s">
        <v>7095</v>
      </c>
      <c r="G22" s="10"/>
      <c r="H22" s="13" t="s">
        <v>7096</v>
      </c>
      <c r="I22" s="14" t="s">
        <v>7097</v>
      </c>
      <c r="J22" s="15" t="s">
        <v>7098</v>
      </c>
      <c r="K22" s="16" t="s">
        <v>89</v>
      </c>
      <c r="L22" s="17" t="s">
        <v>128</v>
      </c>
      <c r="M22" s="17" t="s">
        <v>3814</v>
      </c>
      <c r="N22" s="17" t="s">
        <v>7099</v>
      </c>
      <c r="O22" s="17" t="s">
        <v>7100</v>
      </c>
      <c r="P22" s="18" t="s">
        <v>7101</v>
      </c>
      <c r="Q22" s="16" t="s">
        <v>83</v>
      </c>
      <c r="R22" s="18"/>
    </row>
  </sheetData>
  <phoneticPr fontId="9" type="noConversion"/>
  <dataValidations count="4">
    <dataValidation type="list" allowBlank="1" sqref="K2:K22" xr:uid="{00000000-0002-0000-0900-000000000000}">
      <formula1>"Y,N"</formula1>
      <formula2>0</formula2>
    </dataValidation>
    <dataValidation type="list" allowBlank="1" sqref="L2:L22" xr:uid="{00000000-0002-0000-0900-000001000000}">
      <formula1>"SD-1 자연·물질,SD-2 신체·감각,SD-3 공간·방위,SD-4 사냥·전쟁,SD-5 운동·시간,SD-6 문화·제도,(수사 기제)"</formula1>
      <formula2>0</formula2>
    </dataValidation>
    <dataValidation type="list" allowBlank="1" sqref="M2:M22" xr:uid="{00000000-0002-0000-0900-000002000000}">
      <formula1>"TD-1 축적·유통,TD-2 권력·지배,TD-3 인식·진위,TD-4 도덕·책무,TD-5 문명·제도,TD-7 경물·감각,TD-6 기타"</formula1>
      <formula2>0</formula2>
    </dataValidation>
    <dataValidation type="list" allowBlank="1" sqref="Q2:Q22" xr:uid="{00000000-0002-0000-0900-000003000000}">
      <formula1>"높음,보통,낮음"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15"/>
  <sheetViews>
    <sheetView zoomScaleNormal="100" workbookViewId="0"/>
  </sheetViews>
  <sheetFormatPr defaultColWidth="8.7109375" defaultRowHeight="15"/>
  <cols>
    <col min="1" max="1" width="12" style="4" customWidth="1"/>
    <col min="2" max="2" width="20" style="4" customWidth="1"/>
    <col min="3" max="3" width="74" style="4" customWidth="1"/>
  </cols>
  <sheetData>
    <row r="1" spans="1:3" ht="15" customHeight="1">
      <c r="A1" s="1" t="s">
        <v>7102</v>
      </c>
      <c r="B1" s="1" t="s">
        <v>7103</v>
      </c>
      <c r="C1" s="1" t="s">
        <v>7104</v>
      </c>
    </row>
    <row r="2" spans="1:3" ht="15" customHeight="1">
      <c r="A2" s="3" t="s">
        <v>69</v>
      </c>
      <c r="B2" s="2" t="s">
        <v>155</v>
      </c>
      <c r="C2" s="3" t="s">
        <v>7105</v>
      </c>
    </row>
    <row r="3" spans="1:3" ht="15" customHeight="1">
      <c r="A3" s="3" t="s">
        <v>69</v>
      </c>
      <c r="B3" s="2" t="s">
        <v>368</v>
      </c>
      <c r="C3" s="3" t="s">
        <v>7106</v>
      </c>
    </row>
    <row r="4" spans="1:3" ht="15" customHeight="1">
      <c r="A4" s="3" t="s">
        <v>69</v>
      </c>
      <c r="B4" s="2" t="s">
        <v>90</v>
      </c>
      <c r="C4" s="3" t="s">
        <v>7107</v>
      </c>
    </row>
    <row r="5" spans="1:3" ht="15" customHeight="1">
      <c r="A5" s="3" t="s">
        <v>69</v>
      </c>
      <c r="B5" s="2" t="s">
        <v>473</v>
      </c>
      <c r="C5" s="3" t="s">
        <v>7108</v>
      </c>
    </row>
    <row r="6" spans="1:3" ht="15" customHeight="1">
      <c r="A6" s="3" t="s">
        <v>69</v>
      </c>
      <c r="B6" s="2" t="s">
        <v>222</v>
      </c>
      <c r="C6" s="3" t="s">
        <v>7109</v>
      </c>
    </row>
    <row r="7" spans="1:3" ht="15" customHeight="1">
      <c r="A7" s="3" t="s">
        <v>69</v>
      </c>
      <c r="B7" s="2" t="s">
        <v>128</v>
      </c>
      <c r="C7" s="3" t="s">
        <v>7110</v>
      </c>
    </row>
    <row r="8" spans="1:3" ht="15" customHeight="1">
      <c r="A8" s="3" t="s">
        <v>69</v>
      </c>
      <c r="B8" s="2" t="s">
        <v>342</v>
      </c>
      <c r="C8" s="3" t="s">
        <v>7111</v>
      </c>
    </row>
    <row r="9" spans="1:3" ht="15" customHeight="1">
      <c r="A9" s="3" t="s">
        <v>70</v>
      </c>
      <c r="B9" s="2" t="s">
        <v>91</v>
      </c>
      <c r="C9" s="3" t="s">
        <v>7112</v>
      </c>
    </row>
    <row r="10" spans="1:3" ht="15" customHeight="1">
      <c r="A10" s="3" t="s">
        <v>70</v>
      </c>
      <c r="B10" s="2" t="s">
        <v>447</v>
      </c>
      <c r="C10" s="3" t="s">
        <v>7113</v>
      </c>
    </row>
    <row r="11" spans="1:3" ht="15" customHeight="1">
      <c r="A11" s="3" t="s">
        <v>70</v>
      </c>
      <c r="B11" s="2" t="s">
        <v>3814</v>
      </c>
      <c r="C11" s="3" t="s">
        <v>7114</v>
      </c>
    </row>
    <row r="12" spans="1:3" ht="15" customHeight="1">
      <c r="A12" s="3" t="s">
        <v>70</v>
      </c>
      <c r="B12" s="2" t="s">
        <v>209</v>
      </c>
      <c r="C12" s="3" t="s">
        <v>7115</v>
      </c>
    </row>
    <row r="13" spans="1:3" ht="15" customHeight="1">
      <c r="A13" s="3" t="s">
        <v>70</v>
      </c>
      <c r="B13" s="2" t="s">
        <v>164</v>
      </c>
      <c r="C13" s="3" t="s">
        <v>7116</v>
      </c>
    </row>
    <row r="14" spans="1:3" ht="15" customHeight="1">
      <c r="A14" s="3" t="s">
        <v>70</v>
      </c>
      <c r="B14" s="2" t="s">
        <v>1961</v>
      </c>
      <c r="C14" s="3" t="s">
        <v>7117</v>
      </c>
    </row>
    <row r="15" spans="1:3" ht="15" customHeight="1">
      <c r="A15" s="3" t="s">
        <v>70</v>
      </c>
      <c r="B15" s="2" t="s">
        <v>1145</v>
      </c>
      <c r="C15" s="3" t="s">
        <v>7118</v>
      </c>
    </row>
  </sheetData>
  <phoneticPr fontId="9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44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2" width="10" style="4" customWidth="1"/>
    <col min="3" max="3" width="66" style="4" customWidth="1"/>
  </cols>
  <sheetData>
    <row r="1" spans="1:3" ht="15" customHeight="1">
      <c r="A1" s="1" t="s">
        <v>7102</v>
      </c>
      <c r="B1" s="1" t="s">
        <v>64</v>
      </c>
      <c r="C1" s="1" t="s">
        <v>7119</v>
      </c>
    </row>
    <row r="2" spans="1:3" ht="15" customHeight="1">
      <c r="A2" s="20" t="s">
        <v>7120</v>
      </c>
      <c r="B2" s="21" t="s">
        <v>404</v>
      </c>
      <c r="C2" s="22" t="s">
        <v>7121</v>
      </c>
    </row>
    <row r="3" spans="1:3" ht="15" customHeight="1">
      <c r="A3" s="20" t="s">
        <v>7120</v>
      </c>
      <c r="B3" s="21" t="s">
        <v>2795</v>
      </c>
      <c r="C3" s="22" t="s">
        <v>7122</v>
      </c>
    </row>
    <row r="4" spans="1:3" ht="15" customHeight="1">
      <c r="A4" s="20" t="s">
        <v>7120</v>
      </c>
      <c r="B4" s="21" t="s">
        <v>2179</v>
      </c>
      <c r="C4" s="22" t="s">
        <v>7123</v>
      </c>
    </row>
    <row r="5" spans="1:3" ht="15" customHeight="1">
      <c r="A5" s="20" t="s">
        <v>7120</v>
      </c>
      <c r="B5" s="21" t="s">
        <v>266</v>
      </c>
      <c r="C5" s="22" t="s">
        <v>7124</v>
      </c>
    </row>
    <row r="6" spans="1:3" ht="15" customHeight="1">
      <c r="A6" s="20" t="s">
        <v>7120</v>
      </c>
      <c r="B6" s="21" t="s">
        <v>3386</v>
      </c>
      <c r="C6" s="22" t="s">
        <v>7125</v>
      </c>
    </row>
    <row r="7" spans="1:3" ht="15" customHeight="1">
      <c r="A7" s="20" t="s">
        <v>7120</v>
      </c>
      <c r="B7" s="21" t="s">
        <v>1200</v>
      </c>
      <c r="C7" s="22" t="s">
        <v>7126</v>
      </c>
    </row>
    <row r="8" spans="1:3" ht="15" customHeight="1">
      <c r="A8" s="20" t="s">
        <v>7120</v>
      </c>
      <c r="B8" s="21" t="s">
        <v>5643</v>
      </c>
      <c r="C8" s="22" t="s">
        <v>7127</v>
      </c>
    </row>
    <row r="9" spans="1:3" ht="15" customHeight="1">
      <c r="A9" s="20" t="s">
        <v>7120</v>
      </c>
      <c r="B9" s="21" t="s">
        <v>429</v>
      </c>
      <c r="C9" s="22" t="s">
        <v>7128</v>
      </c>
    </row>
    <row r="10" spans="1:3" ht="15" customHeight="1">
      <c r="A10" s="20" t="s">
        <v>7120</v>
      </c>
      <c r="B10" s="21" t="s">
        <v>7129</v>
      </c>
      <c r="C10" s="22" t="s">
        <v>7130</v>
      </c>
    </row>
    <row r="11" spans="1:3" ht="15" customHeight="1">
      <c r="A11" s="20" t="s">
        <v>7131</v>
      </c>
      <c r="B11" s="21" t="s">
        <v>133</v>
      </c>
      <c r="C11" s="22" t="s">
        <v>7132</v>
      </c>
    </row>
    <row r="12" spans="1:3" ht="15" customHeight="1">
      <c r="A12" s="20" t="s">
        <v>7131</v>
      </c>
      <c r="B12" s="21" t="s">
        <v>320</v>
      </c>
      <c r="C12" s="22" t="s">
        <v>7133</v>
      </c>
    </row>
    <row r="13" spans="1:3" ht="15" customHeight="1">
      <c r="A13" s="20" t="s">
        <v>7131</v>
      </c>
      <c r="B13" s="21" t="s">
        <v>85</v>
      </c>
      <c r="C13" s="22" t="s">
        <v>7134</v>
      </c>
    </row>
    <row r="14" spans="1:3" ht="15" customHeight="1">
      <c r="A14" s="20" t="s">
        <v>7131</v>
      </c>
      <c r="B14" s="21" t="s">
        <v>160</v>
      </c>
      <c r="C14" s="22" t="s">
        <v>7135</v>
      </c>
    </row>
    <row r="15" spans="1:3" ht="15" customHeight="1">
      <c r="A15" s="20" t="s">
        <v>7131</v>
      </c>
      <c r="B15" s="21" t="s">
        <v>305</v>
      </c>
      <c r="C15" s="22" t="s">
        <v>7136</v>
      </c>
    </row>
    <row r="16" spans="1:3" ht="15" customHeight="1">
      <c r="A16" s="20" t="s">
        <v>7131</v>
      </c>
      <c r="B16" s="21" t="s">
        <v>3253</v>
      </c>
      <c r="C16" s="22" t="s">
        <v>7137</v>
      </c>
    </row>
    <row r="17" spans="1:3" ht="15" customHeight="1">
      <c r="A17" s="20" t="s">
        <v>7131</v>
      </c>
      <c r="B17" s="21" t="s">
        <v>633</v>
      </c>
      <c r="C17" s="22" t="s">
        <v>7138</v>
      </c>
    </row>
    <row r="18" spans="1:3" ht="15" customHeight="1">
      <c r="A18" s="20" t="s">
        <v>7131</v>
      </c>
      <c r="B18" s="21" t="s">
        <v>1957</v>
      </c>
      <c r="C18" s="22" t="s">
        <v>7139</v>
      </c>
    </row>
    <row r="19" spans="1:3" ht="15" customHeight="1">
      <c r="A19" s="20" t="s">
        <v>7131</v>
      </c>
      <c r="B19" s="21" t="s">
        <v>575</v>
      </c>
      <c r="C19" s="22" t="s">
        <v>7140</v>
      </c>
    </row>
    <row r="20" spans="1:3" ht="15" customHeight="1">
      <c r="A20" s="20" t="s">
        <v>7131</v>
      </c>
      <c r="B20" s="21" t="s">
        <v>106</v>
      </c>
      <c r="C20" s="22" t="s">
        <v>7141</v>
      </c>
    </row>
    <row r="21" spans="1:3" ht="15" customHeight="1">
      <c r="A21" s="20" t="s">
        <v>7131</v>
      </c>
      <c r="B21" s="21" t="s">
        <v>774</v>
      </c>
      <c r="C21" s="22" t="s">
        <v>7142</v>
      </c>
    </row>
    <row r="22" spans="1:3" ht="15" customHeight="1">
      <c r="A22" s="20" t="s">
        <v>7131</v>
      </c>
      <c r="B22" s="21" t="s">
        <v>2920</v>
      </c>
      <c r="C22" s="22" t="s">
        <v>7143</v>
      </c>
    </row>
    <row r="23" spans="1:3" ht="15" customHeight="1">
      <c r="A23" s="20" t="s">
        <v>7131</v>
      </c>
      <c r="B23" s="21" t="s">
        <v>338</v>
      </c>
      <c r="C23" s="22" t="s">
        <v>7144</v>
      </c>
    </row>
    <row r="24" spans="1:3" ht="15" customHeight="1">
      <c r="A24" s="20" t="s">
        <v>7131</v>
      </c>
      <c r="B24" s="21" t="s">
        <v>462</v>
      </c>
      <c r="C24" s="22" t="s">
        <v>7145</v>
      </c>
    </row>
    <row r="25" spans="1:3" ht="15" customHeight="1">
      <c r="A25" s="20" t="s">
        <v>7131</v>
      </c>
      <c r="B25" s="21" t="s">
        <v>7146</v>
      </c>
      <c r="C25" s="22" t="s">
        <v>7145</v>
      </c>
    </row>
    <row r="26" spans="1:3" ht="15" customHeight="1">
      <c r="A26" s="20" t="s">
        <v>7131</v>
      </c>
      <c r="B26" s="21" t="s">
        <v>739</v>
      </c>
      <c r="C26" s="22" t="s">
        <v>7147</v>
      </c>
    </row>
    <row r="27" spans="1:3" ht="15" customHeight="1">
      <c r="A27" s="20" t="s">
        <v>7131</v>
      </c>
      <c r="B27" s="21" t="s">
        <v>1209</v>
      </c>
      <c r="C27" s="22" t="s">
        <v>7148</v>
      </c>
    </row>
    <row r="28" spans="1:3" ht="15" customHeight="1">
      <c r="A28" s="20" t="s">
        <v>7131</v>
      </c>
      <c r="B28" s="21" t="s">
        <v>1244</v>
      </c>
      <c r="C28" s="22" t="s">
        <v>7149</v>
      </c>
    </row>
    <row r="29" spans="1:3" ht="15" customHeight="1">
      <c r="A29" s="20" t="s">
        <v>7131</v>
      </c>
      <c r="B29" s="21" t="s">
        <v>540</v>
      </c>
      <c r="C29" s="22" t="s">
        <v>7150</v>
      </c>
    </row>
    <row r="30" spans="1:3" ht="15" customHeight="1">
      <c r="A30" s="20" t="s">
        <v>7131</v>
      </c>
      <c r="B30" s="21" t="s">
        <v>827</v>
      </c>
      <c r="C30" s="22" t="s">
        <v>7151</v>
      </c>
    </row>
    <row r="31" spans="1:3" ht="15" customHeight="1">
      <c r="A31" s="20" t="s">
        <v>7131</v>
      </c>
      <c r="B31" s="21" t="s">
        <v>3493</v>
      </c>
      <c r="C31" s="22" t="s">
        <v>7152</v>
      </c>
    </row>
    <row r="32" spans="1:3" ht="15" customHeight="1">
      <c r="A32" s="20" t="s">
        <v>7131</v>
      </c>
      <c r="B32" s="21" t="s">
        <v>1655</v>
      </c>
      <c r="C32" s="22" t="s">
        <v>7153</v>
      </c>
    </row>
    <row r="33" spans="1:3" ht="15" customHeight="1">
      <c r="A33" s="20" t="s">
        <v>7131</v>
      </c>
      <c r="B33" s="21" t="s">
        <v>7154</v>
      </c>
      <c r="C33" s="22" t="s">
        <v>7155</v>
      </c>
    </row>
    <row r="34" spans="1:3" ht="15" customHeight="1">
      <c r="A34" s="20" t="s">
        <v>7131</v>
      </c>
      <c r="B34" s="21" t="s">
        <v>2753</v>
      </c>
      <c r="C34" s="22" t="s">
        <v>7156</v>
      </c>
    </row>
    <row r="35" spans="1:3" ht="15" customHeight="1">
      <c r="A35" s="20" t="s">
        <v>7131</v>
      </c>
      <c r="B35" s="21" t="s">
        <v>569</v>
      </c>
      <c r="C35" s="22" t="s">
        <v>7157</v>
      </c>
    </row>
    <row r="36" spans="1:3" ht="15" customHeight="1">
      <c r="A36" s="20" t="s">
        <v>7131</v>
      </c>
      <c r="B36" s="21" t="s">
        <v>397</v>
      </c>
      <c r="C36" s="22" t="s">
        <v>7158</v>
      </c>
    </row>
    <row r="37" spans="1:3" ht="15" customHeight="1">
      <c r="A37" s="20" t="s">
        <v>7131</v>
      </c>
      <c r="B37" s="21" t="s">
        <v>3313</v>
      </c>
      <c r="C37" s="22" t="s">
        <v>7159</v>
      </c>
    </row>
    <row r="38" spans="1:3" ht="15" customHeight="1">
      <c r="A38" s="20" t="s">
        <v>7131</v>
      </c>
      <c r="B38" s="21" t="s">
        <v>5789</v>
      </c>
      <c r="C38" s="22" t="s">
        <v>7160</v>
      </c>
    </row>
    <row r="39" spans="1:3" ht="15" customHeight="1">
      <c r="A39" s="20" t="s">
        <v>7131</v>
      </c>
      <c r="B39" s="21" t="s">
        <v>5751</v>
      </c>
      <c r="C39" s="22" t="s">
        <v>7161</v>
      </c>
    </row>
    <row r="40" spans="1:3" ht="15" customHeight="1">
      <c r="A40" s="20" t="s">
        <v>7131</v>
      </c>
      <c r="B40" s="21" t="s">
        <v>802</v>
      </c>
      <c r="C40" s="22" t="s">
        <v>7162</v>
      </c>
    </row>
    <row r="41" spans="1:3" ht="15" customHeight="1">
      <c r="A41" s="20" t="s">
        <v>7131</v>
      </c>
      <c r="B41" s="21" t="s">
        <v>1524</v>
      </c>
      <c r="C41" s="22" t="s">
        <v>7163</v>
      </c>
    </row>
    <row r="42" spans="1:3" ht="15" customHeight="1">
      <c r="A42" s="20" t="s">
        <v>7131</v>
      </c>
      <c r="B42" s="21" t="s">
        <v>874</v>
      </c>
      <c r="C42" s="22" t="s">
        <v>7164</v>
      </c>
    </row>
    <row r="44" spans="1:3" ht="15" customHeight="1">
      <c r="A44" s="23" t="s">
        <v>7165</v>
      </c>
    </row>
  </sheetData>
  <phoneticPr fontId="9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470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8" style="4" customWidth="1"/>
    <col min="2" max="2" width="46" style="4" customWidth="1"/>
  </cols>
  <sheetData>
    <row r="1" spans="1:4" ht="15" customHeight="1">
      <c r="A1" s="1" t="s">
        <v>7166</v>
      </c>
      <c r="B1" s="1" t="s">
        <v>7167</v>
      </c>
      <c r="D1" s="23" t="s">
        <v>7168</v>
      </c>
    </row>
    <row r="2" spans="1:4" ht="15" customHeight="1">
      <c r="A2" s="7" t="s">
        <v>3438</v>
      </c>
      <c r="B2" s="5" t="s">
        <v>7169</v>
      </c>
    </row>
    <row r="3" spans="1:4" ht="15" customHeight="1">
      <c r="A3" s="7" t="s">
        <v>7170</v>
      </c>
      <c r="B3" s="5" t="s">
        <v>7171</v>
      </c>
    </row>
    <row r="4" spans="1:4" ht="15" customHeight="1">
      <c r="A4" s="7" t="s">
        <v>7172</v>
      </c>
      <c r="B4" s="5" t="s">
        <v>7173</v>
      </c>
    </row>
    <row r="5" spans="1:4" ht="15" customHeight="1">
      <c r="A5" s="7" t="s">
        <v>165</v>
      </c>
      <c r="B5" s="5" t="s">
        <v>7174</v>
      </c>
    </row>
    <row r="6" spans="1:4" ht="15" customHeight="1">
      <c r="A6" s="7" t="s">
        <v>172</v>
      </c>
      <c r="B6" s="5" t="s">
        <v>7175</v>
      </c>
    </row>
    <row r="7" spans="1:4" ht="15" customHeight="1">
      <c r="A7" s="7" t="s">
        <v>4745</v>
      </c>
      <c r="B7" s="5" t="s">
        <v>7176</v>
      </c>
    </row>
    <row r="8" spans="1:4" ht="15" customHeight="1">
      <c r="A8" s="7" t="s">
        <v>7177</v>
      </c>
      <c r="B8" s="5" t="s">
        <v>7178</v>
      </c>
    </row>
    <row r="9" spans="1:4" ht="15" customHeight="1">
      <c r="A9" s="7" t="s">
        <v>7179</v>
      </c>
      <c r="B9" s="5" t="s">
        <v>7180</v>
      </c>
    </row>
    <row r="10" spans="1:4" ht="15" customHeight="1">
      <c r="A10" s="7" t="s">
        <v>7181</v>
      </c>
      <c r="B10" s="5" t="s">
        <v>7182</v>
      </c>
    </row>
    <row r="11" spans="1:4" ht="15" customHeight="1">
      <c r="A11" s="7" t="s">
        <v>7183</v>
      </c>
      <c r="B11" s="5" t="s">
        <v>7184</v>
      </c>
    </row>
    <row r="12" spans="1:4" ht="15" customHeight="1">
      <c r="A12" s="7" t="s">
        <v>7185</v>
      </c>
      <c r="B12" s="5" t="s">
        <v>7186</v>
      </c>
    </row>
    <row r="13" spans="1:4" ht="15" customHeight="1">
      <c r="A13" s="7" t="s">
        <v>255</v>
      </c>
      <c r="B13" s="5" t="s">
        <v>7187</v>
      </c>
    </row>
    <row r="14" spans="1:4" ht="15" customHeight="1">
      <c r="A14" s="7" t="s">
        <v>7188</v>
      </c>
      <c r="B14" s="5" t="s">
        <v>7189</v>
      </c>
    </row>
    <row r="15" spans="1:4" ht="15" customHeight="1">
      <c r="A15" s="7" t="s">
        <v>7190</v>
      </c>
      <c r="B15" s="5" t="s">
        <v>7191</v>
      </c>
    </row>
    <row r="16" spans="1:4" ht="15" customHeight="1">
      <c r="A16" s="7" t="s">
        <v>349</v>
      </c>
      <c r="B16" s="5" t="s">
        <v>7192</v>
      </c>
    </row>
    <row r="17" spans="1:2" ht="15" customHeight="1">
      <c r="A17" s="7" t="s">
        <v>7193</v>
      </c>
      <c r="B17" s="5" t="s">
        <v>7194</v>
      </c>
    </row>
    <row r="18" spans="1:2" ht="15" customHeight="1">
      <c r="A18" s="7" t="s">
        <v>7195</v>
      </c>
      <c r="B18" s="5" t="s">
        <v>7196</v>
      </c>
    </row>
    <row r="19" spans="1:2" ht="15" customHeight="1">
      <c r="A19" s="7" t="s">
        <v>7197</v>
      </c>
      <c r="B19" s="5" t="s">
        <v>7198</v>
      </c>
    </row>
    <row r="20" spans="1:2" ht="15" customHeight="1">
      <c r="A20" s="7" t="s">
        <v>7199</v>
      </c>
      <c r="B20" s="5" t="s">
        <v>7200</v>
      </c>
    </row>
    <row r="21" spans="1:2" ht="15" customHeight="1">
      <c r="A21" s="7" t="s">
        <v>7201</v>
      </c>
      <c r="B21" s="5" t="s">
        <v>7202</v>
      </c>
    </row>
    <row r="22" spans="1:2" ht="15" customHeight="1">
      <c r="A22" s="7" t="s">
        <v>3548</v>
      </c>
      <c r="B22" s="5" t="s">
        <v>7203</v>
      </c>
    </row>
    <row r="23" spans="1:2" ht="15" customHeight="1">
      <c r="A23" s="7" t="s">
        <v>7204</v>
      </c>
      <c r="B23" s="5" t="s">
        <v>7205</v>
      </c>
    </row>
    <row r="24" spans="1:2" ht="15" customHeight="1">
      <c r="A24" s="7" t="s">
        <v>7206</v>
      </c>
      <c r="B24" s="5" t="s">
        <v>7207</v>
      </c>
    </row>
    <row r="25" spans="1:2" ht="15" customHeight="1">
      <c r="A25" s="7" t="s">
        <v>802</v>
      </c>
      <c r="B25" s="5" t="s">
        <v>7208</v>
      </c>
    </row>
    <row r="26" spans="1:2" ht="15" customHeight="1">
      <c r="A26" s="7" t="s">
        <v>7209</v>
      </c>
      <c r="B26" s="5" t="s">
        <v>7210</v>
      </c>
    </row>
    <row r="27" spans="1:2" ht="15" customHeight="1">
      <c r="A27" s="7" t="s">
        <v>7211</v>
      </c>
      <c r="B27" s="5" t="s">
        <v>7212</v>
      </c>
    </row>
    <row r="28" spans="1:2" ht="15" customHeight="1">
      <c r="A28" s="7" t="s">
        <v>7213</v>
      </c>
      <c r="B28" s="5" t="s">
        <v>7214</v>
      </c>
    </row>
    <row r="29" spans="1:2" ht="15" customHeight="1">
      <c r="A29" s="7" t="s">
        <v>7215</v>
      </c>
      <c r="B29" s="5" t="s">
        <v>7216</v>
      </c>
    </row>
    <row r="30" spans="1:2" ht="15" customHeight="1">
      <c r="A30" s="7" t="s">
        <v>6489</v>
      </c>
      <c r="B30" s="5" t="s">
        <v>7217</v>
      </c>
    </row>
    <row r="31" spans="1:2" ht="15" customHeight="1">
      <c r="A31" s="7" t="s">
        <v>7218</v>
      </c>
      <c r="B31" s="5" t="s">
        <v>7219</v>
      </c>
    </row>
    <row r="32" spans="1:2" ht="15" customHeight="1">
      <c r="A32" s="7" t="s">
        <v>5040</v>
      </c>
      <c r="B32" s="5" t="s">
        <v>7220</v>
      </c>
    </row>
    <row r="33" spans="1:2" ht="15" customHeight="1">
      <c r="A33" s="7" t="s">
        <v>7221</v>
      </c>
      <c r="B33" s="5" t="s">
        <v>7222</v>
      </c>
    </row>
    <row r="34" spans="1:2" ht="15" customHeight="1">
      <c r="A34" s="7" t="s">
        <v>284</v>
      </c>
      <c r="B34" s="5" t="s">
        <v>6320</v>
      </c>
    </row>
    <row r="35" spans="1:2" ht="15" customHeight="1">
      <c r="A35" s="7" t="s">
        <v>7223</v>
      </c>
      <c r="B35" s="5" t="s">
        <v>7224</v>
      </c>
    </row>
    <row r="36" spans="1:2" ht="15" customHeight="1">
      <c r="A36" s="7" t="s">
        <v>7225</v>
      </c>
      <c r="B36" s="5" t="s">
        <v>7226</v>
      </c>
    </row>
    <row r="37" spans="1:2" ht="15" customHeight="1">
      <c r="A37" s="7" t="s">
        <v>7227</v>
      </c>
      <c r="B37" s="5" t="s">
        <v>7228</v>
      </c>
    </row>
    <row r="38" spans="1:2" ht="15" customHeight="1">
      <c r="A38" s="7" t="s">
        <v>7229</v>
      </c>
      <c r="B38" s="5" t="s">
        <v>7230</v>
      </c>
    </row>
    <row r="39" spans="1:2" ht="15" customHeight="1">
      <c r="A39" s="7" t="s">
        <v>7231</v>
      </c>
      <c r="B39" s="5" t="s">
        <v>7232</v>
      </c>
    </row>
    <row r="40" spans="1:2" ht="15" customHeight="1">
      <c r="A40" s="7" t="s">
        <v>569</v>
      </c>
      <c r="B40" s="5" t="s">
        <v>7157</v>
      </c>
    </row>
    <row r="41" spans="1:2" ht="15" customHeight="1">
      <c r="A41" s="7" t="s">
        <v>7233</v>
      </c>
      <c r="B41" s="5" t="s">
        <v>7234</v>
      </c>
    </row>
    <row r="42" spans="1:2" ht="15" customHeight="1">
      <c r="A42" s="7" t="s">
        <v>3313</v>
      </c>
      <c r="B42" s="5" t="s">
        <v>7159</v>
      </c>
    </row>
    <row r="43" spans="1:2" ht="15" customHeight="1">
      <c r="A43" s="7" t="s">
        <v>1846</v>
      </c>
      <c r="B43" s="5" t="s">
        <v>7235</v>
      </c>
    </row>
    <row r="44" spans="1:2" ht="15" customHeight="1">
      <c r="A44" s="7" t="s">
        <v>7236</v>
      </c>
      <c r="B44" s="5" t="s">
        <v>7237</v>
      </c>
    </row>
    <row r="45" spans="1:2" ht="15" customHeight="1">
      <c r="A45" s="7" t="s">
        <v>2920</v>
      </c>
      <c r="B45" s="5" t="s">
        <v>7143</v>
      </c>
    </row>
    <row r="46" spans="1:2" ht="15" customHeight="1">
      <c r="A46" s="7" t="s">
        <v>827</v>
      </c>
      <c r="B46" s="5" t="s">
        <v>7151</v>
      </c>
    </row>
    <row r="47" spans="1:2" ht="15" customHeight="1">
      <c r="A47" s="7" t="s">
        <v>5789</v>
      </c>
      <c r="B47" s="5" t="s">
        <v>7160</v>
      </c>
    </row>
    <row r="48" spans="1:2" ht="15" customHeight="1">
      <c r="A48" s="7" t="s">
        <v>2174</v>
      </c>
      <c r="B48" s="5" t="s">
        <v>7238</v>
      </c>
    </row>
    <row r="49" spans="1:2" ht="15" customHeight="1">
      <c r="A49" s="7" t="s">
        <v>7239</v>
      </c>
      <c r="B49" s="5" t="s">
        <v>7240</v>
      </c>
    </row>
    <row r="50" spans="1:2" ht="15" customHeight="1">
      <c r="A50" s="7" t="s">
        <v>7241</v>
      </c>
      <c r="B50" s="5" t="s">
        <v>7242</v>
      </c>
    </row>
    <row r="51" spans="1:2" ht="15" customHeight="1">
      <c r="A51" s="7" t="s">
        <v>7243</v>
      </c>
      <c r="B51" s="5" t="s">
        <v>7244</v>
      </c>
    </row>
    <row r="52" spans="1:2" ht="15" customHeight="1">
      <c r="A52" s="7" t="s">
        <v>7245</v>
      </c>
      <c r="B52" s="5" t="s">
        <v>7246</v>
      </c>
    </row>
    <row r="53" spans="1:2" ht="15" customHeight="1">
      <c r="A53" s="7" t="s">
        <v>7247</v>
      </c>
      <c r="B53" s="5" t="s">
        <v>7248</v>
      </c>
    </row>
    <row r="54" spans="1:2" ht="15" customHeight="1">
      <c r="A54" s="7" t="s">
        <v>7249</v>
      </c>
      <c r="B54" s="5" t="s">
        <v>7250</v>
      </c>
    </row>
    <row r="55" spans="1:2" ht="15" customHeight="1">
      <c r="A55" s="7" t="s">
        <v>7251</v>
      </c>
      <c r="B55" s="5" t="s">
        <v>7252</v>
      </c>
    </row>
    <row r="56" spans="1:2" ht="15" customHeight="1">
      <c r="A56" s="7" t="s">
        <v>7253</v>
      </c>
      <c r="B56" s="5" t="s">
        <v>7254</v>
      </c>
    </row>
    <row r="57" spans="1:2" ht="15" customHeight="1">
      <c r="A57" s="7" t="s">
        <v>7255</v>
      </c>
      <c r="B57" s="5" t="s">
        <v>7256</v>
      </c>
    </row>
    <row r="58" spans="1:2" ht="15" customHeight="1">
      <c r="A58" s="7" t="s">
        <v>4671</v>
      </c>
      <c r="B58" s="5" t="s">
        <v>7257</v>
      </c>
    </row>
    <row r="59" spans="1:2" ht="15" customHeight="1">
      <c r="A59" s="7" t="s">
        <v>7258</v>
      </c>
      <c r="B59" s="5" t="s">
        <v>7259</v>
      </c>
    </row>
    <row r="60" spans="1:2" ht="15" customHeight="1">
      <c r="A60" s="7" t="s">
        <v>6837</v>
      </c>
      <c r="B60" s="5" t="s">
        <v>7260</v>
      </c>
    </row>
    <row r="61" spans="1:2" ht="15" customHeight="1">
      <c r="A61" s="7" t="s">
        <v>7261</v>
      </c>
      <c r="B61" s="5" t="s">
        <v>7262</v>
      </c>
    </row>
    <row r="62" spans="1:2" ht="15" customHeight="1">
      <c r="A62" s="7" t="s">
        <v>7263</v>
      </c>
      <c r="B62" s="5" t="s">
        <v>7264</v>
      </c>
    </row>
    <row r="63" spans="1:2" ht="15" customHeight="1">
      <c r="A63" s="7" t="s">
        <v>7265</v>
      </c>
      <c r="B63" s="5" t="s">
        <v>7266</v>
      </c>
    </row>
    <row r="64" spans="1:2" ht="15" customHeight="1">
      <c r="A64" s="7" t="s">
        <v>7267</v>
      </c>
      <c r="B64" s="5" t="s">
        <v>7268</v>
      </c>
    </row>
    <row r="65" spans="1:2" ht="15" customHeight="1">
      <c r="A65" s="7" t="s">
        <v>85</v>
      </c>
      <c r="B65" s="5" t="s">
        <v>7269</v>
      </c>
    </row>
    <row r="66" spans="1:2" ht="15" customHeight="1">
      <c r="A66" s="7" t="s">
        <v>7270</v>
      </c>
      <c r="B66" s="5" t="s">
        <v>7271</v>
      </c>
    </row>
    <row r="67" spans="1:2" ht="15" customHeight="1">
      <c r="A67" s="7" t="s">
        <v>7154</v>
      </c>
      <c r="B67" s="5" t="s">
        <v>7155</v>
      </c>
    </row>
    <row r="68" spans="1:2" ht="15" customHeight="1">
      <c r="A68" s="7" t="s">
        <v>5486</v>
      </c>
      <c r="B68" s="5" t="s">
        <v>7272</v>
      </c>
    </row>
    <row r="69" spans="1:2" ht="15" customHeight="1">
      <c r="A69" s="7" t="s">
        <v>7273</v>
      </c>
      <c r="B69" s="5" t="s">
        <v>7274</v>
      </c>
    </row>
    <row r="70" spans="1:2" ht="15" customHeight="1">
      <c r="A70" s="7" t="s">
        <v>7275</v>
      </c>
      <c r="B70" s="5" t="s">
        <v>7276</v>
      </c>
    </row>
    <row r="71" spans="1:2" ht="15" customHeight="1">
      <c r="A71" s="7" t="s">
        <v>7277</v>
      </c>
      <c r="B71" s="5" t="s">
        <v>7278</v>
      </c>
    </row>
    <row r="72" spans="1:2" ht="15" customHeight="1">
      <c r="A72" s="7" t="s">
        <v>841</v>
      </c>
      <c r="B72" s="5" t="s">
        <v>7279</v>
      </c>
    </row>
    <row r="73" spans="1:2" ht="15" customHeight="1">
      <c r="A73" s="7" t="s">
        <v>7280</v>
      </c>
      <c r="B73" s="5" t="s">
        <v>7208</v>
      </c>
    </row>
    <row r="74" spans="1:2" ht="15" customHeight="1">
      <c r="A74" s="7" t="s">
        <v>7281</v>
      </c>
      <c r="B74" s="5" t="s">
        <v>7282</v>
      </c>
    </row>
    <row r="75" spans="1:2" ht="15" customHeight="1">
      <c r="A75" s="7" t="s">
        <v>7283</v>
      </c>
      <c r="B75" s="5" t="s">
        <v>7284</v>
      </c>
    </row>
    <row r="76" spans="1:2" ht="15" customHeight="1">
      <c r="A76" s="7" t="s">
        <v>7285</v>
      </c>
      <c r="B76" s="5" t="s">
        <v>7286</v>
      </c>
    </row>
    <row r="77" spans="1:2" ht="15" customHeight="1">
      <c r="A77" s="7" t="s">
        <v>7287</v>
      </c>
      <c r="B77" s="5" t="s">
        <v>7288</v>
      </c>
    </row>
    <row r="78" spans="1:2" ht="15" customHeight="1">
      <c r="A78" s="7" t="s">
        <v>448</v>
      </c>
      <c r="B78" s="5" t="s">
        <v>7289</v>
      </c>
    </row>
    <row r="79" spans="1:2" ht="15" customHeight="1">
      <c r="A79" s="7" t="s">
        <v>156</v>
      </c>
      <c r="B79" s="5" t="s">
        <v>7290</v>
      </c>
    </row>
    <row r="80" spans="1:2" ht="15" customHeight="1">
      <c r="A80" s="7" t="s">
        <v>7291</v>
      </c>
      <c r="B80" s="5" t="s">
        <v>7292</v>
      </c>
    </row>
    <row r="81" spans="1:2" ht="15" customHeight="1">
      <c r="A81" s="7" t="s">
        <v>7293</v>
      </c>
      <c r="B81" s="5" t="s">
        <v>7294</v>
      </c>
    </row>
    <row r="82" spans="1:2" ht="15" customHeight="1">
      <c r="A82" s="7" t="s">
        <v>7295</v>
      </c>
      <c r="B82" s="5" t="s">
        <v>7296</v>
      </c>
    </row>
    <row r="83" spans="1:2" ht="15" customHeight="1">
      <c r="A83" s="7" t="s">
        <v>7297</v>
      </c>
      <c r="B83" s="5" t="s">
        <v>7298</v>
      </c>
    </row>
    <row r="84" spans="1:2" ht="15" customHeight="1">
      <c r="A84" s="7" t="s">
        <v>7299</v>
      </c>
      <c r="B84" s="5" t="s">
        <v>7300</v>
      </c>
    </row>
    <row r="85" spans="1:2" ht="15" customHeight="1">
      <c r="A85" s="7" t="s">
        <v>7301</v>
      </c>
      <c r="B85" s="5" t="s">
        <v>7302</v>
      </c>
    </row>
    <row r="86" spans="1:2" ht="15" customHeight="1">
      <c r="A86" s="7" t="s">
        <v>7303</v>
      </c>
      <c r="B86" s="5" t="s">
        <v>7304</v>
      </c>
    </row>
    <row r="87" spans="1:2" ht="15" customHeight="1">
      <c r="A87" s="7" t="s">
        <v>7305</v>
      </c>
      <c r="B87" s="5" t="s">
        <v>7306</v>
      </c>
    </row>
    <row r="88" spans="1:2" ht="15" customHeight="1">
      <c r="A88" s="7" t="s">
        <v>7307</v>
      </c>
      <c r="B88" s="5" t="s">
        <v>7308</v>
      </c>
    </row>
    <row r="89" spans="1:2" ht="15" customHeight="1">
      <c r="A89" s="7" t="s">
        <v>7309</v>
      </c>
      <c r="B89" s="5" t="s">
        <v>7310</v>
      </c>
    </row>
    <row r="90" spans="1:2" ht="15" customHeight="1">
      <c r="A90" s="7" t="s">
        <v>7311</v>
      </c>
      <c r="B90" s="5" t="s">
        <v>7312</v>
      </c>
    </row>
    <row r="91" spans="1:2" ht="15" customHeight="1">
      <c r="A91" s="7" t="s">
        <v>7313</v>
      </c>
      <c r="B91" s="5" t="s">
        <v>7314</v>
      </c>
    </row>
    <row r="92" spans="1:2" ht="15" customHeight="1">
      <c r="A92" s="7" t="s">
        <v>7315</v>
      </c>
      <c r="B92" s="5" t="s">
        <v>7316</v>
      </c>
    </row>
    <row r="93" spans="1:2" ht="15" customHeight="1">
      <c r="A93" s="7" t="s">
        <v>7317</v>
      </c>
      <c r="B93" s="5" t="s">
        <v>7220</v>
      </c>
    </row>
    <row r="94" spans="1:2" ht="15" customHeight="1">
      <c r="A94" s="7" t="s">
        <v>7318</v>
      </c>
      <c r="B94" s="5" t="s">
        <v>7319</v>
      </c>
    </row>
    <row r="95" spans="1:2" ht="15" customHeight="1">
      <c r="A95" s="7" t="s">
        <v>7320</v>
      </c>
      <c r="B95" s="5" t="s">
        <v>7321</v>
      </c>
    </row>
    <row r="96" spans="1:2" ht="15" customHeight="1">
      <c r="A96" s="7" t="s">
        <v>106</v>
      </c>
      <c r="B96" s="5" t="s">
        <v>7141</v>
      </c>
    </row>
    <row r="97" spans="1:2" ht="15" customHeight="1">
      <c r="A97" s="7" t="s">
        <v>7322</v>
      </c>
      <c r="B97" s="5" t="s">
        <v>7323</v>
      </c>
    </row>
    <row r="98" spans="1:2" ht="15" customHeight="1">
      <c r="A98" s="7" t="s">
        <v>7324</v>
      </c>
      <c r="B98" s="5" t="s">
        <v>7325</v>
      </c>
    </row>
    <row r="99" spans="1:2" ht="15" customHeight="1">
      <c r="A99" s="7" t="s">
        <v>7326</v>
      </c>
      <c r="B99" s="5" t="s">
        <v>7327</v>
      </c>
    </row>
    <row r="100" spans="1:2" ht="15" customHeight="1">
      <c r="A100" s="7" t="s">
        <v>7328</v>
      </c>
      <c r="B100" s="5" t="s">
        <v>7329</v>
      </c>
    </row>
    <row r="101" spans="1:2" ht="15" customHeight="1">
      <c r="A101" s="7" t="s">
        <v>7330</v>
      </c>
      <c r="B101" s="5" t="s">
        <v>7331</v>
      </c>
    </row>
    <row r="102" spans="1:2" ht="15" customHeight="1">
      <c r="A102" s="7" t="s">
        <v>7332</v>
      </c>
      <c r="B102" s="5" t="s">
        <v>7333</v>
      </c>
    </row>
    <row r="103" spans="1:2" ht="15" customHeight="1">
      <c r="A103" s="7" t="s">
        <v>7334</v>
      </c>
      <c r="B103" s="5" t="s">
        <v>7335</v>
      </c>
    </row>
    <row r="104" spans="1:2" ht="15" customHeight="1">
      <c r="A104" s="7" t="s">
        <v>7336</v>
      </c>
      <c r="B104" s="5" t="s">
        <v>7337</v>
      </c>
    </row>
    <row r="105" spans="1:2" ht="15" customHeight="1">
      <c r="A105" s="7" t="s">
        <v>7338</v>
      </c>
      <c r="B105" s="5" t="s">
        <v>7339</v>
      </c>
    </row>
    <row r="106" spans="1:2" ht="15" customHeight="1">
      <c r="A106" s="7" t="s">
        <v>7340</v>
      </c>
      <c r="B106" s="5" t="s">
        <v>7341</v>
      </c>
    </row>
    <row r="107" spans="1:2" ht="15" customHeight="1">
      <c r="A107" s="7" t="s">
        <v>7342</v>
      </c>
      <c r="B107" s="5" t="s">
        <v>7343</v>
      </c>
    </row>
    <row r="108" spans="1:2" ht="15" customHeight="1">
      <c r="A108" s="7" t="s">
        <v>620</v>
      </c>
      <c r="B108" s="5" t="s">
        <v>7344</v>
      </c>
    </row>
    <row r="109" spans="1:2" ht="15" customHeight="1">
      <c r="A109" s="7" t="s">
        <v>7345</v>
      </c>
      <c r="B109" s="5" t="s">
        <v>7346</v>
      </c>
    </row>
    <row r="110" spans="1:2" ht="15" customHeight="1">
      <c r="A110" s="7" t="s">
        <v>7347</v>
      </c>
      <c r="B110" s="5" t="s">
        <v>7348</v>
      </c>
    </row>
    <row r="111" spans="1:2" ht="15" customHeight="1">
      <c r="A111" s="7" t="s">
        <v>7349</v>
      </c>
      <c r="B111" s="5" t="s">
        <v>7350</v>
      </c>
    </row>
    <row r="112" spans="1:2" ht="15" customHeight="1">
      <c r="A112" s="7" t="s">
        <v>7351</v>
      </c>
      <c r="B112" s="5" t="s">
        <v>7352</v>
      </c>
    </row>
    <row r="113" spans="1:2" ht="15" customHeight="1">
      <c r="A113" s="7" t="s">
        <v>7353</v>
      </c>
      <c r="B113" s="5" t="s">
        <v>7354</v>
      </c>
    </row>
    <row r="114" spans="1:2" ht="15" customHeight="1">
      <c r="A114" s="7" t="s">
        <v>7355</v>
      </c>
      <c r="B114" s="5" t="s">
        <v>7356</v>
      </c>
    </row>
    <row r="115" spans="1:2" ht="15" customHeight="1">
      <c r="A115" s="7" t="s">
        <v>5287</v>
      </c>
      <c r="B115" s="5" t="s">
        <v>7357</v>
      </c>
    </row>
    <row r="116" spans="1:2" ht="15" customHeight="1">
      <c r="A116" s="7" t="s">
        <v>7358</v>
      </c>
      <c r="B116" s="5" t="s">
        <v>7359</v>
      </c>
    </row>
    <row r="117" spans="1:2" ht="15" customHeight="1">
      <c r="A117" s="7" t="s">
        <v>7360</v>
      </c>
      <c r="B117" s="5" t="s">
        <v>7361</v>
      </c>
    </row>
    <row r="118" spans="1:2" ht="15" customHeight="1">
      <c r="A118" s="7" t="s">
        <v>7362</v>
      </c>
      <c r="B118" s="5" t="s">
        <v>7363</v>
      </c>
    </row>
    <row r="119" spans="1:2" ht="15" customHeight="1">
      <c r="A119" s="7" t="s">
        <v>2753</v>
      </c>
      <c r="B119" s="5" t="s">
        <v>7364</v>
      </c>
    </row>
    <row r="120" spans="1:2" ht="15" customHeight="1">
      <c r="A120" s="7" t="s">
        <v>1158</v>
      </c>
      <c r="B120" s="5" t="s">
        <v>7365</v>
      </c>
    </row>
    <row r="121" spans="1:2" ht="15" customHeight="1">
      <c r="A121" s="7" t="s">
        <v>3493</v>
      </c>
      <c r="B121" s="5" t="s">
        <v>7152</v>
      </c>
    </row>
    <row r="122" spans="1:2" ht="15" customHeight="1">
      <c r="A122" s="7" t="s">
        <v>5608</v>
      </c>
      <c r="B122" s="5" t="s">
        <v>7366</v>
      </c>
    </row>
    <row r="123" spans="1:2" ht="15" customHeight="1">
      <c r="A123" s="7" t="s">
        <v>7367</v>
      </c>
      <c r="B123" s="5" t="s">
        <v>7368</v>
      </c>
    </row>
    <row r="124" spans="1:2" ht="15" customHeight="1">
      <c r="A124" s="7" t="s">
        <v>3723</v>
      </c>
      <c r="B124" s="5" t="s">
        <v>7310</v>
      </c>
    </row>
    <row r="125" spans="1:2" ht="15" customHeight="1">
      <c r="A125" s="7" t="s">
        <v>7369</v>
      </c>
      <c r="B125" s="5" t="s">
        <v>7268</v>
      </c>
    </row>
    <row r="126" spans="1:2" ht="15" customHeight="1">
      <c r="A126" s="7" t="s">
        <v>4517</v>
      </c>
      <c r="B126" s="5" t="s">
        <v>7370</v>
      </c>
    </row>
    <row r="127" spans="1:2" ht="15" customHeight="1">
      <c r="A127" s="7" t="s">
        <v>7371</v>
      </c>
      <c r="B127" s="5" t="s">
        <v>7337</v>
      </c>
    </row>
    <row r="128" spans="1:2" ht="15" customHeight="1">
      <c r="A128" s="7" t="s">
        <v>7372</v>
      </c>
      <c r="B128" s="5" t="s">
        <v>7373</v>
      </c>
    </row>
    <row r="129" spans="1:2" ht="15" customHeight="1">
      <c r="A129" s="7" t="s">
        <v>7374</v>
      </c>
      <c r="B129" s="5" t="s">
        <v>7375</v>
      </c>
    </row>
    <row r="130" spans="1:2" ht="15" customHeight="1">
      <c r="A130" s="7" t="s">
        <v>7376</v>
      </c>
      <c r="B130" s="5" t="s">
        <v>7377</v>
      </c>
    </row>
    <row r="131" spans="1:2" ht="15" customHeight="1">
      <c r="A131" s="7" t="s">
        <v>7378</v>
      </c>
      <c r="B131" s="5" t="s">
        <v>7379</v>
      </c>
    </row>
    <row r="132" spans="1:2" ht="15" customHeight="1">
      <c r="A132" s="7" t="s">
        <v>7380</v>
      </c>
      <c r="B132" s="5" t="s">
        <v>7381</v>
      </c>
    </row>
    <row r="133" spans="1:2" ht="15" customHeight="1">
      <c r="A133" s="7" t="s">
        <v>4534</v>
      </c>
      <c r="B133" s="5" t="s">
        <v>7382</v>
      </c>
    </row>
    <row r="134" spans="1:2" ht="15" customHeight="1">
      <c r="A134" s="7" t="s">
        <v>160</v>
      </c>
      <c r="B134" s="5" t="s">
        <v>7383</v>
      </c>
    </row>
    <row r="135" spans="1:2" ht="15" customHeight="1">
      <c r="A135" s="7" t="s">
        <v>7384</v>
      </c>
      <c r="B135" s="5" t="s">
        <v>7385</v>
      </c>
    </row>
    <row r="136" spans="1:2" ht="15" customHeight="1">
      <c r="A136" s="7" t="s">
        <v>7386</v>
      </c>
      <c r="B136" s="5" t="s">
        <v>7387</v>
      </c>
    </row>
    <row r="137" spans="1:2" ht="15" customHeight="1">
      <c r="A137" s="7" t="s">
        <v>7388</v>
      </c>
      <c r="B137" s="5" t="s">
        <v>7389</v>
      </c>
    </row>
    <row r="138" spans="1:2" ht="15" customHeight="1">
      <c r="A138" s="7" t="s">
        <v>7390</v>
      </c>
      <c r="B138" s="5" t="s">
        <v>7391</v>
      </c>
    </row>
    <row r="139" spans="1:2" ht="15" customHeight="1">
      <c r="A139" s="7" t="s">
        <v>7392</v>
      </c>
      <c r="B139" s="5" t="s">
        <v>7393</v>
      </c>
    </row>
    <row r="140" spans="1:2" ht="15" customHeight="1">
      <c r="A140" s="7" t="s">
        <v>416</v>
      </c>
      <c r="B140" s="5" t="s">
        <v>7394</v>
      </c>
    </row>
    <row r="141" spans="1:2" ht="15" customHeight="1">
      <c r="A141" s="7" t="s">
        <v>7395</v>
      </c>
      <c r="B141" s="5" t="s">
        <v>7396</v>
      </c>
    </row>
    <row r="142" spans="1:2" ht="15" customHeight="1">
      <c r="A142" s="7" t="s">
        <v>7397</v>
      </c>
      <c r="B142" s="5" t="s">
        <v>7382</v>
      </c>
    </row>
    <row r="143" spans="1:2" ht="15" customHeight="1">
      <c r="A143" s="7" t="s">
        <v>7398</v>
      </c>
      <c r="B143" s="5" t="s">
        <v>7399</v>
      </c>
    </row>
    <row r="144" spans="1:2" ht="15" customHeight="1">
      <c r="A144" s="7" t="s">
        <v>7400</v>
      </c>
      <c r="B144" s="5" t="s">
        <v>7401</v>
      </c>
    </row>
    <row r="145" spans="1:2" ht="15" customHeight="1">
      <c r="A145" s="7" t="s">
        <v>7402</v>
      </c>
      <c r="B145" s="5" t="s">
        <v>7403</v>
      </c>
    </row>
    <row r="146" spans="1:2" ht="15" customHeight="1">
      <c r="A146" s="7" t="s">
        <v>7404</v>
      </c>
      <c r="B146" s="5" t="s">
        <v>7405</v>
      </c>
    </row>
    <row r="147" spans="1:2" ht="15" customHeight="1">
      <c r="A147" s="7" t="s">
        <v>1363</v>
      </c>
      <c r="B147" s="5" t="s">
        <v>1369</v>
      </c>
    </row>
    <row r="148" spans="1:2" ht="15" customHeight="1">
      <c r="A148" s="7" t="s">
        <v>7406</v>
      </c>
      <c r="B148" s="5" t="s">
        <v>7407</v>
      </c>
    </row>
    <row r="149" spans="1:2" ht="15" customHeight="1">
      <c r="A149" s="7" t="s">
        <v>6606</v>
      </c>
      <c r="B149" s="5" t="s">
        <v>7408</v>
      </c>
    </row>
    <row r="150" spans="1:2" ht="15" customHeight="1">
      <c r="A150" s="7" t="s">
        <v>7409</v>
      </c>
      <c r="B150" s="5" t="s">
        <v>7410</v>
      </c>
    </row>
    <row r="151" spans="1:2" ht="15" customHeight="1">
      <c r="A151" s="7" t="s">
        <v>7411</v>
      </c>
      <c r="B151" s="5" t="s">
        <v>7412</v>
      </c>
    </row>
    <row r="152" spans="1:2" ht="15" customHeight="1">
      <c r="A152" s="7" t="s">
        <v>7413</v>
      </c>
      <c r="B152" s="5" t="s">
        <v>7414</v>
      </c>
    </row>
    <row r="153" spans="1:2" ht="15" customHeight="1">
      <c r="A153" s="7" t="s">
        <v>7415</v>
      </c>
      <c r="B153" s="5" t="s">
        <v>7416</v>
      </c>
    </row>
    <row r="154" spans="1:2" ht="15" customHeight="1">
      <c r="A154" s="7" t="s">
        <v>7417</v>
      </c>
      <c r="B154" s="5" t="s">
        <v>7418</v>
      </c>
    </row>
    <row r="155" spans="1:2" ht="15" customHeight="1">
      <c r="A155" s="7" t="s">
        <v>7419</v>
      </c>
      <c r="B155" s="5" t="s">
        <v>7420</v>
      </c>
    </row>
    <row r="156" spans="1:2" ht="15" customHeight="1">
      <c r="A156" s="7" t="s">
        <v>7421</v>
      </c>
      <c r="B156" s="5" t="s">
        <v>7422</v>
      </c>
    </row>
    <row r="157" spans="1:2" ht="15" customHeight="1">
      <c r="A157" s="7" t="s">
        <v>7423</v>
      </c>
      <c r="B157" s="5" t="s">
        <v>7424</v>
      </c>
    </row>
    <row r="158" spans="1:2" ht="15" customHeight="1">
      <c r="A158" s="7" t="s">
        <v>7425</v>
      </c>
      <c r="B158" s="5" t="s">
        <v>7426</v>
      </c>
    </row>
    <row r="159" spans="1:2" ht="15" customHeight="1">
      <c r="A159" s="7" t="s">
        <v>7427</v>
      </c>
      <c r="B159" s="5" t="s">
        <v>7428</v>
      </c>
    </row>
    <row r="160" spans="1:2" ht="15" customHeight="1">
      <c r="A160" s="7" t="s">
        <v>7429</v>
      </c>
      <c r="B160" s="5" t="s">
        <v>7430</v>
      </c>
    </row>
    <row r="161" spans="1:2" ht="15" customHeight="1">
      <c r="A161" s="7" t="s">
        <v>294</v>
      </c>
      <c r="B161" s="5" t="s">
        <v>7292</v>
      </c>
    </row>
    <row r="162" spans="1:2" ht="15" customHeight="1">
      <c r="A162" s="7" t="s">
        <v>7431</v>
      </c>
      <c r="B162" s="5" t="s">
        <v>7432</v>
      </c>
    </row>
    <row r="163" spans="1:2" ht="15" customHeight="1">
      <c r="A163" s="7" t="s">
        <v>7433</v>
      </c>
      <c r="B163" s="5" t="s">
        <v>7434</v>
      </c>
    </row>
    <row r="164" spans="1:2" ht="15" customHeight="1">
      <c r="A164" s="7" t="s">
        <v>7435</v>
      </c>
      <c r="B164" s="5" t="s">
        <v>7436</v>
      </c>
    </row>
    <row r="165" spans="1:2" ht="15" customHeight="1">
      <c r="A165" s="7" t="s">
        <v>7437</v>
      </c>
      <c r="B165" s="5" t="s">
        <v>7438</v>
      </c>
    </row>
    <row r="166" spans="1:2" ht="15" customHeight="1">
      <c r="A166" s="7" t="s">
        <v>750</v>
      </c>
      <c r="B166" s="5" t="s">
        <v>7439</v>
      </c>
    </row>
    <row r="167" spans="1:2" ht="15" customHeight="1">
      <c r="A167" s="7" t="s">
        <v>7065</v>
      </c>
      <c r="B167" s="5" t="s">
        <v>7440</v>
      </c>
    </row>
    <row r="168" spans="1:2" ht="15" customHeight="1">
      <c r="A168" s="7" t="s">
        <v>7441</v>
      </c>
      <c r="B168" s="5" t="s">
        <v>7442</v>
      </c>
    </row>
    <row r="169" spans="1:2" ht="15" customHeight="1">
      <c r="A169" s="7" t="s">
        <v>397</v>
      </c>
      <c r="B169" s="5" t="s">
        <v>7443</v>
      </c>
    </row>
    <row r="170" spans="1:2" ht="15" customHeight="1">
      <c r="A170" s="7" t="s">
        <v>7444</v>
      </c>
      <c r="B170" s="5" t="s">
        <v>7445</v>
      </c>
    </row>
    <row r="171" spans="1:2" ht="15" customHeight="1">
      <c r="A171" s="7" t="s">
        <v>7446</v>
      </c>
      <c r="B171" s="5" t="s">
        <v>7447</v>
      </c>
    </row>
    <row r="172" spans="1:2" ht="15" customHeight="1">
      <c r="A172" s="7" t="s">
        <v>7448</v>
      </c>
      <c r="B172" s="5" t="s">
        <v>7220</v>
      </c>
    </row>
    <row r="173" spans="1:2" ht="15" customHeight="1">
      <c r="A173" s="7" t="s">
        <v>7449</v>
      </c>
      <c r="B173" s="5" t="s">
        <v>7450</v>
      </c>
    </row>
    <row r="174" spans="1:2" ht="15" customHeight="1">
      <c r="A174" s="7" t="s">
        <v>7451</v>
      </c>
      <c r="B174" s="5" t="s">
        <v>7452</v>
      </c>
    </row>
    <row r="175" spans="1:2" ht="15" customHeight="1">
      <c r="A175" s="7" t="s">
        <v>7453</v>
      </c>
      <c r="B175" s="5" t="s">
        <v>7454</v>
      </c>
    </row>
    <row r="176" spans="1:2" ht="15" customHeight="1">
      <c r="A176" s="7" t="s">
        <v>7455</v>
      </c>
      <c r="B176" s="5" t="s">
        <v>7456</v>
      </c>
    </row>
    <row r="177" spans="1:2" ht="15" customHeight="1">
      <c r="A177" s="7" t="s">
        <v>7457</v>
      </c>
      <c r="B177" s="5" t="s">
        <v>7458</v>
      </c>
    </row>
    <row r="178" spans="1:2" ht="15" customHeight="1">
      <c r="A178" s="7" t="s">
        <v>7459</v>
      </c>
      <c r="B178" s="5" t="s">
        <v>7460</v>
      </c>
    </row>
    <row r="179" spans="1:2" ht="15" customHeight="1">
      <c r="A179" s="7" t="s">
        <v>7461</v>
      </c>
      <c r="B179" s="5" t="s">
        <v>7462</v>
      </c>
    </row>
    <row r="180" spans="1:2" ht="15" customHeight="1">
      <c r="A180" s="7" t="s">
        <v>7463</v>
      </c>
      <c r="B180" s="5" t="s">
        <v>7464</v>
      </c>
    </row>
    <row r="181" spans="1:2" ht="15" customHeight="1">
      <c r="A181" s="7" t="s">
        <v>7465</v>
      </c>
      <c r="B181" s="5" t="s">
        <v>7466</v>
      </c>
    </row>
    <row r="182" spans="1:2" ht="15" customHeight="1">
      <c r="A182" s="7" t="s">
        <v>7467</v>
      </c>
      <c r="B182" s="5" t="s">
        <v>7468</v>
      </c>
    </row>
    <row r="183" spans="1:2" ht="15" customHeight="1">
      <c r="A183" s="7" t="s">
        <v>7469</v>
      </c>
      <c r="B183" s="5" t="s">
        <v>7470</v>
      </c>
    </row>
    <row r="184" spans="1:2" ht="15" customHeight="1">
      <c r="A184" s="7" t="s">
        <v>6352</v>
      </c>
      <c r="B184" s="5" t="s">
        <v>7471</v>
      </c>
    </row>
    <row r="185" spans="1:2" ht="15" customHeight="1">
      <c r="A185" s="7" t="s">
        <v>7472</v>
      </c>
      <c r="B185" s="5" t="s">
        <v>7473</v>
      </c>
    </row>
    <row r="186" spans="1:2" ht="15" customHeight="1">
      <c r="A186" s="7" t="s">
        <v>7474</v>
      </c>
      <c r="B186" s="5" t="s">
        <v>7475</v>
      </c>
    </row>
    <row r="187" spans="1:2" ht="15" customHeight="1">
      <c r="A187" s="7" t="s">
        <v>7476</v>
      </c>
      <c r="B187" s="5" t="s">
        <v>7477</v>
      </c>
    </row>
    <row r="188" spans="1:2" ht="15" customHeight="1">
      <c r="A188" s="7" t="s">
        <v>7478</v>
      </c>
      <c r="B188" s="5" t="s">
        <v>7479</v>
      </c>
    </row>
    <row r="189" spans="1:2" ht="15" customHeight="1">
      <c r="A189" s="7" t="s">
        <v>7480</v>
      </c>
      <c r="B189" s="5" t="s">
        <v>7481</v>
      </c>
    </row>
    <row r="190" spans="1:2" ht="15" customHeight="1">
      <c r="A190" s="7" t="s">
        <v>7482</v>
      </c>
      <c r="B190" s="5" t="s">
        <v>7483</v>
      </c>
    </row>
    <row r="191" spans="1:2" ht="15" customHeight="1">
      <c r="A191" s="7" t="s">
        <v>7484</v>
      </c>
      <c r="B191" s="5" t="s">
        <v>7485</v>
      </c>
    </row>
    <row r="192" spans="1:2" ht="15" customHeight="1">
      <c r="A192" s="7" t="s">
        <v>7486</v>
      </c>
      <c r="B192" s="5" t="s">
        <v>7487</v>
      </c>
    </row>
    <row r="193" spans="1:2" ht="15" customHeight="1">
      <c r="A193" s="7" t="s">
        <v>7488</v>
      </c>
      <c r="B193" s="5" t="s">
        <v>7407</v>
      </c>
    </row>
    <row r="194" spans="1:2" ht="15" customHeight="1">
      <c r="A194" s="7" t="s">
        <v>7489</v>
      </c>
      <c r="B194" s="5" t="s">
        <v>7490</v>
      </c>
    </row>
    <row r="195" spans="1:2" ht="15" customHeight="1">
      <c r="A195" s="7" t="s">
        <v>332</v>
      </c>
      <c r="B195" s="5" t="s">
        <v>7491</v>
      </c>
    </row>
    <row r="196" spans="1:2" ht="15" customHeight="1">
      <c r="A196" s="7" t="s">
        <v>7492</v>
      </c>
      <c r="B196" s="5" t="s">
        <v>7493</v>
      </c>
    </row>
    <row r="197" spans="1:2" ht="15" customHeight="1">
      <c r="A197" s="7" t="s">
        <v>7494</v>
      </c>
      <c r="B197" s="5" t="s">
        <v>7495</v>
      </c>
    </row>
    <row r="198" spans="1:2" ht="15" customHeight="1">
      <c r="A198" s="7" t="s">
        <v>7496</v>
      </c>
      <c r="B198" s="5" t="s">
        <v>7497</v>
      </c>
    </row>
    <row r="199" spans="1:2" ht="15" customHeight="1">
      <c r="A199" s="7" t="s">
        <v>7498</v>
      </c>
      <c r="B199" s="5" t="s">
        <v>7499</v>
      </c>
    </row>
    <row r="200" spans="1:2" ht="15" customHeight="1">
      <c r="A200" s="7" t="s">
        <v>7500</v>
      </c>
      <c r="B200" s="5" t="s">
        <v>7501</v>
      </c>
    </row>
    <row r="201" spans="1:2" ht="15" customHeight="1">
      <c r="A201" s="7" t="s">
        <v>1293</v>
      </c>
      <c r="B201" s="5" t="s">
        <v>7502</v>
      </c>
    </row>
    <row r="202" spans="1:2" ht="15" customHeight="1">
      <c r="A202" s="7" t="s">
        <v>7503</v>
      </c>
      <c r="B202" s="5" t="s">
        <v>7504</v>
      </c>
    </row>
    <row r="203" spans="1:2" ht="15" customHeight="1">
      <c r="A203" s="7" t="s">
        <v>3573</v>
      </c>
      <c r="B203" s="5" t="s">
        <v>7505</v>
      </c>
    </row>
    <row r="204" spans="1:2" ht="15" customHeight="1">
      <c r="A204" s="7" t="s">
        <v>7506</v>
      </c>
      <c r="B204" s="5" t="s">
        <v>7507</v>
      </c>
    </row>
    <row r="205" spans="1:2" ht="15" customHeight="1">
      <c r="A205" s="7" t="s">
        <v>7508</v>
      </c>
      <c r="B205" s="5" t="s">
        <v>7509</v>
      </c>
    </row>
    <row r="206" spans="1:2" ht="15" customHeight="1">
      <c r="A206" s="7" t="s">
        <v>7510</v>
      </c>
      <c r="B206" s="5" t="s">
        <v>7337</v>
      </c>
    </row>
    <row r="207" spans="1:2" ht="15" customHeight="1">
      <c r="A207" s="7" t="s">
        <v>7511</v>
      </c>
      <c r="B207" s="5" t="s">
        <v>7512</v>
      </c>
    </row>
    <row r="208" spans="1:2" ht="15" customHeight="1">
      <c r="A208" s="7" t="s">
        <v>7513</v>
      </c>
      <c r="B208" s="5" t="s">
        <v>7514</v>
      </c>
    </row>
    <row r="209" spans="1:2" ht="15" customHeight="1">
      <c r="A209" s="7" t="s">
        <v>7515</v>
      </c>
      <c r="B209" s="5" t="s">
        <v>7516</v>
      </c>
    </row>
    <row r="210" spans="1:2" ht="15" customHeight="1">
      <c r="A210" s="7" t="s">
        <v>7517</v>
      </c>
      <c r="B210" s="5" t="s">
        <v>7518</v>
      </c>
    </row>
    <row r="211" spans="1:2" ht="15" customHeight="1">
      <c r="A211" s="7" t="s">
        <v>361</v>
      </c>
      <c r="B211" s="5" t="s">
        <v>7519</v>
      </c>
    </row>
    <row r="212" spans="1:2" ht="15" customHeight="1">
      <c r="A212" s="7" t="s">
        <v>1822</v>
      </c>
      <c r="B212" s="5" t="s">
        <v>7520</v>
      </c>
    </row>
    <row r="213" spans="1:2" ht="15" customHeight="1">
      <c r="A213" s="7" t="s">
        <v>7521</v>
      </c>
      <c r="B213" s="5" t="s">
        <v>7522</v>
      </c>
    </row>
    <row r="214" spans="1:2" ht="15" customHeight="1">
      <c r="A214" s="7" t="s">
        <v>3001</v>
      </c>
      <c r="B214" s="5" t="s">
        <v>7523</v>
      </c>
    </row>
    <row r="215" spans="1:2" ht="15" customHeight="1">
      <c r="A215" s="7" t="s">
        <v>7524</v>
      </c>
      <c r="B215" s="5" t="s">
        <v>7525</v>
      </c>
    </row>
    <row r="216" spans="1:2" ht="15" customHeight="1">
      <c r="A216" s="7" t="s">
        <v>7526</v>
      </c>
      <c r="B216" s="5" t="s">
        <v>7527</v>
      </c>
    </row>
    <row r="217" spans="1:2" ht="15" customHeight="1">
      <c r="A217" s="7" t="s">
        <v>7528</v>
      </c>
      <c r="B217" s="5" t="s">
        <v>7529</v>
      </c>
    </row>
    <row r="218" spans="1:2" ht="15" customHeight="1">
      <c r="A218" s="7" t="s">
        <v>1836</v>
      </c>
      <c r="B218" s="5" t="s">
        <v>7530</v>
      </c>
    </row>
    <row r="219" spans="1:2" ht="15" customHeight="1">
      <c r="A219" s="7" t="s">
        <v>7531</v>
      </c>
      <c r="B219" s="5" t="s">
        <v>7532</v>
      </c>
    </row>
    <row r="220" spans="1:2" ht="15" customHeight="1">
      <c r="A220" s="7" t="s">
        <v>7533</v>
      </c>
      <c r="B220" s="5" t="s">
        <v>7534</v>
      </c>
    </row>
    <row r="221" spans="1:2" ht="15" customHeight="1">
      <c r="A221" s="7" t="s">
        <v>4448</v>
      </c>
      <c r="B221" s="5" t="s">
        <v>7535</v>
      </c>
    </row>
    <row r="222" spans="1:2" ht="15" customHeight="1">
      <c r="A222" s="7" t="s">
        <v>773</v>
      </c>
      <c r="B222" s="5" t="s">
        <v>7426</v>
      </c>
    </row>
    <row r="223" spans="1:2" ht="15" customHeight="1">
      <c r="A223" s="7" t="s">
        <v>7536</v>
      </c>
      <c r="B223" s="5" t="s">
        <v>7537</v>
      </c>
    </row>
    <row r="224" spans="1:2" ht="15" customHeight="1">
      <c r="A224" s="7" t="s">
        <v>186</v>
      </c>
      <c r="B224" s="5" t="s">
        <v>7538</v>
      </c>
    </row>
    <row r="225" spans="1:2" ht="15" customHeight="1">
      <c r="A225" s="7" t="s">
        <v>7539</v>
      </c>
      <c r="B225" s="5" t="s">
        <v>7540</v>
      </c>
    </row>
    <row r="226" spans="1:2" ht="15" customHeight="1">
      <c r="A226" s="7" t="s">
        <v>739</v>
      </c>
      <c r="B226" s="5" t="s">
        <v>7541</v>
      </c>
    </row>
    <row r="227" spans="1:2" ht="15" customHeight="1">
      <c r="A227" s="7" t="s">
        <v>7542</v>
      </c>
      <c r="B227" s="5" t="s">
        <v>7543</v>
      </c>
    </row>
    <row r="228" spans="1:2" ht="15" customHeight="1">
      <c r="A228" s="7" t="s">
        <v>7544</v>
      </c>
      <c r="B228" s="5" t="s">
        <v>4323</v>
      </c>
    </row>
    <row r="229" spans="1:2" ht="15" customHeight="1">
      <c r="A229" s="7" t="s">
        <v>7545</v>
      </c>
      <c r="B229" s="5" t="s">
        <v>7546</v>
      </c>
    </row>
    <row r="230" spans="1:2" ht="15" customHeight="1">
      <c r="A230" s="7" t="s">
        <v>7547</v>
      </c>
      <c r="B230" s="5" t="s">
        <v>7548</v>
      </c>
    </row>
    <row r="231" spans="1:2" ht="15" customHeight="1">
      <c r="A231" s="7" t="s">
        <v>7549</v>
      </c>
      <c r="B231" s="5" t="s">
        <v>7550</v>
      </c>
    </row>
    <row r="232" spans="1:2" ht="15" customHeight="1">
      <c r="A232" s="7" t="s">
        <v>7551</v>
      </c>
      <c r="B232" s="5" t="s">
        <v>7552</v>
      </c>
    </row>
    <row r="233" spans="1:2" ht="15" customHeight="1">
      <c r="A233" s="7" t="s">
        <v>5616</v>
      </c>
      <c r="B233" s="5" t="s">
        <v>7553</v>
      </c>
    </row>
    <row r="234" spans="1:2" ht="15" customHeight="1">
      <c r="A234" s="7" t="s">
        <v>7554</v>
      </c>
      <c r="B234" s="5" t="s">
        <v>7555</v>
      </c>
    </row>
    <row r="235" spans="1:2" ht="15" customHeight="1">
      <c r="A235" s="7" t="s">
        <v>7556</v>
      </c>
      <c r="B235" s="5" t="s">
        <v>7557</v>
      </c>
    </row>
    <row r="236" spans="1:2" ht="15" customHeight="1">
      <c r="A236" s="7" t="s">
        <v>7558</v>
      </c>
      <c r="B236" s="5" t="s">
        <v>7559</v>
      </c>
    </row>
    <row r="237" spans="1:2" ht="15" customHeight="1">
      <c r="A237" s="7" t="s">
        <v>7560</v>
      </c>
      <c r="B237" s="5" t="s">
        <v>7561</v>
      </c>
    </row>
    <row r="238" spans="1:2" ht="15" customHeight="1">
      <c r="A238" s="7" t="s">
        <v>6098</v>
      </c>
      <c r="B238" s="5" t="s">
        <v>7562</v>
      </c>
    </row>
    <row r="239" spans="1:2" ht="15" customHeight="1">
      <c r="A239" s="7" t="s">
        <v>3984</v>
      </c>
      <c r="B239" s="5" t="s">
        <v>7563</v>
      </c>
    </row>
    <row r="240" spans="1:2" ht="15" customHeight="1">
      <c r="A240" s="7" t="s">
        <v>7564</v>
      </c>
      <c r="B240" s="5" t="s">
        <v>7565</v>
      </c>
    </row>
    <row r="241" spans="1:2" ht="15" customHeight="1">
      <c r="A241" s="7" t="s">
        <v>7566</v>
      </c>
      <c r="B241" s="5" t="s">
        <v>7567</v>
      </c>
    </row>
    <row r="242" spans="1:2" ht="15" customHeight="1">
      <c r="A242" s="7" t="s">
        <v>6537</v>
      </c>
      <c r="B242" s="5" t="s">
        <v>7568</v>
      </c>
    </row>
    <row r="243" spans="1:2" ht="15" customHeight="1">
      <c r="A243" s="7" t="s">
        <v>241</v>
      </c>
      <c r="B243" s="5" t="s">
        <v>7569</v>
      </c>
    </row>
    <row r="244" spans="1:2" ht="15" customHeight="1">
      <c r="A244" s="7" t="s">
        <v>5532</v>
      </c>
      <c r="B244" s="5" t="s">
        <v>7570</v>
      </c>
    </row>
    <row r="245" spans="1:2" ht="15" customHeight="1">
      <c r="A245" s="7" t="s">
        <v>7571</v>
      </c>
      <c r="B245" s="5" t="s">
        <v>7572</v>
      </c>
    </row>
    <row r="246" spans="1:2" ht="15" customHeight="1">
      <c r="A246" s="7" t="s">
        <v>7573</v>
      </c>
      <c r="B246" s="5" t="s">
        <v>7574</v>
      </c>
    </row>
    <row r="247" spans="1:2" ht="15" customHeight="1">
      <c r="A247" s="7" t="s">
        <v>7575</v>
      </c>
      <c r="B247" s="5" t="s">
        <v>7576</v>
      </c>
    </row>
    <row r="248" spans="1:2" ht="15" customHeight="1">
      <c r="A248" s="7" t="s">
        <v>7577</v>
      </c>
      <c r="B248" s="5" t="s">
        <v>7290</v>
      </c>
    </row>
    <row r="249" spans="1:2" ht="15" customHeight="1">
      <c r="A249" s="7" t="s">
        <v>7578</v>
      </c>
      <c r="B249" s="5" t="s">
        <v>7579</v>
      </c>
    </row>
    <row r="250" spans="1:2" ht="15" customHeight="1">
      <c r="A250" s="7" t="s">
        <v>7580</v>
      </c>
      <c r="B250" s="5" t="s">
        <v>7581</v>
      </c>
    </row>
    <row r="251" spans="1:2" ht="15" customHeight="1">
      <c r="A251" s="7" t="s">
        <v>7582</v>
      </c>
      <c r="B251" s="5" t="s">
        <v>7583</v>
      </c>
    </row>
    <row r="252" spans="1:2" ht="15" customHeight="1">
      <c r="A252" s="7" t="s">
        <v>5602</v>
      </c>
      <c r="B252" s="5" t="s">
        <v>7584</v>
      </c>
    </row>
    <row r="253" spans="1:2" ht="15" customHeight="1">
      <c r="A253" s="7" t="s">
        <v>7585</v>
      </c>
      <c r="B253" s="5" t="s">
        <v>7586</v>
      </c>
    </row>
    <row r="254" spans="1:2" ht="15" customHeight="1">
      <c r="A254" s="7" t="s">
        <v>7587</v>
      </c>
      <c r="B254" s="5" t="s">
        <v>7588</v>
      </c>
    </row>
    <row r="255" spans="1:2" ht="15" customHeight="1">
      <c r="A255" s="7" t="s">
        <v>7589</v>
      </c>
      <c r="B255" s="5" t="s">
        <v>7590</v>
      </c>
    </row>
    <row r="256" spans="1:2" ht="15" customHeight="1">
      <c r="A256" s="7" t="s">
        <v>7591</v>
      </c>
      <c r="B256" s="5" t="s">
        <v>7592</v>
      </c>
    </row>
    <row r="257" spans="1:2" ht="15" customHeight="1">
      <c r="A257" s="7" t="s">
        <v>7593</v>
      </c>
      <c r="B257" s="5" t="s">
        <v>7594</v>
      </c>
    </row>
    <row r="258" spans="1:2" ht="15" customHeight="1">
      <c r="A258" s="7" t="s">
        <v>1032</v>
      </c>
      <c r="B258" s="5" t="s">
        <v>2859</v>
      </c>
    </row>
    <row r="259" spans="1:2" ht="15" customHeight="1">
      <c r="A259" s="7" t="s">
        <v>2688</v>
      </c>
      <c r="B259" s="5" t="s">
        <v>1096</v>
      </c>
    </row>
    <row r="260" spans="1:2" ht="15" customHeight="1">
      <c r="A260" s="7" t="s">
        <v>7595</v>
      </c>
      <c r="B260" s="5" t="s">
        <v>7596</v>
      </c>
    </row>
    <row r="261" spans="1:2" ht="15" customHeight="1">
      <c r="A261" s="7" t="s">
        <v>7597</v>
      </c>
      <c r="B261" s="5" t="s">
        <v>7598</v>
      </c>
    </row>
    <row r="262" spans="1:2" ht="15" customHeight="1">
      <c r="A262" s="7" t="s">
        <v>1077</v>
      </c>
      <c r="B262" s="5" t="s">
        <v>7599</v>
      </c>
    </row>
    <row r="263" spans="1:2" ht="15" customHeight="1">
      <c r="A263" s="7" t="s">
        <v>7600</v>
      </c>
      <c r="B263" s="5" t="s">
        <v>7601</v>
      </c>
    </row>
    <row r="264" spans="1:2" ht="15" customHeight="1">
      <c r="A264" s="7" t="s">
        <v>7602</v>
      </c>
      <c r="B264" s="5" t="s">
        <v>7603</v>
      </c>
    </row>
    <row r="265" spans="1:2" ht="15" customHeight="1">
      <c r="A265" s="7" t="s">
        <v>6191</v>
      </c>
      <c r="B265" s="5" t="s">
        <v>7604</v>
      </c>
    </row>
    <row r="266" spans="1:2" ht="15" customHeight="1">
      <c r="A266" s="7" t="s">
        <v>7605</v>
      </c>
      <c r="B266" s="5" t="s">
        <v>7606</v>
      </c>
    </row>
    <row r="267" spans="1:2" ht="15" customHeight="1">
      <c r="A267" s="7" t="s">
        <v>7607</v>
      </c>
      <c r="B267" s="5" t="s">
        <v>7608</v>
      </c>
    </row>
    <row r="268" spans="1:2" ht="15" customHeight="1">
      <c r="A268" s="7" t="s">
        <v>7609</v>
      </c>
      <c r="B268" s="5" t="s">
        <v>7610</v>
      </c>
    </row>
    <row r="269" spans="1:2" ht="15" customHeight="1">
      <c r="A269" s="7" t="s">
        <v>7611</v>
      </c>
      <c r="B269" s="5" t="s">
        <v>7612</v>
      </c>
    </row>
    <row r="270" spans="1:2" ht="15" customHeight="1">
      <c r="A270" s="7" t="s">
        <v>7613</v>
      </c>
      <c r="B270" s="5" t="s">
        <v>7614</v>
      </c>
    </row>
    <row r="271" spans="1:2" ht="15" customHeight="1">
      <c r="A271" s="7" t="s">
        <v>5444</v>
      </c>
      <c r="B271" s="5" t="s">
        <v>7615</v>
      </c>
    </row>
    <row r="272" spans="1:2" ht="15" customHeight="1">
      <c r="A272" s="7" t="s">
        <v>7616</v>
      </c>
      <c r="B272" s="5" t="s">
        <v>7617</v>
      </c>
    </row>
    <row r="273" spans="1:2" ht="15" customHeight="1">
      <c r="A273" s="7" t="s">
        <v>7618</v>
      </c>
      <c r="B273" s="5" t="s">
        <v>7619</v>
      </c>
    </row>
    <row r="274" spans="1:2" ht="15" customHeight="1">
      <c r="A274" s="7" t="s">
        <v>7620</v>
      </c>
      <c r="B274" s="5" t="s">
        <v>7621</v>
      </c>
    </row>
    <row r="275" spans="1:2" ht="15" customHeight="1">
      <c r="A275" s="7" t="s">
        <v>7622</v>
      </c>
      <c r="B275" s="5" t="s">
        <v>7623</v>
      </c>
    </row>
    <row r="276" spans="1:2" ht="15" customHeight="1">
      <c r="A276" s="7" t="s">
        <v>353</v>
      </c>
      <c r="B276" s="5" t="s">
        <v>7624</v>
      </c>
    </row>
    <row r="277" spans="1:2" ht="15" customHeight="1">
      <c r="A277" s="7" t="s">
        <v>7625</v>
      </c>
      <c r="B277" s="5" t="s">
        <v>7626</v>
      </c>
    </row>
    <row r="278" spans="1:2" ht="15" customHeight="1">
      <c r="A278" s="7" t="s">
        <v>7627</v>
      </c>
      <c r="B278" s="5" t="s">
        <v>7628</v>
      </c>
    </row>
    <row r="279" spans="1:2" ht="15" customHeight="1">
      <c r="A279" s="7" t="s">
        <v>3006</v>
      </c>
      <c r="B279" s="5" t="s">
        <v>7629</v>
      </c>
    </row>
    <row r="280" spans="1:2" ht="15" customHeight="1">
      <c r="A280" s="7" t="s">
        <v>7630</v>
      </c>
      <c r="B280" s="5" t="s">
        <v>7631</v>
      </c>
    </row>
    <row r="281" spans="1:2" ht="15" customHeight="1">
      <c r="A281" s="7" t="s">
        <v>7632</v>
      </c>
      <c r="B281" s="5" t="s">
        <v>7633</v>
      </c>
    </row>
    <row r="282" spans="1:2" ht="15" customHeight="1">
      <c r="A282" s="7" t="s">
        <v>7634</v>
      </c>
      <c r="B282" s="5" t="s">
        <v>7635</v>
      </c>
    </row>
    <row r="283" spans="1:2" ht="15" customHeight="1">
      <c r="A283" s="7" t="s">
        <v>5241</v>
      </c>
      <c r="B283" s="5" t="s">
        <v>7636</v>
      </c>
    </row>
    <row r="284" spans="1:2" ht="15" customHeight="1">
      <c r="A284" s="7" t="s">
        <v>369</v>
      </c>
      <c r="B284" s="5" t="s">
        <v>7637</v>
      </c>
    </row>
    <row r="285" spans="1:2" ht="15" customHeight="1">
      <c r="A285" s="7" t="s">
        <v>7638</v>
      </c>
      <c r="B285" s="5" t="s">
        <v>7639</v>
      </c>
    </row>
    <row r="286" spans="1:2" ht="15" customHeight="1">
      <c r="A286" s="7" t="s">
        <v>7640</v>
      </c>
      <c r="B286" s="5" t="s">
        <v>7641</v>
      </c>
    </row>
    <row r="287" spans="1:2" ht="15" customHeight="1">
      <c r="A287" s="7" t="s">
        <v>7642</v>
      </c>
      <c r="B287" s="5" t="s">
        <v>7643</v>
      </c>
    </row>
    <row r="288" spans="1:2" ht="15" customHeight="1">
      <c r="A288" s="7" t="s">
        <v>4457</v>
      </c>
      <c r="B288" s="5" t="s">
        <v>7644</v>
      </c>
    </row>
    <row r="289" spans="1:2" ht="15" customHeight="1">
      <c r="A289" s="7" t="s">
        <v>7645</v>
      </c>
      <c r="B289" s="5" t="s">
        <v>7646</v>
      </c>
    </row>
    <row r="290" spans="1:2" ht="15" customHeight="1">
      <c r="A290" s="7" t="s">
        <v>7647</v>
      </c>
      <c r="B290" s="5" t="s">
        <v>7648</v>
      </c>
    </row>
    <row r="291" spans="1:2" ht="15" customHeight="1">
      <c r="A291" s="7" t="s">
        <v>7649</v>
      </c>
      <c r="B291" s="5" t="s">
        <v>7650</v>
      </c>
    </row>
    <row r="292" spans="1:2" ht="15" customHeight="1">
      <c r="A292" s="7" t="s">
        <v>7651</v>
      </c>
      <c r="B292" s="5" t="s">
        <v>7652</v>
      </c>
    </row>
    <row r="293" spans="1:2" ht="15" customHeight="1">
      <c r="A293" s="7" t="s">
        <v>7653</v>
      </c>
      <c r="B293" s="5" t="s">
        <v>7654</v>
      </c>
    </row>
    <row r="294" spans="1:2" ht="15" customHeight="1">
      <c r="A294" s="7" t="s">
        <v>7655</v>
      </c>
      <c r="B294" s="5" t="s">
        <v>7656</v>
      </c>
    </row>
    <row r="295" spans="1:2" ht="15" customHeight="1">
      <c r="A295" s="7" t="s">
        <v>7657</v>
      </c>
      <c r="B295" s="5" t="s">
        <v>7658</v>
      </c>
    </row>
    <row r="296" spans="1:2" ht="15" customHeight="1">
      <c r="A296" s="7" t="s">
        <v>7659</v>
      </c>
      <c r="B296" s="5" t="s">
        <v>7660</v>
      </c>
    </row>
    <row r="297" spans="1:2" ht="15" customHeight="1">
      <c r="A297" s="7" t="s">
        <v>7661</v>
      </c>
      <c r="B297" s="5" t="s">
        <v>7662</v>
      </c>
    </row>
    <row r="298" spans="1:2" ht="15" customHeight="1">
      <c r="A298" s="7" t="s">
        <v>3467</v>
      </c>
      <c r="B298" s="5" t="s">
        <v>7663</v>
      </c>
    </row>
    <row r="299" spans="1:2" ht="15" customHeight="1">
      <c r="A299" s="7" t="s">
        <v>7664</v>
      </c>
      <c r="B299" s="5" t="s">
        <v>7665</v>
      </c>
    </row>
    <row r="300" spans="1:2" ht="15" customHeight="1">
      <c r="A300" s="7" t="s">
        <v>7666</v>
      </c>
      <c r="B300" s="5" t="s">
        <v>7667</v>
      </c>
    </row>
    <row r="301" spans="1:2" ht="15" customHeight="1">
      <c r="A301" s="7" t="s">
        <v>5672</v>
      </c>
      <c r="B301" s="5" t="s">
        <v>7668</v>
      </c>
    </row>
    <row r="302" spans="1:2" ht="15" customHeight="1">
      <c r="A302" s="7" t="s">
        <v>7669</v>
      </c>
      <c r="B302" s="5" t="s">
        <v>7670</v>
      </c>
    </row>
    <row r="303" spans="1:2" ht="15" customHeight="1">
      <c r="A303" s="7" t="s">
        <v>7671</v>
      </c>
      <c r="B303" s="5" t="s">
        <v>7672</v>
      </c>
    </row>
    <row r="304" spans="1:2" ht="15" customHeight="1">
      <c r="A304" s="7" t="s">
        <v>7673</v>
      </c>
      <c r="B304" s="5" t="s">
        <v>7674</v>
      </c>
    </row>
    <row r="305" spans="1:2" ht="15" customHeight="1">
      <c r="A305" s="7" t="s">
        <v>1209</v>
      </c>
      <c r="B305" s="5" t="s">
        <v>7675</v>
      </c>
    </row>
    <row r="306" spans="1:2" ht="15" customHeight="1">
      <c r="A306" s="7" t="s">
        <v>7676</v>
      </c>
      <c r="B306" s="5" t="s">
        <v>7677</v>
      </c>
    </row>
    <row r="307" spans="1:2" ht="15" customHeight="1">
      <c r="A307" s="7" t="s">
        <v>7678</v>
      </c>
      <c r="B307" s="5" t="s">
        <v>7679</v>
      </c>
    </row>
    <row r="308" spans="1:2" ht="15" customHeight="1">
      <c r="A308" s="7" t="s">
        <v>466</v>
      </c>
      <c r="B308" s="5" t="s">
        <v>7680</v>
      </c>
    </row>
    <row r="309" spans="1:2" ht="15" customHeight="1">
      <c r="A309" s="7" t="s">
        <v>1655</v>
      </c>
      <c r="B309" s="5" t="s">
        <v>7681</v>
      </c>
    </row>
    <row r="310" spans="1:2" ht="15" customHeight="1">
      <c r="A310" s="7" t="s">
        <v>7682</v>
      </c>
      <c r="B310" s="5" t="s">
        <v>7683</v>
      </c>
    </row>
    <row r="311" spans="1:2" ht="15" customHeight="1">
      <c r="A311" s="7" t="s">
        <v>7684</v>
      </c>
      <c r="B311" s="5" t="s">
        <v>7685</v>
      </c>
    </row>
    <row r="312" spans="1:2" ht="15" customHeight="1">
      <c r="A312" s="7" t="s">
        <v>7686</v>
      </c>
      <c r="B312" s="5" t="s">
        <v>7687</v>
      </c>
    </row>
    <row r="313" spans="1:2" ht="15" customHeight="1">
      <c r="A313" s="7" t="s">
        <v>7688</v>
      </c>
      <c r="B313" s="5" t="s">
        <v>7689</v>
      </c>
    </row>
    <row r="314" spans="1:2" ht="15" customHeight="1">
      <c r="A314" s="7" t="s">
        <v>7690</v>
      </c>
      <c r="B314" s="5" t="s">
        <v>7691</v>
      </c>
    </row>
    <row r="315" spans="1:2" ht="15" customHeight="1">
      <c r="A315" s="7" t="s">
        <v>7692</v>
      </c>
      <c r="B315" s="5" t="s">
        <v>7693</v>
      </c>
    </row>
    <row r="316" spans="1:2" ht="15" customHeight="1">
      <c r="A316" s="7" t="s">
        <v>7694</v>
      </c>
      <c r="B316" s="5" t="s">
        <v>7695</v>
      </c>
    </row>
    <row r="317" spans="1:2" ht="15" customHeight="1">
      <c r="A317" s="7" t="s">
        <v>7696</v>
      </c>
      <c r="B317" s="5" t="s">
        <v>7697</v>
      </c>
    </row>
    <row r="318" spans="1:2" ht="15" customHeight="1">
      <c r="A318" s="7" t="s">
        <v>7698</v>
      </c>
      <c r="B318" s="5" t="s">
        <v>7699</v>
      </c>
    </row>
    <row r="319" spans="1:2" ht="15" customHeight="1">
      <c r="A319" s="7" t="s">
        <v>6482</v>
      </c>
      <c r="B319" s="5" t="s">
        <v>7700</v>
      </c>
    </row>
    <row r="320" spans="1:2" ht="15" customHeight="1">
      <c r="A320" s="7" t="s">
        <v>7701</v>
      </c>
      <c r="B320" s="5" t="s">
        <v>7702</v>
      </c>
    </row>
    <row r="321" spans="1:2" ht="15" customHeight="1">
      <c r="A321" s="7" t="s">
        <v>129</v>
      </c>
      <c r="B321" s="5" t="s">
        <v>7703</v>
      </c>
    </row>
    <row r="322" spans="1:2" ht="15" customHeight="1">
      <c r="A322" s="7" t="s">
        <v>7704</v>
      </c>
      <c r="B322" s="5" t="s">
        <v>7705</v>
      </c>
    </row>
    <row r="323" spans="1:2" ht="15" customHeight="1">
      <c r="A323" s="7" t="s">
        <v>3031</v>
      </c>
      <c r="B323" s="5" t="s">
        <v>7706</v>
      </c>
    </row>
    <row r="324" spans="1:2" ht="15" customHeight="1">
      <c r="A324" s="7" t="s">
        <v>1909</v>
      </c>
      <c r="B324" s="5" t="s">
        <v>7707</v>
      </c>
    </row>
    <row r="325" spans="1:2" ht="15" customHeight="1">
      <c r="A325" s="7" t="s">
        <v>7708</v>
      </c>
      <c r="B325" s="5" t="s">
        <v>7709</v>
      </c>
    </row>
    <row r="326" spans="1:2" ht="15" customHeight="1">
      <c r="A326" s="7" t="s">
        <v>7710</v>
      </c>
      <c r="B326" s="5" t="s">
        <v>7711</v>
      </c>
    </row>
    <row r="327" spans="1:2" ht="15" customHeight="1">
      <c r="A327" s="7" t="s">
        <v>7712</v>
      </c>
      <c r="B327" s="5" t="s">
        <v>7713</v>
      </c>
    </row>
    <row r="328" spans="1:2" ht="15" customHeight="1">
      <c r="A328" s="7" t="s">
        <v>831</v>
      </c>
      <c r="B328" s="5" t="s">
        <v>7714</v>
      </c>
    </row>
    <row r="329" spans="1:2" ht="15" customHeight="1">
      <c r="A329" s="7" t="s">
        <v>7715</v>
      </c>
      <c r="B329" s="5" t="s">
        <v>7716</v>
      </c>
    </row>
    <row r="330" spans="1:2" ht="15" customHeight="1">
      <c r="A330" s="7" t="s">
        <v>7717</v>
      </c>
      <c r="B330" s="5" t="s">
        <v>835</v>
      </c>
    </row>
    <row r="331" spans="1:2" ht="15" customHeight="1">
      <c r="A331" s="7" t="s">
        <v>874</v>
      </c>
      <c r="B331" s="5" t="s">
        <v>7164</v>
      </c>
    </row>
    <row r="332" spans="1:2" ht="15" customHeight="1">
      <c r="A332" s="7" t="s">
        <v>7718</v>
      </c>
      <c r="B332" s="5" t="s">
        <v>7719</v>
      </c>
    </row>
    <row r="333" spans="1:2" ht="15" customHeight="1">
      <c r="A333" s="7" t="s">
        <v>7720</v>
      </c>
      <c r="B333" s="5" t="s">
        <v>7721</v>
      </c>
    </row>
    <row r="334" spans="1:2" ht="15" customHeight="1">
      <c r="A334" s="7" t="s">
        <v>1968</v>
      </c>
      <c r="B334" s="5" t="s">
        <v>7722</v>
      </c>
    </row>
    <row r="335" spans="1:2" ht="15" customHeight="1">
      <c r="A335" s="7" t="s">
        <v>7723</v>
      </c>
      <c r="B335" s="5" t="s">
        <v>7724</v>
      </c>
    </row>
    <row r="336" spans="1:2" ht="15" customHeight="1">
      <c r="A336" s="7" t="s">
        <v>7725</v>
      </c>
      <c r="B336" s="5" t="s">
        <v>7726</v>
      </c>
    </row>
    <row r="337" spans="1:2" ht="15" customHeight="1">
      <c r="A337" s="7" t="s">
        <v>7727</v>
      </c>
      <c r="B337" s="5" t="s">
        <v>7728</v>
      </c>
    </row>
    <row r="338" spans="1:2" ht="15" customHeight="1">
      <c r="A338" s="7" t="s">
        <v>7729</v>
      </c>
      <c r="B338" s="5" t="s">
        <v>7730</v>
      </c>
    </row>
    <row r="339" spans="1:2" ht="15" customHeight="1">
      <c r="A339" s="7" t="s">
        <v>6197</v>
      </c>
      <c r="B339" s="5" t="s">
        <v>7731</v>
      </c>
    </row>
    <row r="340" spans="1:2" ht="15" customHeight="1">
      <c r="A340" s="7" t="s">
        <v>7732</v>
      </c>
      <c r="B340" s="5" t="s">
        <v>7733</v>
      </c>
    </row>
    <row r="341" spans="1:2" ht="15" customHeight="1">
      <c r="A341" s="7" t="s">
        <v>7734</v>
      </c>
      <c r="B341" s="5" t="s">
        <v>7735</v>
      </c>
    </row>
    <row r="342" spans="1:2" ht="15" customHeight="1">
      <c r="A342" s="7" t="s">
        <v>7736</v>
      </c>
      <c r="B342" s="5" t="s">
        <v>7737</v>
      </c>
    </row>
    <row r="343" spans="1:2" ht="15" customHeight="1">
      <c r="A343" s="7" t="s">
        <v>7738</v>
      </c>
      <c r="B343" s="5" t="s">
        <v>7735</v>
      </c>
    </row>
    <row r="344" spans="1:2" ht="15" customHeight="1">
      <c r="A344" s="7" t="s">
        <v>7739</v>
      </c>
      <c r="B344" s="5" t="s">
        <v>7740</v>
      </c>
    </row>
    <row r="345" spans="1:2" ht="15" customHeight="1">
      <c r="A345" s="7" t="s">
        <v>6963</v>
      </c>
      <c r="B345" s="5" t="s">
        <v>6969</v>
      </c>
    </row>
    <row r="346" spans="1:2" ht="15" customHeight="1">
      <c r="A346" s="7" t="s">
        <v>7741</v>
      </c>
      <c r="B346" s="5" t="s">
        <v>7198</v>
      </c>
    </row>
    <row r="347" spans="1:2" ht="15" customHeight="1">
      <c r="A347" s="7" t="s">
        <v>7742</v>
      </c>
      <c r="B347" s="5" t="s">
        <v>7743</v>
      </c>
    </row>
    <row r="348" spans="1:2" ht="15" customHeight="1">
      <c r="A348" s="7" t="s">
        <v>7744</v>
      </c>
      <c r="B348" s="5" t="s">
        <v>7705</v>
      </c>
    </row>
    <row r="349" spans="1:2" ht="15" customHeight="1">
      <c r="A349" s="7" t="s">
        <v>7745</v>
      </c>
      <c r="B349" s="5" t="s">
        <v>7746</v>
      </c>
    </row>
    <row r="350" spans="1:2" ht="15" customHeight="1">
      <c r="A350" s="7" t="s">
        <v>7747</v>
      </c>
      <c r="B350" s="5" t="s">
        <v>7304</v>
      </c>
    </row>
    <row r="351" spans="1:2" ht="15" customHeight="1">
      <c r="A351" s="7" t="s">
        <v>7748</v>
      </c>
      <c r="B351" s="5" t="s">
        <v>7749</v>
      </c>
    </row>
    <row r="352" spans="1:2" ht="15" customHeight="1">
      <c r="A352" s="7" t="s">
        <v>7750</v>
      </c>
      <c r="B352" s="5" t="s">
        <v>7751</v>
      </c>
    </row>
    <row r="353" spans="1:2" ht="15" customHeight="1">
      <c r="A353" s="7" t="s">
        <v>7752</v>
      </c>
      <c r="B353" s="5" t="s">
        <v>7753</v>
      </c>
    </row>
    <row r="354" spans="1:2" ht="15" customHeight="1">
      <c r="A354" s="7" t="s">
        <v>7754</v>
      </c>
      <c r="B354" s="5" t="s">
        <v>7755</v>
      </c>
    </row>
    <row r="355" spans="1:2" ht="15" customHeight="1">
      <c r="A355" s="7" t="s">
        <v>7756</v>
      </c>
      <c r="B355" s="5" t="s">
        <v>7757</v>
      </c>
    </row>
    <row r="356" spans="1:2" ht="15" customHeight="1">
      <c r="A356" s="7" t="s">
        <v>7758</v>
      </c>
      <c r="B356" s="5" t="s">
        <v>7310</v>
      </c>
    </row>
    <row r="357" spans="1:2" ht="15" customHeight="1">
      <c r="A357" s="7" t="s">
        <v>7759</v>
      </c>
      <c r="B357" s="5" t="s">
        <v>7760</v>
      </c>
    </row>
    <row r="358" spans="1:2" ht="15" customHeight="1">
      <c r="A358" s="7" t="s">
        <v>7761</v>
      </c>
      <c r="B358" s="5" t="s">
        <v>7762</v>
      </c>
    </row>
    <row r="359" spans="1:2" ht="15" customHeight="1">
      <c r="A359" s="7" t="s">
        <v>7763</v>
      </c>
      <c r="B359" s="5" t="s">
        <v>7764</v>
      </c>
    </row>
    <row r="360" spans="1:2" ht="15" customHeight="1">
      <c r="A360" s="7" t="s">
        <v>7765</v>
      </c>
      <c r="B360" s="5" t="s">
        <v>2859</v>
      </c>
    </row>
    <row r="361" spans="1:2" ht="15" customHeight="1">
      <c r="A361" s="7" t="s">
        <v>715</v>
      </c>
      <c r="B361" s="5" t="s">
        <v>7766</v>
      </c>
    </row>
    <row r="362" spans="1:2" ht="15" customHeight="1">
      <c r="A362" s="7" t="s">
        <v>7767</v>
      </c>
      <c r="B362" s="5" t="s">
        <v>7768</v>
      </c>
    </row>
    <row r="363" spans="1:2" ht="15" customHeight="1">
      <c r="A363" s="7" t="s">
        <v>6297</v>
      </c>
      <c r="B363" s="5" t="s">
        <v>7769</v>
      </c>
    </row>
    <row r="364" spans="1:2" ht="15" customHeight="1">
      <c r="A364" s="7" t="s">
        <v>7770</v>
      </c>
      <c r="B364" s="5" t="s">
        <v>7771</v>
      </c>
    </row>
    <row r="365" spans="1:2" ht="15" customHeight="1">
      <c r="A365" s="7" t="s">
        <v>5979</v>
      </c>
      <c r="B365" s="5" t="s">
        <v>7772</v>
      </c>
    </row>
    <row r="366" spans="1:2" ht="15" customHeight="1">
      <c r="A366" s="7" t="s">
        <v>7773</v>
      </c>
      <c r="B366" s="5" t="s">
        <v>7774</v>
      </c>
    </row>
    <row r="367" spans="1:2" ht="15" customHeight="1">
      <c r="A367" s="7" t="s">
        <v>7775</v>
      </c>
      <c r="B367" s="5" t="s">
        <v>7776</v>
      </c>
    </row>
    <row r="368" spans="1:2" ht="15" customHeight="1">
      <c r="A368" s="7" t="s">
        <v>7777</v>
      </c>
      <c r="B368" s="5" t="s">
        <v>7778</v>
      </c>
    </row>
    <row r="369" spans="1:2" ht="15" customHeight="1">
      <c r="A369" s="7" t="s">
        <v>7779</v>
      </c>
      <c r="B369" s="5" t="s">
        <v>7780</v>
      </c>
    </row>
    <row r="370" spans="1:2" ht="15" customHeight="1">
      <c r="A370" s="7" t="s">
        <v>7781</v>
      </c>
      <c r="B370" s="5" t="s">
        <v>7782</v>
      </c>
    </row>
    <row r="371" spans="1:2" ht="15" customHeight="1">
      <c r="A371" s="7" t="s">
        <v>7783</v>
      </c>
      <c r="B371" s="5" t="s">
        <v>7784</v>
      </c>
    </row>
    <row r="372" spans="1:2" ht="15" customHeight="1">
      <c r="A372" s="7" t="s">
        <v>223</v>
      </c>
      <c r="B372" s="5" t="s">
        <v>7785</v>
      </c>
    </row>
    <row r="373" spans="1:2" ht="15" customHeight="1">
      <c r="A373" s="7" t="s">
        <v>7786</v>
      </c>
      <c r="B373" s="5" t="s">
        <v>7787</v>
      </c>
    </row>
    <row r="374" spans="1:2" ht="15" customHeight="1">
      <c r="A374" s="7" t="s">
        <v>7788</v>
      </c>
      <c r="B374" s="5" t="s">
        <v>7512</v>
      </c>
    </row>
    <row r="375" spans="1:2" ht="15" customHeight="1">
      <c r="A375" s="7" t="s">
        <v>6010</v>
      </c>
      <c r="B375" s="5" t="s">
        <v>7262</v>
      </c>
    </row>
    <row r="376" spans="1:2" ht="15" customHeight="1">
      <c r="A376" s="7" t="s">
        <v>7789</v>
      </c>
      <c r="B376" s="5" t="s">
        <v>7790</v>
      </c>
    </row>
    <row r="377" spans="1:2" ht="15" customHeight="1">
      <c r="A377" s="7" t="s">
        <v>7791</v>
      </c>
      <c r="B377" s="5" t="s">
        <v>7550</v>
      </c>
    </row>
    <row r="378" spans="1:2" ht="15" customHeight="1">
      <c r="A378" s="7" t="s">
        <v>7792</v>
      </c>
      <c r="B378" s="5" t="s">
        <v>7793</v>
      </c>
    </row>
    <row r="379" spans="1:2" ht="15" customHeight="1">
      <c r="A379" s="7" t="s">
        <v>7794</v>
      </c>
      <c r="B379" s="5" t="s">
        <v>7795</v>
      </c>
    </row>
    <row r="380" spans="1:2" ht="15" customHeight="1">
      <c r="A380" s="7" t="s">
        <v>7796</v>
      </c>
      <c r="B380" s="5" t="s">
        <v>7505</v>
      </c>
    </row>
    <row r="381" spans="1:2" ht="15" customHeight="1">
      <c r="A381" s="7" t="s">
        <v>7797</v>
      </c>
      <c r="B381" s="5" t="s">
        <v>7798</v>
      </c>
    </row>
    <row r="382" spans="1:2" ht="15" customHeight="1">
      <c r="A382" s="7" t="s">
        <v>6288</v>
      </c>
      <c r="B382" s="5" t="s">
        <v>7799</v>
      </c>
    </row>
    <row r="383" spans="1:2" ht="15" customHeight="1">
      <c r="A383" s="7" t="s">
        <v>7800</v>
      </c>
      <c r="B383" s="5" t="s">
        <v>7505</v>
      </c>
    </row>
    <row r="384" spans="1:2" ht="15" customHeight="1">
      <c r="A384" s="7" t="s">
        <v>451</v>
      </c>
      <c r="B384" s="5" t="s">
        <v>7801</v>
      </c>
    </row>
    <row r="385" spans="1:2" ht="15" customHeight="1">
      <c r="A385" s="7" t="s">
        <v>7802</v>
      </c>
      <c r="B385" s="5" t="s">
        <v>7198</v>
      </c>
    </row>
    <row r="386" spans="1:2" ht="15" customHeight="1">
      <c r="A386" s="7" t="s">
        <v>7803</v>
      </c>
      <c r="B386" s="5" t="s">
        <v>7804</v>
      </c>
    </row>
    <row r="387" spans="1:2" ht="15" customHeight="1">
      <c r="A387" s="7" t="s">
        <v>133</v>
      </c>
      <c r="B387" s="5" t="s">
        <v>7130</v>
      </c>
    </row>
    <row r="388" spans="1:2" ht="15" customHeight="1">
      <c r="A388" s="7" t="s">
        <v>540</v>
      </c>
      <c r="B388" s="5" t="s">
        <v>7150</v>
      </c>
    </row>
    <row r="389" spans="1:2" ht="15" customHeight="1">
      <c r="A389" s="7" t="s">
        <v>305</v>
      </c>
      <c r="B389" s="5" t="s">
        <v>7805</v>
      </c>
    </row>
    <row r="390" spans="1:2" ht="15" customHeight="1">
      <c r="A390" s="7" t="s">
        <v>320</v>
      </c>
      <c r="B390" s="5" t="s">
        <v>7133</v>
      </c>
    </row>
    <row r="391" spans="1:2" ht="15" customHeight="1">
      <c r="A391" s="7" t="s">
        <v>7806</v>
      </c>
      <c r="B391" s="5" t="s">
        <v>7807</v>
      </c>
    </row>
    <row r="392" spans="1:2" ht="15" customHeight="1">
      <c r="A392" s="7" t="s">
        <v>3253</v>
      </c>
      <c r="B392" s="5" t="s">
        <v>7137</v>
      </c>
    </row>
    <row r="393" spans="1:2" ht="15" customHeight="1">
      <c r="A393" s="7" t="s">
        <v>338</v>
      </c>
      <c r="B393" s="5" t="s">
        <v>7144</v>
      </c>
    </row>
    <row r="394" spans="1:2" ht="15" customHeight="1">
      <c r="A394" s="7" t="s">
        <v>774</v>
      </c>
      <c r="B394" s="5" t="s">
        <v>7141</v>
      </c>
    </row>
    <row r="395" spans="1:2" ht="15" customHeight="1">
      <c r="A395" s="7" t="s">
        <v>633</v>
      </c>
      <c r="B395" s="5" t="s">
        <v>7138</v>
      </c>
    </row>
    <row r="396" spans="1:2" ht="15" customHeight="1">
      <c r="A396" s="7" t="s">
        <v>7808</v>
      </c>
      <c r="B396" s="5" t="s">
        <v>7809</v>
      </c>
    </row>
    <row r="397" spans="1:2" ht="15" customHeight="1">
      <c r="A397" s="7" t="s">
        <v>1244</v>
      </c>
      <c r="B397" s="5" t="s">
        <v>7149</v>
      </c>
    </row>
    <row r="398" spans="1:2" ht="15" customHeight="1">
      <c r="A398" s="7" t="s">
        <v>1524</v>
      </c>
      <c r="B398" s="5" t="s">
        <v>7810</v>
      </c>
    </row>
    <row r="399" spans="1:2" ht="15" customHeight="1">
      <c r="A399" s="7" t="s">
        <v>5751</v>
      </c>
      <c r="B399" s="5" t="s">
        <v>7161</v>
      </c>
    </row>
    <row r="400" spans="1:2" ht="15" customHeight="1">
      <c r="A400" s="7" t="s">
        <v>1672</v>
      </c>
      <c r="B400" s="5" t="s">
        <v>7811</v>
      </c>
    </row>
    <row r="401" spans="1:2" ht="15" customHeight="1">
      <c r="A401" s="7" t="s">
        <v>1581</v>
      </c>
      <c r="B401" s="5" t="s">
        <v>7812</v>
      </c>
    </row>
    <row r="402" spans="1:2" ht="15" customHeight="1">
      <c r="A402" s="7" t="s">
        <v>7813</v>
      </c>
      <c r="B402" s="5" t="s">
        <v>7814</v>
      </c>
    </row>
    <row r="403" spans="1:2" ht="15" customHeight="1">
      <c r="A403" s="7" t="s">
        <v>7815</v>
      </c>
      <c r="B403" s="5" t="s">
        <v>7816</v>
      </c>
    </row>
    <row r="404" spans="1:2" ht="15" customHeight="1">
      <c r="A404" s="7" t="s">
        <v>7817</v>
      </c>
      <c r="B404" s="5" t="s">
        <v>7818</v>
      </c>
    </row>
    <row r="405" spans="1:2" ht="15" customHeight="1">
      <c r="A405" s="7" t="s">
        <v>7819</v>
      </c>
      <c r="B405" s="5" t="s">
        <v>7820</v>
      </c>
    </row>
    <row r="406" spans="1:2" ht="15" customHeight="1">
      <c r="A406" s="7" t="s">
        <v>7821</v>
      </c>
      <c r="B406" s="5" t="s">
        <v>7822</v>
      </c>
    </row>
    <row r="407" spans="1:2" ht="15" customHeight="1">
      <c r="A407" s="7" t="s">
        <v>7823</v>
      </c>
      <c r="B407" s="5" t="s">
        <v>7824</v>
      </c>
    </row>
    <row r="408" spans="1:2" ht="15" customHeight="1">
      <c r="A408" s="7" t="s">
        <v>7825</v>
      </c>
      <c r="B408" s="5" t="s">
        <v>7689</v>
      </c>
    </row>
    <row r="409" spans="1:2" ht="15" customHeight="1">
      <c r="A409" s="7" t="s">
        <v>7826</v>
      </c>
      <c r="B409" s="5" t="s">
        <v>7827</v>
      </c>
    </row>
    <row r="410" spans="1:2" ht="15" customHeight="1">
      <c r="A410" s="7" t="s">
        <v>7828</v>
      </c>
      <c r="B410" s="5" t="s">
        <v>7829</v>
      </c>
    </row>
    <row r="411" spans="1:2" ht="15" customHeight="1">
      <c r="A411" s="7" t="s">
        <v>6476</v>
      </c>
      <c r="B411" s="5" t="s">
        <v>7830</v>
      </c>
    </row>
    <row r="412" spans="1:2" ht="15" customHeight="1">
      <c r="A412" s="7" t="s">
        <v>7831</v>
      </c>
      <c r="B412" s="5" t="s">
        <v>7832</v>
      </c>
    </row>
    <row r="413" spans="1:2" ht="15" customHeight="1">
      <c r="A413" s="7" t="s">
        <v>7833</v>
      </c>
      <c r="B413" s="5" t="s">
        <v>7834</v>
      </c>
    </row>
    <row r="414" spans="1:2" ht="15" customHeight="1">
      <c r="A414" s="7" t="s">
        <v>7835</v>
      </c>
      <c r="B414" s="5" t="s">
        <v>7836</v>
      </c>
    </row>
    <row r="415" spans="1:2" ht="15" customHeight="1">
      <c r="A415" s="7" t="s">
        <v>474</v>
      </c>
      <c r="B415" s="5" t="s">
        <v>7837</v>
      </c>
    </row>
    <row r="416" spans="1:2" ht="15" customHeight="1">
      <c r="A416" s="7" t="s">
        <v>110</v>
      </c>
      <c r="B416" s="5" t="s">
        <v>7838</v>
      </c>
    </row>
    <row r="417" spans="1:2" ht="15" customHeight="1">
      <c r="A417" s="7" t="s">
        <v>7839</v>
      </c>
      <c r="B417" s="5" t="s">
        <v>7840</v>
      </c>
    </row>
    <row r="418" spans="1:2" ht="15" customHeight="1">
      <c r="A418" s="7" t="s">
        <v>7841</v>
      </c>
      <c r="B418" s="5" t="s">
        <v>7842</v>
      </c>
    </row>
    <row r="419" spans="1:2" ht="15" customHeight="1">
      <c r="A419" s="7" t="s">
        <v>7843</v>
      </c>
      <c r="B419" s="5" t="s">
        <v>7844</v>
      </c>
    </row>
    <row r="420" spans="1:2" ht="15" customHeight="1">
      <c r="A420" s="7" t="s">
        <v>7845</v>
      </c>
      <c r="B420" s="5" t="s">
        <v>7846</v>
      </c>
    </row>
    <row r="421" spans="1:2" ht="15" customHeight="1">
      <c r="A421" s="7" t="s">
        <v>7847</v>
      </c>
      <c r="B421" s="5" t="s">
        <v>7848</v>
      </c>
    </row>
    <row r="422" spans="1:2" ht="15" customHeight="1">
      <c r="A422" s="7" t="s">
        <v>92</v>
      </c>
      <c r="B422" s="5" t="s">
        <v>7816</v>
      </c>
    </row>
    <row r="423" spans="1:2" ht="15" customHeight="1">
      <c r="A423" s="7" t="s">
        <v>7849</v>
      </c>
      <c r="B423" s="5" t="s">
        <v>7850</v>
      </c>
    </row>
    <row r="424" spans="1:2" ht="15" customHeight="1">
      <c r="A424" s="7" t="s">
        <v>4301</v>
      </c>
      <c r="B424" s="5" t="s">
        <v>7851</v>
      </c>
    </row>
    <row r="425" spans="1:2" ht="15" customHeight="1">
      <c r="A425" s="7" t="s">
        <v>4182</v>
      </c>
      <c r="B425" s="5" t="s">
        <v>7852</v>
      </c>
    </row>
    <row r="426" spans="1:2" ht="15" customHeight="1">
      <c r="A426" s="7" t="s">
        <v>7853</v>
      </c>
      <c r="B426" s="5" t="s">
        <v>7854</v>
      </c>
    </row>
    <row r="427" spans="1:2" ht="15" customHeight="1">
      <c r="A427" s="7" t="s">
        <v>7855</v>
      </c>
      <c r="B427" s="5" t="s">
        <v>7856</v>
      </c>
    </row>
    <row r="428" spans="1:2" ht="15" customHeight="1">
      <c r="A428" s="7" t="s">
        <v>7857</v>
      </c>
      <c r="B428" s="5" t="s">
        <v>7858</v>
      </c>
    </row>
    <row r="429" spans="1:2" ht="15" customHeight="1">
      <c r="A429" s="7" t="s">
        <v>7859</v>
      </c>
      <c r="B429" s="5" t="s">
        <v>7860</v>
      </c>
    </row>
    <row r="430" spans="1:2" ht="15" customHeight="1">
      <c r="A430" s="7" t="s">
        <v>7861</v>
      </c>
      <c r="B430" s="5" t="s">
        <v>7862</v>
      </c>
    </row>
    <row r="431" spans="1:2" ht="15" customHeight="1">
      <c r="A431" s="7" t="s">
        <v>747</v>
      </c>
      <c r="B431" s="5" t="s">
        <v>7863</v>
      </c>
    </row>
    <row r="432" spans="1:2" ht="15" customHeight="1">
      <c r="A432" s="7" t="s">
        <v>7864</v>
      </c>
      <c r="B432" s="5" t="s">
        <v>7865</v>
      </c>
    </row>
    <row r="433" spans="1:2" ht="15" customHeight="1">
      <c r="A433" s="7" t="s">
        <v>5866</v>
      </c>
      <c r="B433" s="5" t="s">
        <v>7866</v>
      </c>
    </row>
    <row r="434" spans="1:2" ht="15" customHeight="1">
      <c r="A434" s="7" t="s">
        <v>7867</v>
      </c>
      <c r="B434" s="5" t="s">
        <v>7868</v>
      </c>
    </row>
    <row r="435" spans="1:2" ht="15" customHeight="1">
      <c r="A435" s="7" t="s">
        <v>1957</v>
      </c>
      <c r="B435" s="5" t="s">
        <v>7869</v>
      </c>
    </row>
    <row r="436" spans="1:2" ht="15" customHeight="1">
      <c r="A436" s="7" t="s">
        <v>575</v>
      </c>
      <c r="B436" s="5" t="s">
        <v>7870</v>
      </c>
    </row>
    <row r="437" spans="1:2" ht="15" customHeight="1">
      <c r="A437" s="7" t="s">
        <v>7871</v>
      </c>
      <c r="B437" s="5" t="s">
        <v>7872</v>
      </c>
    </row>
    <row r="438" spans="1:2" ht="15" customHeight="1">
      <c r="A438" s="7" t="s">
        <v>7873</v>
      </c>
      <c r="B438" s="5" t="s">
        <v>7874</v>
      </c>
    </row>
    <row r="439" spans="1:2" ht="15" customHeight="1">
      <c r="A439" s="7" t="s">
        <v>7875</v>
      </c>
      <c r="B439" s="5" t="s">
        <v>7876</v>
      </c>
    </row>
    <row r="440" spans="1:2" ht="15" customHeight="1">
      <c r="A440" s="7" t="s">
        <v>579</v>
      </c>
      <c r="B440" s="5" t="s">
        <v>7877</v>
      </c>
    </row>
    <row r="441" spans="1:2" ht="15" customHeight="1">
      <c r="A441" s="7" t="s">
        <v>7878</v>
      </c>
      <c r="B441" s="5" t="s">
        <v>7879</v>
      </c>
    </row>
    <row r="442" spans="1:2" ht="15" customHeight="1">
      <c r="A442" s="7" t="s">
        <v>7880</v>
      </c>
      <c r="B442" s="5" t="s">
        <v>7881</v>
      </c>
    </row>
    <row r="443" spans="1:2" ht="15" customHeight="1">
      <c r="A443" s="7" t="s">
        <v>7882</v>
      </c>
      <c r="B443" s="5" t="s">
        <v>7883</v>
      </c>
    </row>
    <row r="444" spans="1:2" ht="15" customHeight="1">
      <c r="A444" s="7" t="s">
        <v>7884</v>
      </c>
      <c r="B444" s="5" t="s">
        <v>7885</v>
      </c>
    </row>
    <row r="445" spans="1:2" ht="15" customHeight="1">
      <c r="A445" s="7" t="s">
        <v>7886</v>
      </c>
      <c r="B445" s="5" t="s">
        <v>7887</v>
      </c>
    </row>
    <row r="446" spans="1:2" ht="15" customHeight="1">
      <c r="A446" s="7" t="s">
        <v>7888</v>
      </c>
      <c r="B446" s="5" t="s">
        <v>7889</v>
      </c>
    </row>
    <row r="447" spans="1:2" ht="15" customHeight="1">
      <c r="A447" s="7" t="s">
        <v>7890</v>
      </c>
      <c r="B447" s="5" t="s">
        <v>7891</v>
      </c>
    </row>
    <row r="448" spans="1:2" ht="15" customHeight="1">
      <c r="A448" s="7" t="s">
        <v>7892</v>
      </c>
      <c r="B448" s="5" t="s">
        <v>7893</v>
      </c>
    </row>
    <row r="449" spans="1:2" ht="15" customHeight="1">
      <c r="A449" s="7" t="s">
        <v>761</v>
      </c>
      <c r="B449" s="5" t="s">
        <v>7894</v>
      </c>
    </row>
    <row r="450" spans="1:2" ht="15" customHeight="1">
      <c r="A450" s="7" t="s">
        <v>7895</v>
      </c>
      <c r="B450" s="5" t="s">
        <v>7896</v>
      </c>
    </row>
    <row r="451" spans="1:2" ht="15" customHeight="1">
      <c r="A451" s="7" t="s">
        <v>3827</v>
      </c>
      <c r="B451" s="5" t="s">
        <v>7897</v>
      </c>
    </row>
    <row r="452" spans="1:2" ht="15" customHeight="1">
      <c r="A452" s="7" t="s">
        <v>7898</v>
      </c>
      <c r="B452" s="5" t="s">
        <v>7899</v>
      </c>
    </row>
    <row r="453" spans="1:2" ht="15" customHeight="1">
      <c r="A453" s="7" t="s">
        <v>7900</v>
      </c>
      <c r="B453" s="5" t="s">
        <v>7901</v>
      </c>
    </row>
    <row r="454" spans="1:2" ht="15" customHeight="1">
      <c r="A454" s="7" t="s">
        <v>7902</v>
      </c>
      <c r="B454" s="5" t="s">
        <v>7903</v>
      </c>
    </row>
    <row r="455" spans="1:2" ht="15" customHeight="1">
      <c r="A455" s="7" t="s">
        <v>7904</v>
      </c>
      <c r="B455" s="5" t="s">
        <v>7905</v>
      </c>
    </row>
    <row r="456" spans="1:2" ht="15" customHeight="1">
      <c r="A456" s="7" t="s">
        <v>7906</v>
      </c>
      <c r="B456" s="5" t="s">
        <v>7907</v>
      </c>
    </row>
    <row r="457" spans="1:2" ht="15" customHeight="1">
      <c r="A457" s="7" t="s">
        <v>7908</v>
      </c>
      <c r="B457" s="5" t="s">
        <v>7176</v>
      </c>
    </row>
    <row r="458" spans="1:2" ht="15" customHeight="1">
      <c r="A458" s="7" t="s">
        <v>7909</v>
      </c>
      <c r="B458" s="5" t="s">
        <v>7910</v>
      </c>
    </row>
    <row r="459" spans="1:2" ht="15" customHeight="1">
      <c r="A459" s="7" t="s">
        <v>7911</v>
      </c>
      <c r="B459" s="5" t="s">
        <v>7912</v>
      </c>
    </row>
    <row r="460" spans="1:2" ht="15" customHeight="1">
      <c r="A460" s="7" t="s">
        <v>5702</v>
      </c>
      <c r="B460" s="5" t="s">
        <v>7913</v>
      </c>
    </row>
    <row r="461" spans="1:2" ht="15" customHeight="1">
      <c r="A461" s="7" t="s">
        <v>7914</v>
      </c>
      <c r="B461" s="5" t="s">
        <v>7915</v>
      </c>
    </row>
    <row r="462" spans="1:2" ht="15" customHeight="1">
      <c r="A462" s="7" t="s">
        <v>7916</v>
      </c>
      <c r="B462" s="5" t="s">
        <v>7917</v>
      </c>
    </row>
    <row r="463" spans="1:2" ht="15" customHeight="1">
      <c r="A463" s="7" t="s">
        <v>7918</v>
      </c>
      <c r="B463" s="5" t="s">
        <v>7810</v>
      </c>
    </row>
    <row r="464" spans="1:2" ht="15" customHeight="1">
      <c r="A464" s="7" t="s">
        <v>7919</v>
      </c>
      <c r="B464" s="5" t="s">
        <v>7920</v>
      </c>
    </row>
    <row r="465" spans="1:2" ht="15" customHeight="1">
      <c r="A465" s="7" t="s">
        <v>7921</v>
      </c>
      <c r="B465" s="5" t="s">
        <v>7922</v>
      </c>
    </row>
    <row r="466" spans="1:2" ht="15" customHeight="1">
      <c r="A466" s="7" t="s">
        <v>7923</v>
      </c>
      <c r="B466" s="5" t="s">
        <v>7924</v>
      </c>
    </row>
    <row r="467" spans="1:2" ht="15" customHeight="1">
      <c r="A467" s="7" t="s">
        <v>7925</v>
      </c>
      <c r="B467" s="5" t="s">
        <v>7926</v>
      </c>
    </row>
    <row r="468" spans="1:2" ht="15" customHeight="1">
      <c r="A468" s="7" t="s">
        <v>7927</v>
      </c>
      <c r="B468" s="5" t="s">
        <v>7928</v>
      </c>
    </row>
    <row r="469" spans="1:2" ht="15" customHeight="1">
      <c r="A469" s="7" t="s">
        <v>7929</v>
      </c>
      <c r="B469" s="5" t="s">
        <v>7930</v>
      </c>
    </row>
    <row r="470" spans="1:2" ht="15" customHeight="1">
      <c r="A470" s="7" t="s">
        <v>7931</v>
      </c>
      <c r="B470" s="5" t="s">
        <v>7932</v>
      </c>
    </row>
  </sheetData>
  <phoneticPr fontId="9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13</vt:i4>
      </vt:variant>
    </vt:vector>
  </HeadingPairs>
  <TitlesOfParts>
    <vt:vector size="13" baseType="lpstr">
      <vt:lpstr>시작하기 전에</vt:lpstr>
      <vt:lpstr>진행 현황</vt:lpstr>
      <vt:lpstr>화식열전</vt:lpstr>
      <vt:lpstr>도강록</vt:lpstr>
      <vt:lpstr>성경잡지</vt:lpstr>
      <vt:lpstr>일신수필</vt:lpstr>
      <vt:lpstr>관내정사</vt:lpstr>
      <vt:lpstr>옥갑야화</vt:lpstr>
      <vt:lpstr>행재잡록</vt:lpstr>
      <vt:lpstr>심세편</vt:lpstr>
      <vt:lpstr>코드 정의</vt:lpstr>
      <vt:lpstr>트리거 해설</vt:lpstr>
      <vt:lpstr>기본 의미 사전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</cp:lastModifiedBy>
  <cp:revision>0</cp:revision>
  <dcterms:created xsi:type="dcterms:W3CDTF">2026-08-03T15:58:20Z</dcterms:created>
  <dcterms:modified xsi:type="dcterms:W3CDTF">2026-08-09T21:47:47Z</dcterms:modified>
  <dc:language>en-US</dc:language>
</cp:coreProperties>
</file>