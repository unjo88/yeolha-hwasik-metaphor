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논문투고\문화융복합학회지\7월2일투고(9월발간)\수정후게재\업로드폴더\"/>
    </mc:Choice>
  </mc:AlternateContent>
  <xr:revisionPtr revIDLastSave="0" documentId="8_{B1309E33-07D9-446B-AEBF-9BB39D3CD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안내" sheetId="1" r:id="rId1"/>
    <sheet name="판정_217건" sheetId="2" r:id="rId2"/>
    <sheet name="판정_규모" sheetId="3" r:id="rId3"/>
    <sheet name="원천_분포" sheetId="4" r:id="rId4"/>
    <sheet name="목표_분포" sheetId="5" r:id="rId5"/>
    <sheet name="원천목표_교차" sheetId="6" r:id="rId6"/>
    <sheet name="대응쌍_12" sheetId="7" r:id="rId7"/>
    <sheet name="대응후보_전체" sheetId="8" r:id="rId8"/>
    <sheet name="반례_54" sheetId="9" r:id="rId9"/>
    <sheet name="감각성_지수" sheetId="10" r:id="rId10"/>
    <sheet name="어휘_목록" sheetId="11" r:id="rId11"/>
    <sheet name="A_B_경계_판정원칙" sheetId="12" r:id="rId12"/>
  </sheets>
  <definedNames>
    <definedName name="_xlnm._FilterDatabase" localSheetId="6" hidden="1">대응쌍_12!$A$3:$I$15</definedName>
    <definedName name="_xlnm._FilterDatabase" localSheetId="7" hidden="1">대응후보_전체!$A$3:$H$143</definedName>
    <definedName name="_xlnm._FilterDatabase" localSheetId="8" hidden="1">반례_54!$A$3:$G$57</definedName>
    <definedName name="_xlnm._FilterDatabase" localSheetId="10" hidden="1">어휘_목록!$A$3:$E$150</definedName>
    <definedName name="_xlnm._FilterDatabase" localSheetId="1" hidden="1">판정_217건!$A$3:$J$220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0" l="1"/>
  <c r="F12" i="10" s="1"/>
  <c r="D12" i="10"/>
  <c r="C12" i="10"/>
  <c r="F10" i="10"/>
  <c r="F9" i="10"/>
  <c r="F8" i="10"/>
  <c r="F7" i="10"/>
  <c r="F6" i="10"/>
  <c r="F5" i="10"/>
  <c r="F4" i="10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I8" i="6" s="1"/>
  <c r="H7" i="6"/>
  <c r="G7" i="6"/>
  <c r="F7" i="6"/>
  <c r="E7" i="6"/>
  <c r="D7" i="6"/>
  <c r="C7" i="6"/>
  <c r="B7" i="6"/>
  <c r="I7" i="6" s="1"/>
  <c r="H6" i="6"/>
  <c r="G6" i="6"/>
  <c r="F6" i="6"/>
  <c r="E6" i="6"/>
  <c r="D6" i="6"/>
  <c r="C6" i="6"/>
  <c r="B6" i="6"/>
  <c r="H5" i="6"/>
  <c r="G5" i="6"/>
  <c r="F5" i="6"/>
  <c r="E5" i="6"/>
  <c r="D5" i="6"/>
  <c r="C5" i="6"/>
  <c r="B5" i="6"/>
  <c r="H4" i="6"/>
  <c r="G4" i="6"/>
  <c r="F4" i="6"/>
  <c r="F10" i="6" s="1"/>
  <c r="E4" i="6"/>
  <c r="E10" i="6" s="1"/>
  <c r="D4" i="6"/>
  <c r="C4" i="6"/>
  <c r="B4" i="6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8" i="5"/>
  <c r="H8" i="5"/>
  <c r="G8" i="5"/>
  <c r="F8" i="5"/>
  <c r="E8" i="5"/>
  <c r="D8" i="5"/>
  <c r="C8" i="5"/>
  <c r="B8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I5" i="5"/>
  <c r="H5" i="5"/>
  <c r="G5" i="5"/>
  <c r="F5" i="5"/>
  <c r="E5" i="5"/>
  <c r="D5" i="5"/>
  <c r="C5" i="5"/>
  <c r="B5" i="5"/>
  <c r="I4" i="5"/>
  <c r="I11" i="5" s="1"/>
  <c r="H4" i="5"/>
  <c r="H11" i="5" s="1"/>
  <c r="G4" i="5"/>
  <c r="G11" i="5" s="1"/>
  <c r="F4" i="5"/>
  <c r="F11" i="5" s="1"/>
  <c r="E4" i="5"/>
  <c r="E11" i="5" s="1"/>
  <c r="D4" i="5"/>
  <c r="C4" i="5"/>
  <c r="C11" i="5" s="1"/>
  <c r="B4" i="5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I10" i="4" s="1"/>
  <c r="H4" i="4"/>
  <c r="H10" i="4" s="1"/>
  <c r="G4" i="4"/>
  <c r="F4" i="4"/>
  <c r="F10" i="4" s="1"/>
  <c r="E4" i="4"/>
  <c r="E10" i="4" s="1"/>
  <c r="D4" i="4"/>
  <c r="C4" i="4"/>
  <c r="B4" i="4"/>
  <c r="C12" i="3"/>
  <c r="E11" i="3"/>
  <c r="D11" i="3"/>
  <c r="F11" i="3" s="1"/>
  <c r="D10" i="3"/>
  <c r="F10" i="3" s="1"/>
  <c r="D9" i="3"/>
  <c r="F9" i="3" s="1"/>
  <c r="D8" i="3"/>
  <c r="E8" i="3" s="1"/>
  <c r="D7" i="3"/>
  <c r="E7" i="3" s="1"/>
  <c r="E6" i="3"/>
  <c r="D6" i="3"/>
  <c r="F6" i="3" s="1"/>
  <c r="D5" i="3"/>
  <c r="F5" i="3" s="1"/>
  <c r="D4" i="3"/>
  <c r="F4" i="3" s="1"/>
  <c r="G10" i="6" l="1"/>
  <c r="H10" i="6"/>
  <c r="I6" i="6"/>
  <c r="J4" i="4"/>
  <c r="J5" i="4"/>
  <c r="J6" i="4"/>
  <c r="J7" i="4"/>
  <c r="J8" i="4"/>
  <c r="J9" i="4"/>
  <c r="J4" i="5"/>
  <c r="J5" i="5"/>
  <c r="J6" i="5"/>
  <c r="J7" i="5"/>
  <c r="J8" i="5"/>
  <c r="J9" i="5"/>
  <c r="J10" i="5"/>
  <c r="I5" i="6"/>
  <c r="B10" i="6"/>
  <c r="G10" i="4"/>
  <c r="C10" i="4"/>
  <c r="E5" i="3"/>
  <c r="E10" i="3"/>
  <c r="D10" i="4"/>
  <c r="D11" i="5"/>
  <c r="C10" i="6"/>
  <c r="F7" i="3"/>
  <c r="D10" i="6"/>
  <c r="I9" i="6"/>
  <c r="F8" i="3"/>
  <c r="E9" i="3"/>
  <c r="E4" i="3"/>
  <c r="D12" i="3"/>
  <c r="F12" i="3" s="1"/>
  <c r="B10" i="4"/>
  <c r="B11" i="5"/>
  <c r="I4" i="6"/>
  <c r="J10" i="4" l="1"/>
  <c r="I10" i="6"/>
  <c r="J11" i="5"/>
  <c r="E12" i="3"/>
</calcChain>
</file>

<file path=xl/sharedStrings.xml><?xml version="1.0" encoding="utf-8"?>
<sst xmlns="http://schemas.openxmlformats.org/spreadsheetml/2006/main" count="3599" uniqueCount="939">
  <si>
    <t>연구자료 최종 공개본 안내</t>
  </si>
  <si>
    <t>용도</t>
  </si>
  <si>
    <t>GitHub 저장소 results/research_data.xlsx 로 추가 업로드할 최종 공개용 데이터 파일</t>
  </si>
  <si>
    <t>버전 정책</t>
  </si>
  <si>
    <t>기존 results/v1_research_data.xlsx 는 초기 제출본 보존용으로 유지하고, 이 파일을 results/research_data.xlsx 로 추가 업로드</t>
  </si>
  <si>
    <t>최종 판정</t>
  </si>
  <si>
    <t>8편 1,880절 중 은유 217건 확정</t>
  </si>
  <si>
    <t>원천 코드</t>
  </si>
  <si>
    <t>SD-1 자연·물질 / SD-2 신체·감각 / SD-3 공간·방위 / SD-4 사냥·전쟁 / SD-5 운동·시간 / SD-6 문화·제도</t>
  </si>
  <si>
    <t>목표 코드</t>
  </si>
  <si>
    <t>TD-1 축적·유통 / TD-2 권력·지배 / TD-3 인식·진위 / TD-4 도덕·책무 / TD-5 문명·제도 / TD-6 기타 / TD-7 경물·감각</t>
  </si>
  <si>
    <t>대응 후보군</t>
  </si>
  <si>
    <t>화식열전 TD-1 43건 + 열하일기 비-TD-1 97건</t>
  </si>
  <si>
    <t>반례</t>
  </si>
  <si>
    <t>열하일기 TD-1 54건</t>
  </si>
  <si>
    <t>감각성 지수</t>
  </si>
  <si>
    <t>A/(A+B)×100. 기술적 보조 지표로 한정하여 해석</t>
  </si>
  <si>
    <t>공개 저장소</t>
  </si>
  <si>
    <t>https://github.com/unjo88/yeolha-hwasik-metaphor</t>
  </si>
  <si>
    <t>재현 실행 환경</t>
  </si>
  <si>
    <t>https://yeolha-hwasik-metaphor-4vpvxmt9xbzie6mhsscmhj.streamlit.app</t>
  </si>
  <si>
    <t>작성 기준</t>
  </si>
  <si>
    <t>2026-08-09 대화에서 확정한 Ⅲ장·Ⅳ장 및 부록 수치에 맞춰 생성</t>
  </si>
  <si>
    <t>최종 은유 판정 217건</t>
  </si>
  <si>
    <t>ID</t>
  </si>
  <si>
    <t>텍스트</t>
  </si>
  <si>
    <t>절</t>
  </si>
  <si>
    <t>판정 대상 절/원문</t>
  </si>
  <si>
    <t>원천 영역</t>
  </si>
  <si>
    <t>목표 영역</t>
  </si>
  <si>
    <t>원천 어휘·설명</t>
  </si>
  <si>
    <t>목표 개념·설명</t>
  </si>
  <si>
    <t>판정 근거</t>
  </si>
  <si>
    <t>자료 추적</t>
  </si>
  <si>
    <t>화식열전</t>
  </si>
  <si>
    <t>1</t>
  </si>
  <si>
    <t>息之</t>
  </si>
  <si>
    <t>SD-1 자연·물질</t>
  </si>
  <si>
    <t>TD-1 축적·유통</t>
  </si>
  <si>
    <t>생명·번식</t>
  </si>
  <si>
    <t>자본·증식</t>
  </si>
  <si>
    <t>원천: 자연물·물질과 그 운동. 식물·생명은 자연물의 생장, 저울·직조·바퀴·기와는 물질적 도구와 그 작용 / 목표: 재화의 축적·유통과 경제 원리</t>
  </si>
  <si>
    <t>영역코드_표준화_완성본(1).xlsx</t>
  </si>
  <si>
    <t>漢興</t>
  </si>
  <si>
    <t>SD-2 신체·감각</t>
  </si>
  <si>
    <t>TD-2 권력·지배</t>
  </si>
  <si>
    <t>신체·기립</t>
  </si>
  <si>
    <t>국가·왕조</t>
  </si>
  <si>
    <t>원천: 신체 부위와 감각 작용. 빛·가시성은 시각 경험 / 목표: 정치 권력과 지배 관계</t>
  </si>
  <si>
    <t>2</t>
  </si>
  <si>
    <t>富相什則卑下之</t>
  </si>
  <si>
    <t>SD-3 공간·방위</t>
  </si>
  <si>
    <t>TD-4 도덕·책무</t>
  </si>
  <si>
    <t>공간·상하</t>
  </si>
  <si>
    <t>태도·사회관계</t>
  </si>
  <si>
    <t>원천: 상하·내외·통로 등 공간 배치 / 목표: 윤리 규범과 사회적 책임</t>
  </si>
  <si>
    <t>3</t>
  </si>
  <si>
    <t>而富者必用奇勝</t>
  </si>
  <si>
    <t>SD-4 사냥·전쟁</t>
  </si>
  <si>
    <t>전쟁·승리</t>
  </si>
  <si>
    <t>부·경영전략</t>
  </si>
  <si>
    <t>원천: 목표물을 두고 경쟁적으로 추격·획득하는 행위 / 목표: 부를 이루는 경영 전략과 경쟁 우위는 경제 축적 영역</t>
  </si>
  <si>
    <t>4</t>
  </si>
  <si>
    <t>商不出則三寶絕</t>
  </si>
  <si>
    <t>끈·연결</t>
  </si>
  <si>
    <t>경제·공급</t>
  </si>
  <si>
    <t>弛山澤之禁</t>
  </si>
  <si>
    <t>끈·긴장</t>
  </si>
  <si>
    <t>법·규제</t>
  </si>
  <si>
    <t>원천: 자연물·물질과 그 운동. 식물·생명은 자연물의 생장, 저울·직조·바퀴·기와는 물질적 도구와 그 작용 / 목표: 정치 권력과 지배 관계</t>
  </si>
  <si>
    <t>禮生於有而廢於無</t>
  </si>
  <si>
    <t>생명·성장</t>
  </si>
  <si>
    <t>예의·도덕</t>
  </si>
  <si>
    <t>원천: 자연물·물질과 그 운동. 식물·생명은 자연물의 생장, 저울·직조·바퀴·기와는 물질적 도구와 그 작용 / 목표: 윤리 규범과 사회적 책임</t>
  </si>
  <si>
    <t>與時俯仰</t>
  </si>
  <si>
    <t>신체·자세</t>
  </si>
  <si>
    <t>시장 대응·처세</t>
  </si>
  <si>
    <t>원천: 신체 부위와 감각 작용. 빛·가시성은 시각 경험 / 목표: 재화의 축적·유통과 경제 원리</t>
  </si>
  <si>
    <t>5</t>
  </si>
  <si>
    <t>歸於富厚</t>
  </si>
  <si>
    <t>SD-5 운동·시간</t>
  </si>
  <si>
    <t>이동·귀환</t>
  </si>
  <si>
    <t>경제·결과</t>
  </si>
  <si>
    <t>원천: 이동·방향·시간의 경과 / 목표: 재화의 축적·유통과 경제 원리</t>
  </si>
  <si>
    <t>自虞夏之貢以為上田</t>
  </si>
  <si>
    <t>TD-5 문명·제도</t>
  </si>
  <si>
    <t>토지·등급</t>
  </si>
  <si>
    <t>원천: 상하·내외·통로 등 공간 배치 / 목표: 문명의 상태와 제도·관습</t>
  </si>
  <si>
    <t>6</t>
  </si>
  <si>
    <t>交易之物莫不通</t>
  </si>
  <si>
    <t>공간·통로</t>
  </si>
  <si>
    <t>경제·유통</t>
  </si>
  <si>
    <t>원천: 상하·내외·통로 등 공간 배치 / 목표: 재화의 축적·유통과 경제 원리</t>
  </si>
  <si>
    <t>以末致</t>
  </si>
  <si>
    <t>식물·가지</t>
  </si>
  <si>
    <t>상업·산업구조</t>
  </si>
  <si>
    <t>使之逐漁鹽商賈之利</t>
  </si>
  <si>
    <t>추격·사냥</t>
  </si>
  <si>
    <t>욕망·경제행동</t>
  </si>
  <si>
    <t>원천: 목표물을 두고 경쟁적으로 추격·획득하는 행위 / 목표: 재화의 축적·유통과 경제 원리</t>
  </si>
  <si>
    <t>好行其德</t>
  </si>
  <si>
    <t>이동·행위</t>
  </si>
  <si>
    <t>도덕·실천</t>
  </si>
  <si>
    <t>원천: 이동·방향·시간의 경과 / 목표: 윤리 규범과 사회적 책임</t>
  </si>
  <si>
    <t>8</t>
  </si>
  <si>
    <t>用本守之</t>
  </si>
  <si>
    <t>식물·뿌리</t>
  </si>
  <si>
    <t>농업·산업구조</t>
  </si>
  <si>
    <t>9</t>
  </si>
  <si>
    <t>廉賈歸富</t>
  </si>
  <si>
    <t>而豪傑金玉盡歸任氏</t>
  </si>
  <si>
    <t>소유·경제</t>
  </si>
  <si>
    <t>齎貸子錢</t>
  </si>
  <si>
    <t>생명·자식</t>
  </si>
  <si>
    <t>이자·자본증식</t>
  </si>
  <si>
    <t>10</t>
  </si>
  <si>
    <t>任氏以此起富</t>
  </si>
  <si>
    <t>부·경제성장</t>
  </si>
  <si>
    <t>11</t>
  </si>
  <si>
    <t>原小則鮮</t>
  </si>
  <si>
    <t>물·발원지</t>
  </si>
  <si>
    <t>경제·자본</t>
  </si>
  <si>
    <t>山深而獸往之</t>
  </si>
  <si>
    <t>자연·공간</t>
  </si>
  <si>
    <t>부·도덕조건</t>
  </si>
  <si>
    <t>魯以其故多去文學而趨利者</t>
  </si>
  <si>
    <t>달리기·방향이동</t>
  </si>
  <si>
    <t>12</t>
  </si>
  <si>
    <t>上則富國</t>
  </si>
  <si>
    <t>국가·사회층위</t>
  </si>
  <si>
    <t>원천: 상하·내외·통로 등 공간 배치 / 목표: 정치 권력과 지배 관계</t>
  </si>
  <si>
    <t>人富而仁義附焉</t>
  </si>
  <si>
    <t>자석·부착</t>
  </si>
  <si>
    <t>도덕·사회관계</t>
  </si>
  <si>
    <t>故其俗纖儉習事</t>
  </si>
  <si>
    <t>실·가늘기</t>
  </si>
  <si>
    <t>풍속·성향</t>
  </si>
  <si>
    <t>원천: 자연물·물질과 그 운동. 식물·생명은 자연물의 생장, 저울·직조·바퀴·기와는 물질적 도구와 그 작용 / 목표: 문명의 상태와 제도·관습</t>
  </si>
  <si>
    <t>而任氏折節為儉</t>
  </si>
  <si>
    <t>식물·마디 꺾기</t>
  </si>
  <si>
    <t>태도·생활방식</t>
  </si>
  <si>
    <t>13</t>
  </si>
  <si>
    <t>下則富家</t>
  </si>
  <si>
    <t>가정·사회층위</t>
  </si>
  <si>
    <t>원천: 상하·내외·통로 등 공간 배치 / 목표: 가정과 사회적 층위는 제도화된 사회 조직의 범주로 분류</t>
  </si>
  <si>
    <t>14</t>
  </si>
  <si>
    <t>其次利道之</t>
  </si>
  <si>
    <t>공간·길</t>
  </si>
  <si>
    <t>정치·통치</t>
  </si>
  <si>
    <t>15</t>
  </si>
  <si>
    <t>之道</t>
  </si>
  <si>
    <t>경제·원리</t>
  </si>
  <si>
    <t>其息什之</t>
  </si>
  <si>
    <t>名布揚於天下者</t>
  </si>
  <si>
    <t>공간·확산</t>
  </si>
  <si>
    <t>명성·사회평가</t>
  </si>
  <si>
    <t>地重</t>
  </si>
  <si>
    <t>물질·무게</t>
  </si>
  <si>
    <t>지역 성향·기질</t>
  </si>
  <si>
    <t>為權利以</t>
  </si>
  <si>
    <t>저울·계량</t>
  </si>
  <si>
    <t>이익·판단</t>
  </si>
  <si>
    <t>17</t>
  </si>
  <si>
    <t>大者傾郡</t>
  </si>
  <si>
    <t>기울기·전도</t>
  </si>
  <si>
    <t>부·사회권력</t>
  </si>
  <si>
    <t>素封</t>
  </si>
  <si>
    <t>SD-6 문화·제도</t>
  </si>
  <si>
    <t>봉건·작위</t>
  </si>
  <si>
    <t>부·사회지위</t>
  </si>
  <si>
    <t>원천: 신분 제도·법제 등 인공적 산물 / 목표: 문명의 상태와 제도·관습</t>
  </si>
  <si>
    <t>與時逐而不責於人</t>
  </si>
  <si>
    <t>시장·시세대응</t>
  </si>
  <si>
    <t>18</t>
  </si>
  <si>
    <t>通魚鹽之貨</t>
  </si>
  <si>
    <t>19</t>
  </si>
  <si>
    <t>物之理</t>
  </si>
  <si>
    <t>물질·결</t>
  </si>
  <si>
    <t>사물·경제원리</t>
  </si>
  <si>
    <t>23</t>
  </si>
  <si>
    <t>此所謂富好行其德者也</t>
  </si>
  <si>
    <t>24</t>
  </si>
  <si>
    <t>率亦歲萬息二千</t>
  </si>
  <si>
    <t>26</t>
  </si>
  <si>
    <t>九十病末</t>
  </si>
  <si>
    <t>식물·가지 / 신체·질병</t>
  </si>
  <si>
    <t>상업·경제상태</t>
  </si>
  <si>
    <t>27</t>
  </si>
  <si>
    <t>末病則財不出</t>
  </si>
  <si>
    <t>신체·질병</t>
  </si>
  <si>
    <t>28</t>
  </si>
  <si>
    <t>名顯天下</t>
  </si>
  <si>
    <t>빛·가시성</t>
  </si>
  <si>
    <t>원천: 신체 부위와 감각 작용. 빛·가시성은 시각 경험 / 목표: 문명의 상태와 제도·관습</t>
  </si>
  <si>
    <t>欲長錢</t>
  </si>
  <si>
    <t>식물·성장</t>
  </si>
  <si>
    <t>화폐·증식</t>
  </si>
  <si>
    <t>農病則草不</t>
  </si>
  <si>
    <t>경제·생산</t>
  </si>
  <si>
    <t>31</t>
  </si>
  <si>
    <t>中國委輸時有奇羨</t>
  </si>
  <si>
    <t>물·넘침</t>
  </si>
  <si>
    <t>경제·잉여</t>
  </si>
  <si>
    <t>32</t>
  </si>
  <si>
    <t>則農末俱利</t>
  </si>
  <si>
    <t>34</t>
  </si>
  <si>
    <t>仰機利</t>
  </si>
  <si>
    <t>TD-6 기타</t>
  </si>
  <si>
    <t>신체·상하 시선</t>
  </si>
  <si>
    <t>기회·의존</t>
  </si>
  <si>
    <t>원천: 신체 부위와 감각 작용. 빛·가시성은 시각 경험 / 목표: 경제적 기회를 우러러 의존하는 태도</t>
  </si>
  <si>
    <t>富無經業</t>
  </si>
  <si>
    <t>직조·날실</t>
  </si>
  <si>
    <t>생업·규칙성</t>
  </si>
  <si>
    <t>36</t>
  </si>
  <si>
    <t>能者輻湊</t>
  </si>
  <si>
    <t>바퀴·집중</t>
  </si>
  <si>
    <t>부·집중</t>
  </si>
  <si>
    <t>원천: 자연물·물질과 그 운동. 식물·생명은 자연물의 생장, 저울·직조·바퀴·기와는 물질적 도구와 그 작용 / 목표: 유능한 자에게 부가 집중되는 경제적 집적</t>
  </si>
  <si>
    <t>37</t>
  </si>
  <si>
    <t>不肖者瓦解</t>
  </si>
  <si>
    <t>기와·붕괴</t>
  </si>
  <si>
    <t>부·해체</t>
  </si>
  <si>
    <t>원천: 자연물·물질과 그 운동. 식물·생명은 자연물의 생장, 저울·직조·바퀴·기와는 물질적 도구와 그 작용 / 목표: 무능한 자의 재산 기반이 해체되는 경제 상태</t>
  </si>
  <si>
    <t>38</t>
  </si>
  <si>
    <t>無息幣</t>
  </si>
  <si>
    <t>생명·휴식</t>
  </si>
  <si>
    <t>화폐·유통</t>
  </si>
  <si>
    <t>目挑心招</t>
  </si>
  <si>
    <t>신체·호출</t>
  </si>
  <si>
    <t>욕망·유혹</t>
  </si>
  <si>
    <t>원천: 신체 부위와 감각 작용. 빛·가시성은 시각 경험 / 목표: 욕망과 유혹은 현행 핵심 목표 범주 밖의 심리 영역</t>
  </si>
  <si>
    <t>39</t>
  </si>
  <si>
    <t>商而通之</t>
  </si>
  <si>
    <t>41</t>
  </si>
  <si>
    <t>猶伊尹</t>
  </si>
  <si>
    <t>정치·군사전략</t>
  </si>
  <si>
    <t>생업·경영</t>
  </si>
  <si>
    <t>42</t>
  </si>
  <si>
    <t>奔富厚也</t>
  </si>
  <si>
    <t>달리기·추격</t>
  </si>
  <si>
    <t>부·욕망</t>
  </si>
  <si>
    <t>원천: 목표물을 두고 경쟁적으로 추격·획득하는 행위 / 목표: 부를 향해 달려가는 추구 행위는 재화 축적의 목표</t>
  </si>
  <si>
    <t>43</t>
  </si>
  <si>
    <t>孫吳用兵</t>
  </si>
  <si>
    <t>군사·전략</t>
  </si>
  <si>
    <t>44</t>
  </si>
  <si>
    <t>商鞅行法是也</t>
  </si>
  <si>
    <t>법·통치</t>
  </si>
  <si>
    <t>원천: 신분 제도·법제 등 인공적 산물 / 목표: 재화의 축적·유통과 경제 원리</t>
  </si>
  <si>
    <t>47</t>
  </si>
  <si>
    <t>仰機利而食</t>
  </si>
  <si>
    <t>원천: 신체 부위와 감각 작용. 빛·가시성은 시각 경험 / 목표: 경제적 기회에 기대어 생계를 유지하는 의존 관계</t>
  </si>
  <si>
    <t>48</t>
  </si>
  <si>
    <t>賤取如珠玉</t>
  </si>
  <si>
    <t>보석·오물</t>
  </si>
  <si>
    <t>가격·가치판단</t>
  </si>
  <si>
    <t>49</t>
  </si>
  <si>
    <t>財幣欲其行如流水</t>
  </si>
  <si>
    <t>물·흐름</t>
  </si>
  <si>
    <t>52</t>
  </si>
  <si>
    <t>厚賂戰士</t>
  </si>
  <si>
    <t>물질·두께</t>
  </si>
  <si>
    <t>보상·정도</t>
  </si>
  <si>
    <t>75</t>
  </si>
  <si>
    <t>是故本富為上</t>
  </si>
  <si>
    <t>76</t>
  </si>
  <si>
    <t>末富次之</t>
  </si>
  <si>
    <t>78</t>
  </si>
  <si>
    <t>富最下</t>
  </si>
  <si>
    <t>경제활동·가치서열</t>
  </si>
  <si>
    <t>도강록</t>
  </si>
  <si>
    <t>吮朝鮮膏血</t>
  </si>
  <si>
    <t>吮膏血</t>
  </si>
  <si>
    <t>기름과 피를 빨아먹음이 재물 수탈로 옮겨감 앞뒤 문맥을 함께 보면 ‘吮朝鮮膏血’은 단순한 문자적 묘사에 그치</t>
  </si>
  <si>
    <t>대응쌍_후보표_선정완성본(1).xlsx / 후보표</t>
  </si>
  <si>
    <t>堆着笑臉</t>
  </si>
  <si>
    <t>TD-7 경물·감각</t>
  </si>
  <si>
    <t xml:space="preserve">쌓아 올림이 얼굴에 웃음을 띰으로 옮겨감 앞뒤 문맥을 함께 보면 ‘堆着笑臉’은 단순한 문자적 묘사에 그치지 </t>
  </si>
  <si>
    <t>大致富厚</t>
  </si>
  <si>
    <t>富厚</t>
  </si>
  <si>
    <t>두께가 재산의 두터움으로 옮겨감 앞뒤 문맥을 함께 보면 ‘大致富厚’은 단순한 문자적 묘사에 그치지 않고, ‘</t>
  </si>
  <si>
    <t>대응쌍_후보표_선정완성본(1).xlsx / 반례 목록</t>
  </si>
  <si>
    <t>斷膓淸南第一州</t>
  </si>
  <si>
    <t>斷膓</t>
  </si>
  <si>
    <t>창자가 끊어짐이 이별의 슬픔으로 옮겨감 앞뒤 문맥을 함께 보면 ‘斷膓淸南第一州’은 단순한 문자적 묘사에 그치</t>
  </si>
  <si>
    <t>高勾麗封域時有贏縮</t>
  </si>
  <si>
    <t>贏縮</t>
  </si>
  <si>
    <t>물체의 늘고 줆이 국경의 신축으로 옮겨감 앞뒤 문맥을 함께 보면 ‘高勾麗封域時有贏縮’은 단순한 문자적 묘사에</t>
  </si>
  <si>
    <t>其利殖之法</t>
  </si>
  <si>
    <t>利殖</t>
  </si>
  <si>
    <t xml:space="preserve">초목의 생장이 이자의 불어남으로 옮겨감 앞뒤 문맥을 함께 보면 ‘其利殖之法’은 단순한 문자적 묘사에 그치지 </t>
  </si>
  <si>
    <t>貿易諸貨爲奇羡</t>
  </si>
  <si>
    <t>奇羨</t>
  </si>
  <si>
    <t xml:space="preserve">물이 넘침이 무역의 이문으로 옮겨감 앞뒤 문맥을 함께 보면 ‘貿易諸貨爲奇羡’은 단순한 문자적 묘사에 그치지 </t>
  </si>
  <si>
    <t>舌本瀏利如誦熟文</t>
  </si>
  <si>
    <t>舌本瀏利</t>
  </si>
  <si>
    <t>혀뿌리의 매끄러움이 말솜씨로 옮겨감(직유) 앞뒤 문맥을 함께 보면 ‘舌本瀏利如誦熟文’은 단순한 문자적 묘사에</t>
  </si>
  <si>
    <t>一路上染得暑痢</t>
  </si>
  <si>
    <t>染</t>
  </si>
  <si>
    <t xml:space="preserve">천을 물들임이 병에 걸림으로 옮겨감 앞뒤 문맥을 함께 보면 ‘一路上染得暑痢’은 단순한 문자적 묘사에 그치지 </t>
  </si>
  <si>
    <t>汝復賣眼</t>
  </si>
  <si>
    <t>賣眼</t>
  </si>
  <si>
    <t xml:space="preserve">눈을 판다는 신체 표현이 묵인으로 옮겨감 앞뒤 문맥을 함께 보면 ‘汝復賣眼’은 단순한 문자적 묘사에 그치지 </t>
  </si>
  <si>
    <t>今日眞得了其債矣</t>
  </si>
  <si>
    <t>得了其債</t>
  </si>
  <si>
    <t>채무 관념이 유람의 숙원 해소로 옮겨감 앞뒤 문맥을 함께 보면 ‘今日眞得了其債矣’은 단순한 문자적 묘사에 그</t>
  </si>
  <si>
    <t>可謂太崇儉矣</t>
  </si>
  <si>
    <t>崇</t>
  </si>
  <si>
    <t xml:space="preserve">공간의 높음이 가치의 존숭으로 옮겨감 앞뒤 문맥을 함께 보면 ‘可謂太崇儉矣’은 단순한 문자적 묘사에 그치지 </t>
  </si>
  <si>
    <t>要索高價</t>
  </si>
  <si>
    <t>高價</t>
  </si>
  <si>
    <t>값의 크기를 공간의 높낮이로 나타냄 앞뒤 문맥을 함께 보면 ‘要索高價’은 단순한 문자적 묘사에 그치지 않고,</t>
  </si>
  <si>
    <t>繁華富麗</t>
  </si>
  <si>
    <t>繁華</t>
  </si>
  <si>
    <t>초목의 무성함과 꽃이 도시의 성황으로 옮겨감 앞뒤 문맥을 함께 보면 ‘繁華富麗’은 단순한 문자적 묘사에 그치</t>
  </si>
  <si>
    <t>盖康煕甚重稼穡制</t>
  </si>
  <si>
    <t>重</t>
  </si>
  <si>
    <t>물체의 무게를 정책적 중요도와 가치의 크기에 대응시켜 농업을 중시함을 나타낸다. 앞뒤 문맥을 함께 보면 ‘盖</t>
  </si>
  <si>
    <t>則烟桶爲虛位矣</t>
  </si>
  <si>
    <t>虛</t>
  </si>
  <si>
    <t xml:space="preserve">내용물이 없는 빈 공간을 기능과 역할이 없는 상태에 대응시킨다. 앞뒤 문맥을 함께 보면 ‘則烟桶爲虛位矣’은 </t>
  </si>
  <si>
    <t>息怒</t>
  </si>
  <si>
    <t>숨을 죽임이 감정의 진정으로 옮겨감 앞뒤 문맥을 함께 보면 ‘息怒’은 단순한 문자적 묘사에 그치지 않고, ‘</t>
  </si>
  <si>
    <t>及包外濫銀</t>
  </si>
  <si>
    <t>濫</t>
  </si>
  <si>
    <t xml:space="preserve">물이 넘침이 규정 초과의 은으로 옮겨감 앞뒤 문맥을 함께 보면 ‘及包外濫銀’은 단순한 문자적 묘사에 그치지 </t>
  </si>
  <si>
    <t>譯官失權於灣賈</t>
  </si>
  <si>
    <t>失權</t>
  </si>
  <si>
    <t xml:space="preserve">저울추가 상거래의 주도권으로 옮겨감 앞뒤 문맥을 함께 보면 ‘譯官失權於灣賈’은 단순한 문자적 묘사에 그치지 </t>
  </si>
  <si>
    <t>賈之所操縱</t>
  </si>
  <si>
    <t>操縱</t>
  </si>
  <si>
    <t xml:space="preserve">줄을 당기고 놓음이 시세 지배로 옮겨감 앞뒤 문맥을 함께 보면 ‘賈之所操縱’은 단순한 문자적 묘사에 그치지 </t>
  </si>
  <si>
    <t>灌耳</t>
  </si>
  <si>
    <t>如雷灌耳</t>
  </si>
  <si>
    <t>우레가 귀에 쏟아짐이 명성의 자자함으로 옮겨감(직유) 앞뒤 문맥을 함께 보면 ‘灌耳’은 단순한 문자적 묘사에</t>
  </si>
  <si>
    <t>人人酬酢如出一口</t>
  </si>
  <si>
    <t>如出一口</t>
  </si>
  <si>
    <t>한 입에서 나옴이 말의 일치로 옮겨감(직유) 앞뒤 문맥을 함께 보면 ‘人人酬酢如出一口’은 단순한 문자적 묘사</t>
  </si>
  <si>
    <t>出色似銀</t>
  </si>
  <si>
    <t>은의 빛깔이 놋그릇의 색으로 옮겨감(직유) 앞뒤 문맥을 함께 보면 ‘出色似銀’은 단순한 문자적 묘사에 그치지</t>
  </si>
  <si>
    <t>其濫銀奚論</t>
  </si>
  <si>
    <t xml:space="preserve">물이 넘침이 규정 초과의 은으로 옮겨감 앞뒤 문맥을 함께 보면 ‘其濫銀奚論’은 단순한 문자적 묘사에 그치지 </t>
  </si>
  <si>
    <t>意其秀才爲富鄭公苗裔</t>
  </si>
  <si>
    <t>苗裔</t>
  </si>
  <si>
    <t>싹과 옷자락이 자손의 계보로 옮겨감 앞뒤 문맥을 함께 보면 ‘意其秀才爲富鄭公苗裔’은 단순한 문자적 묘사에 그</t>
  </si>
  <si>
    <t>利用然後可以厚生</t>
  </si>
  <si>
    <t>厚生</t>
  </si>
  <si>
    <t>두께가 생활의 넉넉함으로 옮겨감 앞뒤 문맥을 함께 보면 ‘利用然後可以厚生’은 단순한 문자적 묘사에 그치지 않</t>
  </si>
  <si>
    <t>厚生然後正其德矣</t>
  </si>
  <si>
    <t>厚</t>
  </si>
  <si>
    <t>물체의 두께를 생활의 풍족함과 충실성에 대응시켜 후생을 개념화한다. 앞뒤 문맥을 함께 보면 ‘厚生然後正其德矣</t>
  </si>
  <si>
    <t>不能利其用而能厚其生</t>
  </si>
  <si>
    <t>厚其生</t>
  </si>
  <si>
    <t>두께가 생활의 넉넉함으로 옮겨감 앞뒤 문맥을 함께 보면 ‘不能利其用而能厚其生’은 단순한 문자적 묘사에 그치지</t>
  </si>
  <si>
    <t>而要索厚價</t>
  </si>
  <si>
    <t>厚價</t>
  </si>
  <si>
    <t>두께가 값의 높음으로 옮겨감 앞뒤 문맥을 함께 보면 ‘而要索厚價’은 단순한 문자적 묘사에 그치지 않고, ‘厚</t>
  </si>
  <si>
    <t>성경잡지</t>
  </si>
  <si>
    <t>濫呼湧價</t>
  </si>
  <si>
    <t>湧價</t>
  </si>
  <si>
    <t>물이 솟구침이 값의 급등으로 옮겨감 앞뒤 문맥을 함께 보면 ‘濫呼湧價’은 단순한 문자적 묘사에 그치지 않고,</t>
  </si>
  <si>
    <t>甘言利口</t>
  </si>
  <si>
    <t>甘言</t>
  </si>
  <si>
    <t xml:space="preserve">맛의 달콤함이 말의 회유로 옮겨감 앞뒤 문맥을 함께 보면 ‘甘言利口’은 단순한 문자적 묘사에 그치지 않고, </t>
  </si>
  <si>
    <t>鎔人鐵膓</t>
  </si>
  <si>
    <t>쇠가 녹음이 굳은 마음의 무너짐으로 옮겨감 앞뒤 문맥을 함께 보면 ‘鎔人鐵膓’은 단순한 문자적 묘사에 그치지</t>
  </si>
  <si>
    <t>塵喧暫息</t>
  </si>
  <si>
    <t>숨이 멎음이 소란의 그침으로 옮겨감 앞뒤 문맥을 함께 보면 ‘塵喧暫息’은 단순한 문자적 묘사에 그치지 않고,</t>
  </si>
  <si>
    <t>逐利口外</t>
  </si>
  <si>
    <t>逐利</t>
  </si>
  <si>
    <t xml:space="preserve">사냥의 추격이 이익 좇기로 옮겨감 앞뒤 문맥을 함께 보면 ‘逐利口外’은 단순한 문자적 묘사에 그치지 않고, </t>
  </si>
  <si>
    <t>大野浸成水銀</t>
  </si>
  <si>
    <t>水銀海</t>
  </si>
  <si>
    <t>수은의 바다가 안개 덮인 벌판으로 옮겨감 앞뒤 문맥을 함께 보면 ‘大野浸成水銀’은 단순한 문자적 묘사에 그치</t>
  </si>
  <si>
    <t>兼輸買笑之直</t>
  </si>
  <si>
    <t>買笑</t>
  </si>
  <si>
    <t xml:space="preserve">상거래가 웃음의 매매로 옮겨감 앞뒤 문맥을 함께 보면 ‘兼輸買笑之直’은 단순한 문자적 묘사에 그치지 않고, </t>
  </si>
  <si>
    <t>是所謂重利盜跖也</t>
  </si>
  <si>
    <t>盜跖</t>
  </si>
  <si>
    <t>역사 인물의 전거가 폭리의 지탄으로 옮겨감 앞뒤 문맥을 함께 보면 ‘是所謂重利盜跖也’은 단순한 문자적 묘사에</t>
  </si>
  <si>
    <t>賣買只仰蒙古寧古塔船廠等地</t>
  </si>
  <si>
    <t>仰</t>
  </si>
  <si>
    <t>위를 바라보는 자세를 몽골 등 외부 시장에 의존하여 매매하는 상태에 대응시킨다. 앞뒤 문맥을 함께 보면 ‘賣</t>
  </si>
  <si>
    <t>以爲機利</t>
  </si>
  <si>
    <t>機利</t>
  </si>
  <si>
    <t>베틀의 기틀이 이익의 기회로 옮겨감 앞뒤 문맥을 함께 보면 ‘以爲機利’은 단순한 문자적 묘사에 그치지 않고,</t>
  </si>
  <si>
    <t>稱罡鐵之秋</t>
  </si>
  <si>
    <t>罡鐵之秋</t>
  </si>
  <si>
    <t xml:space="preserve">강철의 계절이 흉년의 혹독함으로 옮겨감 앞뒤 문맥을 함께 보면 ‘稱罡鐵之秋’은 단순한 문자적 묘사에 그치지 </t>
  </si>
  <si>
    <t>강철의 계절이 흉년의 혹독함으로 옮겨감(반복) 앞뒤 문맥을 함께 보면 ‘罡鐵之秋’은 단순한 문자적 묘사에 그</t>
  </si>
  <si>
    <t>仰事俯育</t>
  </si>
  <si>
    <t>仰·俯</t>
  </si>
  <si>
    <t>위를 우러르고 아래를 굽어보는 신체 자세를 부모를 섬기고 자녀를 기르는 가족적 책무에 대응시킨다. 앞뒤 문맥</t>
  </si>
  <si>
    <t>而專逐末利</t>
  </si>
  <si>
    <t>末利</t>
  </si>
  <si>
    <t>나뭇가지가 말업인 상업으로 옮겨감 앞뒤 문맥을 함께 보면 ‘而專逐末利’은 단순한 문자적 묘사에 그치지 않고,</t>
  </si>
  <si>
    <t>雖富埒猗頓</t>
  </si>
  <si>
    <t>埒</t>
  </si>
  <si>
    <t>담의 높이가 부의 대등함으로 옮겨감 앞뒤 문맥을 함께 보면 ‘雖富埒猗頓’은 단순한 문자적 묘사에 그치지 않고</t>
  </si>
  <si>
    <t>名如陶朱</t>
  </si>
  <si>
    <t xml:space="preserve">역사 인물의 전거가 명성의 척도로 옮겨감(직유) 앞뒤 문맥을 함께 보면 ‘名如陶朱’은 단순한 문자적 묘사에 </t>
  </si>
  <si>
    <t>吾輩學殖荒落</t>
  </si>
  <si>
    <t>TD-3 인식·진위</t>
  </si>
  <si>
    <t>學殖荒落</t>
  </si>
  <si>
    <t xml:space="preserve">심어 기름과 황폐해짐이 학업의 쇠퇴로 옮겨감 앞뒤 문맥을 함께 보면 ‘吾輩學殖荒落’은 단순한 문자적 묘사에 </t>
  </si>
  <si>
    <t>望絶鴻漸</t>
  </si>
  <si>
    <t>鴻漸</t>
  </si>
  <si>
    <t xml:space="preserve">기러기의 나아감이 벼슬길의 진출로 옮겨감 앞뒤 문맥을 함께 보면 ‘望絶鴻漸’은 단순한 문자적 묘사에 그치지 </t>
  </si>
  <si>
    <t>堅討近百高價</t>
  </si>
  <si>
    <t>값의 크기를 공간의 높낮이로 나타냄 앞뒤 문맥을 함께 보면 ‘堅討近百高價’은 단순한 문자적 묘사에 그치지 않</t>
  </si>
  <si>
    <t>其利斷金</t>
  </si>
  <si>
    <t>利斷金</t>
  </si>
  <si>
    <t xml:space="preserve">쇠를 끊는 예리함이 단결의 힘으로 옮겨감 앞뒤 문맥을 함께 보면 ‘其利斷金’은 단순한 문자적 묘사에 그치지 </t>
  </si>
  <si>
    <t>以淸仕路</t>
  </si>
  <si>
    <t>淸仕路</t>
  </si>
  <si>
    <t xml:space="preserve">물의 맑음과 길이 사환의 결백으로 옮겨감 앞뒤 문맥을 함께 보면 ‘以淸仕路’은 단순한 문자적 묘사에 그치지 </t>
  </si>
  <si>
    <t>所以貴道賤利</t>
  </si>
  <si>
    <t>貴·賤</t>
  </si>
  <si>
    <t>비싸고 싼 가격의 서열을 도와 이익에 대한 가치 평가에 대응시킨다. 앞뒤 문맥을 함께 보면 ‘所以貴道賤利’은</t>
  </si>
  <si>
    <t>崇本抑末</t>
  </si>
  <si>
    <t>초목의 뿌리와 가지가 농상의 서열로 옮겨감 앞뒤 문맥을 함께 보면 ‘崇本抑末’은 단순한 문자적 묘사에 그치지</t>
  </si>
  <si>
    <t>일신수필</t>
  </si>
  <si>
    <t>庶幾有瘳耳</t>
  </si>
  <si>
    <t>貧瘁</t>
  </si>
  <si>
    <t>신체의 병듦이 민생의 피폐로 옮겨감 앞뒤 문맥을 함께 보면 ‘庶幾有瘳耳’은 단순한 문자적 묘사에 그치지 않고</t>
  </si>
  <si>
    <t>浪費不啻千金</t>
  </si>
  <si>
    <t>浪費</t>
  </si>
  <si>
    <t>물결의 일렁임이 무분별한 지출로 옮겨감 앞뒤 문맥을 함께 보면 ‘浪費不啻千金’은 단순한 문자적 묘사에 그치지</t>
  </si>
  <si>
    <t>盖不若是則賣買不旺</t>
  </si>
  <si>
    <t>賣買不旺</t>
  </si>
  <si>
    <t>불길의 성함이 매매의 번성으로 옮겨감 앞뒤 문맥을 함께 보면 ‘盖不若是則賣買不旺’은 단순한 문자적 묘사에 그</t>
  </si>
  <si>
    <t>財神不祐</t>
  </si>
  <si>
    <t xml:space="preserve">신의 가호 관념이 장사의 흥망으로 옮겨감 앞뒤 문맥을 함께 보면 ‘財神不祐’은 단순한 문자적 묘사에 그치지 </t>
  </si>
  <si>
    <t>玉兎銀蟾</t>
  </si>
  <si>
    <t xml:space="preserve">옥토끼와 은두꺼비가 달의 별칭으로 옮겨감 앞뒤 문맥을 함께 보면 ‘玉兎銀蟾’은 단순한 문자적 묘사에 그치지 </t>
  </si>
  <si>
    <t>如水銀海</t>
  </si>
  <si>
    <t>수은의 바다가 달빛 어린 물결로 옮겨감(직유) 앞뒤 문맥을 함께 보면 ‘如水銀海’은 단순한 문자적 묘사에 그</t>
  </si>
  <si>
    <t>海底殷殷有聲如鼾鼻</t>
  </si>
  <si>
    <t>如鼾鼻</t>
  </si>
  <si>
    <t xml:space="preserve">코 고는 소리가 물소리로 옮겨감(직유) 앞뒤 문맥을 함께 보면 ‘海底殷殷有聲如鼾鼻’은 단순한 문자적 묘사에 </t>
  </si>
  <si>
    <t>而可謂所持者狹</t>
  </si>
  <si>
    <t>所持者狹</t>
  </si>
  <si>
    <t>공간의 좁음이 그릇의 작음으로 옮겨감 앞뒤 문맥을 함께 보면 ‘而可謂所持者狹’은 단순한 문자적 묘사에 그치지</t>
  </si>
  <si>
    <t>沿道奚囊必富</t>
  </si>
  <si>
    <t>奚囊</t>
  </si>
  <si>
    <t>주머니가 시작(詩作)의 축적으로 옮겨감 앞뒤 문맥을 함께 보면 ‘沿道奚囊必富’은 단순한 문자적 묘사에 그치지</t>
  </si>
  <si>
    <t>富强邁秦漢</t>
  </si>
  <si>
    <t>邁</t>
  </si>
  <si>
    <t>앞질러 감이 국력의 우월로 옮겨감 앞뒤 문맥을 함께 보면 ‘富强邁秦漢’은 단순한 문자적 묘사에 그치지 않고,</t>
  </si>
  <si>
    <t>不下十萬兩</t>
  </si>
  <si>
    <t>不下</t>
  </si>
  <si>
    <t>공간의 아래쪽을 수량의 최소 기준에 대응시켜 적어도 십만 냥임을 나타낸다. 앞뒤 문맥을 함께 보면 ‘不下十萬</t>
  </si>
  <si>
    <t>不滯一方</t>
  </si>
  <si>
    <t>물이 막히지 않음이 재화의 순환으로 옮겨감 앞뒤 문맥을 함께 보면 ‘不滯一方’은 단순한 문자적 묘사에 그치지</t>
  </si>
  <si>
    <t>其繁華富麗</t>
  </si>
  <si>
    <t>초목의 무성함과 꽃이 도시의 번성으로 옮겨감 앞뒤 문맥을 함께 보면 ‘其繁華富麗’은 단순한 문자적 묘사에 그</t>
  </si>
  <si>
    <t>半消此舖</t>
  </si>
  <si>
    <t>금속이 녹아 사라짐이 은화의 유출로 옮겨감 앞뒤 문맥을 함께 보면 ‘半消此舖’은 단순한 문자적 묘사에 그치지</t>
  </si>
  <si>
    <t>貧儉凋殘</t>
  </si>
  <si>
    <t>초목이 시듦이 고을의 피폐로 옮겨감 앞뒤 문맥을 함께 보면 ‘貧儉凋殘’은 단순한 문자적 묘사에 그치지 않고,</t>
  </si>
  <si>
    <t>尙未蘇息</t>
  </si>
  <si>
    <t>蘇息</t>
  </si>
  <si>
    <t xml:space="preserve">초목이 되살아남이 지역의 회복으로 옮겨감 앞뒤 문맥을 함께 보면 ‘尙未蘇息’은 단순한 문자적 묘사에 그치지 </t>
  </si>
  <si>
    <t>足想當時龍爭虎鬪之跡矣</t>
  </si>
  <si>
    <t>龍爭虎鬪</t>
  </si>
  <si>
    <t xml:space="preserve">용과 범의 싸움이 전쟁의 격렬함으로 옮겨감 앞뒤 문맥을 함께 보면 ‘足想當時龍爭虎鬪之跡矣’은 단순한 문자적 </t>
  </si>
  <si>
    <t>貨湊集</t>
  </si>
  <si>
    <t>물이 모여듦이 재화의 집산으로 옮겨감 앞뒤 문맥을 함께 보면 ‘貨湊集’은 단순한 문자적 묘사에 그치지 않고,</t>
  </si>
  <si>
    <t>車馬塡咽</t>
  </si>
  <si>
    <t>塡咽</t>
  </si>
  <si>
    <t>목구멍이 막힘이 거리의 혼잡으로 옮겨감 앞뒤 문맥을 함께 보면 ‘車馬塡咽’은 단순한 문자적 묘사에 그치지 않</t>
  </si>
  <si>
    <t>而莫不欲相資而相生也</t>
  </si>
  <si>
    <t>生</t>
  </si>
  <si>
    <t>생명체가 서로를 낳고 살리는 과정을 사회 구성원과 물자의 상호 의존 관계에 대응시킨다. 앞뒤 문맥을 함께 보</t>
  </si>
  <si>
    <t>民萌產業</t>
  </si>
  <si>
    <t>民萌</t>
  </si>
  <si>
    <t>초목의 싹이 백성으로 옮겨감 앞뒤 문맥을 함께 보면 ‘民萌產業’은 단순한 문자적 묘사에 그치지 않고, ‘民萌</t>
  </si>
  <si>
    <t>正德利用厚生之具</t>
  </si>
  <si>
    <t>물체의 두께를 백성 생활의 풍족함과 충실성에 대응시킨다. 앞뒤 문맥을 함께 보면 ‘正德利用厚生之具’은 단순한</t>
  </si>
  <si>
    <t>苟利於民而厚於國</t>
  </si>
  <si>
    <t>厚於國</t>
  </si>
  <si>
    <t>두께가 나라의 이로움으로 옮겨감 앞뒤 문맥을 함께 보면 ‘苟利於民而厚於國’은 단순한 문자적 묘사에 그치지 않</t>
  </si>
  <si>
    <t>沒七百兩銀子</t>
  </si>
  <si>
    <t>乾沒</t>
  </si>
  <si>
    <t>물에 가라앉아 사라짐이 재물의 착복으로 옮겨감 앞뒤 문맥을 함께 보면 ‘沒七百兩銀子’은 단순한 문자적 묘사에</t>
  </si>
  <si>
    <t>관내정사</t>
  </si>
  <si>
    <t>百貨塡咽</t>
  </si>
  <si>
    <t>목구멍이 막힘이 시장의 물화 집중으로 옮겨감 앞뒤 문맥을 함께 보면 ‘百貨塡咽’은 단순한 문자적 묘사에 그치</t>
  </si>
  <si>
    <t>此可謂浪費錢矣</t>
  </si>
  <si>
    <t>물결의 일렁임이 무분별한 지출로 옮겨감 앞뒤 문맥을 함께 보면 ‘此可謂浪費錢矣’은 단순한 문자적 묘사에 그치</t>
  </si>
  <si>
    <t>薊州城邑民物雄富</t>
  </si>
  <si>
    <t>雄富</t>
  </si>
  <si>
    <t>수컷의 강건함이 고을의 성함으로 옮겨감 앞뒤 문맥을 함께 보면 ‘薊州城邑民物雄富’은 단순한 문자적 묘사에 그</t>
  </si>
  <si>
    <t>復曰淡菜似龍眼</t>
  </si>
  <si>
    <t>淡菜似龍眼</t>
  </si>
  <si>
    <t>열매가 사물의 형상으로 옮겨감(직유) 앞뒤 문맥을 함께 보면 ‘復曰淡菜似龍眼’은 단순한 문자적 묘사에 그치지</t>
  </si>
  <si>
    <t>錢塘似飛燕</t>
  </si>
  <si>
    <t>제비가 조수의 형상으로 옮겨감(직유) 앞뒤 문맥을 함께 보면 ‘錢塘似飛燕’은 단순한 문자적 묘사에 그치지 않</t>
  </si>
  <si>
    <t>而必討厚價</t>
  </si>
  <si>
    <t>두께가 값의 높음으로 옮겨감 앞뒤 문맥을 함께 보면 ‘而必討厚價’은 단순한 문자적 묘사에 그치지 않고, ‘厚</t>
  </si>
  <si>
    <t>則門外賈客雲集</t>
  </si>
  <si>
    <t>雲集</t>
  </si>
  <si>
    <t xml:space="preserve">구름이 모임이 상인의 집결로 옮겨감 앞뒤 문맥을 함께 보면 ‘則門外賈客雲集’은 단순한 문자적 묘사에 그치지 </t>
  </si>
  <si>
    <t>一氣之消息也而兩之</t>
  </si>
  <si>
    <t>消息</t>
  </si>
  <si>
    <t>생명체가 자라고 사라지는 과정을 기의 운동과 변화에 대응시킨다. 앞뒤 문맥을 함께 보면 ‘一氣之消息也而兩之’</t>
  </si>
  <si>
    <t>連墻如閭閻</t>
  </si>
  <si>
    <t>여염의 담장이 무덤의 밀집으로 옮겨감(직유) 앞뒤 문맥을 함께 보면 ‘連墻如閭閻’은 단순한 문자적 묘사에 그</t>
  </si>
  <si>
    <t>可念其貧寒無應門之童</t>
  </si>
  <si>
    <t>貧寒</t>
  </si>
  <si>
    <t xml:space="preserve">추위의 감각이 가난으로 옮겨감 앞뒤 문맥을 함께 보면 ‘可念其貧寒無應門之童’은 단순한 문자적 묘사에 그치지 </t>
  </si>
  <si>
    <t>其瑰麗繁富</t>
  </si>
  <si>
    <t>瑰麗繁富</t>
  </si>
  <si>
    <t>초목의 무성함이 도시의 번화로 옮겨감 앞뒤 문맥을 함께 보면 ‘其瑰麗繁富’은 단순한 문자적 묘사에 그치지 않</t>
  </si>
  <si>
    <t>呼錢爲兄</t>
  </si>
  <si>
    <t>친족 호칭이 돈에 대한 태도로 옮겨감 앞뒤 문맥을 함께 보면 ‘呼錢爲兄’은 단순한 문자적 묘사에 그치지 않고</t>
  </si>
  <si>
    <t>竊於蝗蚕之資者</t>
  </si>
  <si>
    <t>蝗蚕之資</t>
  </si>
  <si>
    <t xml:space="preserve">메뚜기와 누에가 백성 수탈로 옮겨감 앞뒤 문맥을 함께 보면 ‘竊於蝗蚕之資者’은 단순한 문자적 묘사에 그치지 </t>
  </si>
  <si>
    <t>獨不爲仁義之大賊乎</t>
  </si>
  <si>
    <t>仁義之大賊</t>
  </si>
  <si>
    <t>도적이라는 신분이 도덕적 지탄으로 옮겨감 앞뒤 문맥을 함께 보면 ‘獨不爲仁義之大賊乎’은 단순한 문자적 묘사에</t>
  </si>
  <si>
    <t>絲絲流眼曰</t>
  </si>
  <si>
    <t>流眼</t>
  </si>
  <si>
    <t>물의 흐름이 눈물로 옮겨감 앞뒤 문맥을 함께 보면 ‘絲絲流眼曰’은 단순한 문자적 묘사에 그치지 않고, ‘流眼</t>
  </si>
  <si>
    <t>踐形而盡性</t>
  </si>
  <si>
    <t>踐形</t>
  </si>
  <si>
    <t>발로 밟음이 도덕의 실천으로 옮겨감 앞뒤 문맥을 함께 보면 ‘踐形而盡性’은 단순한 문자적 묘사에 그치지 않고</t>
  </si>
  <si>
    <t>而獨任爪牙之利</t>
  </si>
  <si>
    <t>爪牙之利</t>
  </si>
  <si>
    <t>짐승의 발톱과 이빨이 무력으로 옮겨감 앞뒤 문맥을 함께 보면 ‘而獨任爪牙之利’은 단순한 문자적 묘사에 그치지</t>
  </si>
  <si>
    <t>屛息潛聽</t>
  </si>
  <si>
    <t>숨을 죽임이 권위 앞의 위축으로 옮겨감 앞뒤 문맥을 함께 보면 ‘屛息潛聽’은 단순한 문자적 묘사에 그치지 않</t>
  </si>
  <si>
    <t>陽怒其人</t>
  </si>
  <si>
    <t>陽怒</t>
  </si>
  <si>
    <t>볕이 표면적 태도로 옮겨감 앞뒤 문맥을 함께 보면 ‘陽怒其人’은 단순한 문자적 묘사에 그치지 않고, ‘陽怒’</t>
  </si>
  <si>
    <t>而陰享其利</t>
  </si>
  <si>
    <t>陰享其利</t>
  </si>
  <si>
    <t>그늘이 은밀한 이익 취득으로 옮겨감 앞뒤 문맥을 함께 보면 ‘而陰享其利’은 단순한 문자적 묘사에 그치지 않고</t>
  </si>
  <si>
    <t>繁富倍他</t>
  </si>
  <si>
    <t>繁富</t>
  </si>
  <si>
    <t>초목의 무성함이 마을의 융성으로 옮겨감 앞뒤 문맥을 함께 보면 ‘繁富倍他’은 단순한 문자적 묘사에 그치지 않</t>
  </si>
  <si>
    <t>與俺情同嫡親兄弟</t>
  </si>
  <si>
    <t>情同嫡親兄弟</t>
  </si>
  <si>
    <t xml:space="preserve">친족 관계가 교분의 정도로 옮겨감(직유) 앞뒤 문맥을 함께 보면 ‘與俺情同嫡親兄弟’은 단순한 문자적 묘사에 </t>
  </si>
  <si>
    <t>除直道不過是法</t>
  </si>
  <si>
    <t>直道</t>
  </si>
  <si>
    <t>곧게 뻗은 길을 왜곡되지 않은 정치적 원칙과 법에 대응시킨다. 앞뒤 문맥을 함께 보면 ‘除直道不過是法’은 단</t>
  </si>
  <si>
    <t>以試其舌頭利澀</t>
  </si>
  <si>
    <t>舌頭利澀</t>
  </si>
  <si>
    <t xml:space="preserve">혀의 매끄러움과 껄끄러움이 발음의 정확도로 옮겨감 앞뒤 문맥을 함께 보면 ‘以試其舌頭利澀’은 단순한 문자적 </t>
  </si>
  <si>
    <t>寧冒刻薄小恩之名</t>
  </si>
  <si>
    <t>薄</t>
  </si>
  <si>
    <t>물체의 얇음을 은혜와 인심이 부족하고 각박한 도덕적 성향에 대응시킨다. 앞뒤 문맥을 함께 보면 ‘寧冒刻薄小恩</t>
  </si>
  <si>
    <t>論其心術於危微之際</t>
  </si>
  <si>
    <t>危微之際</t>
  </si>
  <si>
    <t>공간의 아슬함과 미세함이 심술의 갈림으로 옮겨감 앞뒤 문맥을 함께 보면 ‘論其心術於危微之際’은 단순한 문자적</t>
  </si>
  <si>
    <t>옥갑야화</t>
  </si>
  <si>
    <t>有言朝鮮商賈熟主顧鄭世泰之富</t>
  </si>
  <si>
    <t>熟</t>
  </si>
  <si>
    <t>음식이 익어 성숙한 상태를 오랫동안 지속되어 친숙해진 거래 관계에 대응시킨다. 앞뒤 문맥을 함께 보면 ‘有言</t>
  </si>
  <si>
    <t>欲閱視貨殖都數</t>
  </si>
  <si>
    <t>貨殖</t>
  </si>
  <si>
    <t>초목의 생장이 재화의 불림으로 옮겨감 앞뒤 문맥을 함께 보면 ‘欲閱視貨殖都數’은 단순한 문자적 묘사에 그치지</t>
  </si>
  <si>
    <t>甲于皇城</t>
  </si>
  <si>
    <t>甲</t>
  </si>
  <si>
    <t xml:space="preserve">천간의 순위 표기가 부의 등급으로 옮겨감 앞뒤 문맥을 함께 보면 ‘甲于皇城’은 단순한 문자적 묘사에 그치지 </t>
  </si>
  <si>
    <t>其貨財有自來</t>
  </si>
  <si>
    <t>有自來</t>
  </si>
  <si>
    <t xml:space="preserve">이동이 재화의 내력으로 옮겨감 앞뒤 문맥을 함께 보면 ‘其貨財有自來’은 단순한 문자적 묘사에 그치지 않고, </t>
  </si>
  <si>
    <t>燕京舊時風俗淳厚</t>
  </si>
  <si>
    <t>淳厚</t>
  </si>
  <si>
    <t xml:space="preserve">액체의 순도와 두께로 풍속을 말함 앞뒤 문맥을 함께 보면 ‘燕京舊時風俗淳厚’은 단순한 문자적 묘사에 그치지 </t>
  </si>
  <si>
    <t>富甲一國</t>
  </si>
  <si>
    <t xml:space="preserve">천간의 순위 표기가 부의 등급으로 옮겨감 앞뒤 문맥을 함께 보면 ‘富甲一國’은 단순한 문자적 묘사에 그치지 </t>
  </si>
  <si>
    <t>至承業時少衰</t>
  </si>
  <si>
    <t>衰</t>
  </si>
  <si>
    <t xml:space="preserve">초목이 시듦이 가세의 기욺으로 옮겨감 앞뒤 문맥을 함께 보면 ‘至承業時少衰’은 단순한 문자적 묘사에 그치지 </t>
  </si>
  <si>
    <t>有愷悌君子之風</t>
  </si>
  <si>
    <t>風</t>
  </si>
  <si>
    <t>바람이 인격의 기풍으로 옮겨감 앞뒤 문맥을 함께 보면 ‘有愷悌君子之風’은 단순한 문자적 묘사에 그치지 않고,</t>
  </si>
  <si>
    <t>奴所以索高價者</t>
  </si>
  <si>
    <t xml:space="preserve">값의 크기를 공간의 높낮이로 나타냄 앞뒤 문맥을 함께 보면 ‘奴所以索高價者’은 단순한 문자적 묘사에 그치지 </t>
  </si>
  <si>
    <t>贖奴作箕帚妾</t>
  </si>
  <si>
    <t>箕帚</t>
  </si>
  <si>
    <t>가사 도구가 혼인 신분을 대신함 앞뒤 문맥을 함께 보면 ‘贖奴作箕帚妾’은 단순한 문자적 묘사에 그치지 않고,</t>
  </si>
  <si>
    <t>商無本錢奈何</t>
  </si>
  <si>
    <t>本錢</t>
  </si>
  <si>
    <t xml:space="preserve">초목의 뿌리가 밑천으로 옮겨감 앞뒤 문맥을 함께 보면 ‘商無本錢奈何’은 단순한 문자적 묘사에 그치지 않고, </t>
  </si>
  <si>
    <t>所沒銀幾何</t>
  </si>
  <si>
    <t>沒</t>
  </si>
  <si>
    <t xml:space="preserve">물에 잠겨 사라짐이 재산 몰수로 옮겨감 앞뒤 문맥을 함께 보면 ‘所沒銀幾何’은 단순한 문자적 묘사에 그치지 </t>
  </si>
  <si>
    <t>故其子孫蕃而擧貧窶者</t>
  </si>
  <si>
    <t>蕃</t>
  </si>
  <si>
    <t>초목의 무성함이 가문의 번성으로 옮겨감 앞뒤 문맥을 함께 보면 ‘故其子孫蕃而擧貧窶者’은 단순한 문자적 묘사에</t>
  </si>
  <si>
    <t>五年貨殖</t>
  </si>
  <si>
    <t>殖</t>
  </si>
  <si>
    <t>초목의 생장이 재화의 불림으로 옮겨감 앞뒤 문맥을 함께 보면 ‘五年貨殖’은 단순한 문자적 묘사에 그치지 않고</t>
  </si>
  <si>
    <t>以本銀償我</t>
  </si>
  <si>
    <t>本銀</t>
  </si>
  <si>
    <t>초목의 뿌리가 자본의 근원으로 옮겨감 앞뒤 문맥을 함께 보면 ‘以本銀償我’은 단순한 문자적 묘사에 그치지 않</t>
  </si>
  <si>
    <t>莫不神其才</t>
  </si>
  <si>
    <t>神</t>
  </si>
  <si>
    <t xml:space="preserve">신격 관념이 재능 평가로 옮겨감 앞뒤 문맥을 함께 보면 ‘莫不神其才’은 단순한 문자적 묘사에 그치지 않고, </t>
  </si>
  <si>
    <t>浪空擲萬金於生平所不知何人</t>
  </si>
  <si>
    <t>浪</t>
  </si>
  <si>
    <t xml:space="preserve">물결의 일렁임이 무분별한 지출로 옮겨감 앞뒤 문맥을 함께 보면 ‘浪空擲萬金於生平所不知何人’은 단순한 문자적 </t>
  </si>
  <si>
    <t>皆以倍直居之</t>
  </si>
  <si>
    <t>居</t>
  </si>
  <si>
    <t>거처함이 물화를 쟁여 둠으로 옮겨감 앞뒤 문맥을 함께 보면 ‘皆以倍直居之’은 단순한 문자적 묘사에 그치지 않</t>
  </si>
  <si>
    <t>許生榷菓</t>
  </si>
  <si>
    <t>榷</t>
  </si>
  <si>
    <t>외나무다리의 독점 통행이 상권 독점으로 옮겨감 앞뒤 문맥을 함께 보면 ‘許生榷菓’은 단순한 문자적 묘사에 그</t>
  </si>
  <si>
    <t>以萬金傾之</t>
  </si>
  <si>
    <t>傾</t>
  </si>
  <si>
    <t>공간의 기욺이 국중 물가의 동요로 옮겨감 앞뒤 문맥을 함께 보면 ‘以萬金傾之’은 단순한 문자적 묘사에 그치지</t>
  </si>
  <si>
    <t>短國淺深矣</t>
  </si>
  <si>
    <t>短·淺深</t>
  </si>
  <si>
    <t>길이와 깊이의 측량이 국력 판단으로 옮겨감 앞뒤 문맥을 함께 보면 ‘短國淺深矣’은 단순한 문자적 묘사에 그치</t>
  </si>
  <si>
    <t>得無敗萬金乎</t>
  </si>
  <si>
    <t>敗</t>
  </si>
  <si>
    <t>전투의 패배가 재산 손실로 옮겨감 앞뒤 문맥을 함께 보면 ‘得無敗萬金乎’은 단순한 문자적 묘사에 그치지 않고</t>
  </si>
  <si>
    <t>以財粹面</t>
  </si>
  <si>
    <t>粹面</t>
  </si>
  <si>
    <t xml:space="preserve">재물이 얼굴을 윤낸다는 신체 표현 앞뒤 문맥을 함께 보면 ‘以財粹面’은 단순한 문자적 묘사에 그치지 않고, </t>
  </si>
  <si>
    <t>萬金何肥於道哉</t>
  </si>
  <si>
    <t>肥</t>
  </si>
  <si>
    <t xml:space="preserve">신체의 살찜이 도의 증진으로 옮겨감 앞뒤 문맥을 함께 보면 ‘萬金何肥於道哉’은 단순한 문자적 묘사에 그치지 </t>
  </si>
  <si>
    <t>君何以賈竪視我</t>
  </si>
  <si>
    <t>賈竪</t>
  </si>
  <si>
    <t xml:space="preserve">더벅머리 아이가 신분 비하로 옮겨감 앞뒤 문맥을 함께 보면 ‘君何以賈竪視我’은 단순한 문자적 묘사에 그치지 </t>
  </si>
  <si>
    <t>故一貨雖絀</t>
  </si>
  <si>
    <t>絀</t>
  </si>
  <si>
    <t>실이 짧음이 물화의 모자람으로 옮겨감 앞뒤 문맥을 함께 보면 ‘故一貨雖絀’은 단순한 문자적 묘사에 그치지 않</t>
  </si>
  <si>
    <t>九貨伸之</t>
  </si>
  <si>
    <t>伸</t>
  </si>
  <si>
    <t xml:space="preserve">몸을 폄이 물화의 채움으로 옮겨감 앞뒤 문맥을 함께 보면 ‘九貨伸之’은 단순한 문자적 묘사에 그치지 않고, </t>
  </si>
  <si>
    <t>此常利之道</t>
  </si>
  <si>
    <t>道</t>
  </si>
  <si>
    <t>길이 상업의 원리로 옮겨감 앞뒤 문맥을 함께 보면 ‘此常利之道’은 단순한 문자적 묘사에 그치지 않고, ‘道’</t>
  </si>
  <si>
    <t>百賈涸</t>
  </si>
  <si>
    <t>涸</t>
  </si>
  <si>
    <t>물이 마름이 상인의 밑천 고갈로 옮겨감 앞뒤 문맥을 함께 보면 ‘百賈涸’은 단순한 문자적 묘사에 그치지 않고</t>
  </si>
  <si>
    <t>此賊民之道也</t>
  </si>
  <si>
    <t>길이 도덕적 준칙으로 옮겨감 앞뒤 문맥을 함께 보면 ‘此賊民之道也’은 단순한 문자적 묘사에 그치지 않고, ‘</t>
  </si>
  <si>
    <t>其銀足以市</t>
  </si>
  <si>
    <t>市</t>
  </si>
  <si>
    <t>시장 거래가 정치적 제거로 옮겨감 앞뒤 문맥을 함께 보면 ‘其銀足以市’은 단순한 문자적 묘사에 그치지 않고,</t>
  </si>
  <si>
    <t>覘其虛實</t>
  </si>
  <si>
    <t>虛實</t>
  </si>
  <si>
    <t>빔과 참이 실정 판별로 옮겨감 앞뒤 문맥을 함께 보면 ‘覘其虛實’은 단순한 문자적 묘사에 그치지 않고, ‘虛</t>
  </si>
  <si>
    <t>행재잡록</t>
  </si>
  <si>
    <t>俱是深憂遠慮</t>
  </si>
  <si>
    <t>深憂遠慮</t>
  </si>
  <si>
    <t>깊이와 거리가 사려의 정도로 옮겨감 앞뒤 문맥을 함께 보면 ‘俱是深憂遠慮’은 단순한 문자적 묘사에 그치지 않</t>
  </si>
  <si>
    <t>有司者宜熟講</t>
  </si>
  <si>
    <t>熟講</t>
  </si>
  <si>
    <t>열매가 익음이 논의의 무르익음으로 옮겨감 앞뒤 문맥을 함께 보면 ‘有司者宜熟講’은 단순한 문자적 묘사에 그치</t>
  </si>
  <si>
    <t>以資山中曝背一粲</t>
  </si>
  <si>
    <t>曝背</t>
  </si>
  <si>
    <t>등을 볕에 쬐는 고사가 하찮은 헌정으로 옮겨감 앞뒤 문맥을 함께 보면 ‘以資山中曝背一粲’은 단순한 문자적 묘</t>
  </si>
  <si>
    <t>榮光所被</t>
  </si>
  <si>
    <t xml:space="preserve">빛이 덮음이 황제 은전의 미침으로 옮겨감 앞뒤 문맥을 함께 보면 ‘榮光所被’은 단순한 문자적 묘사에 그치지 </t>
  </si>
  <si>
    <t>若將凂焉</t>
  </si>
  <si>
    <t>凂</t>
  </si>
  <si>
    <t>물의 오염이 도덕적 더럽힘으로 옮겨감 앞뒤 문맥을 함께 보면 ‘若將凂焉’은 단순한 문자적 묘사에 그치지 않고</t>
  </si>
  <si>
    <t>以伸該國慶祝之誠</t>
  </si>
  <si>
    <t>伸誠</t>
  </si>
  <si>
    <t>몸을 폄이 정성을 드러냄으로 옮겨감 앞뒤 문맥을 함께 보면 ‘以伸該國慶祝之誠’은 단순한 문자적 묘사에 그치지</t>
  </si>
  <si>
    <t>我神宗皇帝提天下之師東援之</t>
  </si>
  <si>
    <t>提天下之師</t>
  </si>
  <si>
    <t>손으로 끎이 군대의 통솔로 옮겨감 앞뒤 문맥을 함께 보면 ‘我神宗皇帝提天下之師東援之’은 단순한 문자적 묘사에</t>
  </si>
  <si>
    <t>竭帑銀以</t>
  </si>
  <si>
    <t>竭帑銀</t>
  </si>
  <si>
    <t>물이 마름이 국고의 소진으로 옮겨감 앞뒤 문맥을 함께 보면 ‘竭帑銀以’은 단순한 문자적 묘사에 그치지 않고,</t>
  </si>
  <si>
    <t>亦累葉矣</t>
  </si>
  <si>
    <t>累葉</t>
  </si>
  <si>
    <t>잎이 포개짐이 세대의 누적으로 옮겨감 앞뒤 문맥을 함께 보면 ‘亦累葉矣’은 단순한 문자적 묘사에 그치지 않고</t>
  </si>
  <si>
    <t>柔遠之政</t>
  </si>
  <si>
    <t>柔遠</t>
  </si>
  <si>
    <t xml:space="preserve">부드러움의 촉감이 원방 회유책으로 옮겨감 앞뒤 문맥을 함께 보면 ‘柔遠之政’은 단순한 문자적 묘사에 그치지 </t>
  </si>
  <si>
    <t>심세편</t>
  </si>
  <si>
    <t>人物殷阜</t>
  </si>
  <si>
    <t>殷阜</t>
  </si>
  <si>
    <t>언덕의 두둑함이 인물의 성함으로 옮겨감 앞뒤 문맥을 함께 보면 ‘人物殷阜’은 단순한 문자적 묘사에 그치지 않</t>
  </si>
  <si>
    <t>旣無子貢之藝</t>
  </si>
  <si>
    <t>子貢之藝</t>
  </si>
  <si>
    <t>역사 인물의 전거가 재능의 척도로 옮겨감 앞뒤 문맥을 함께 보면 ‘旣無子貢之藝’은 단순한 문자적 묘사에 그치</t>
  </si>
  <si>
    <t>季札之智</t>
  </si>
  <si>
    <t xml:space="preserve">역사 인물의 전거가 식견의 척도로 옮겨감 앞뒤 문맥을 함께 보면 ‘季札之智’은 단순한 문자적 묘사에 그치지 </t>
  </si>
  <si>
    <t>薄其賦斂則安矣</t>
  </si>
  <si>
    <t>薄其賦斂</t>
  </si>
  <si>
    <t>두께의 얇음이 부세의 경감으로 옮겨감 앞뒤 문맥을 함께 보면 ‘薄其賦斂則安矣’은 단순한 문자적 묘사에 그치지</t>
  </si>
  <si>
    <t>一以陰弱中土之士</t>
  </si>
  <si>
    <t>陰弱</t>
  </si>
  <si>
    <t xml:space="preserve">그늘이 은밀한 세력 약화로 옮겨감 앞뒤 문맥을 함께 보면 ‘一以陰弱中土之士’은 단순한 문자적 묘사에 그치지 </t>
  </si>
  <si>
    <t>葢有所激於陽尊而爲禦世之資耳</t>
  </si>
  <si>
    <t>陽尊</t>
  </si>
  <si>
    <t>볕이 표면적 존숭으로 옮겨감 앞뒤 문맥을 함께 보면 ‘葢有所激於陽尊而爲禦世之資耳’은 단순한 문자적 묘사에 그</t>
  </si>
  <si>
    <t>故時借一二集註之誤</t>
  </si>
  <si>
    <t>借集註之誤</t>
  </si>
  <si>
    <t>빌림이 구실의 차용으로 옮겨감 앞뒤 문맥을 함께 보면 ‘故時借一二集註之誤’은 단순한 문자적 묘사에 그치지 않</t>
  </si>
  <si>
    <t>텍스트별 판정 규모</t>
  </si>
  <si>
    <t>문헌</t>
  </si>
  <si>
    <t>편</t>
  </si>
  <si>
    <t>판정 대상 절</t>
  </si>
  <si>
    <t>은유</t>
  </si>
  <si>
    <t>비은유</t>
  </si>
  <si>
    <t>은유율(%)</t>
  </si>
  <si>
    <t>사기</t>
  </si>
  <si>
    <t>열하일기</t>
  </si>
  <si>
    <t>합계</t>
  </si>
  <si>
    <t>8개 텍스트 원천 영역 분포</t>
  </si>
  <si>
    <t>8개 텍스트 목표 영역 분포</t>
  </si>
  <si>
    <t>원천·목표 영역 교차 분포</t>
  </si>
  <si>
    <t>원천 \ 목표</t>
  </si>
  <si>
    <t>원천 공유·목표 이동 대표 대응쌍 12쌍</t>
  </si>
  <si>
    <t>번호</t>
  </si>
  <si>
    <t>화식열전 원천 어휘</t>
  </si>
  <si>
    <t>화식열전 원문</t>
  </si>
  <si>
    <t>화식열전 목표</t>
  </si>
  <si>
    <t>열하일기 텍스트</t>
  </si>
  <si>
    <t>열하일기 원천 어휘</t>
  </si>
  <si>
    <t>열하일기 원문</t>
  </si>
  <si>
    <t>열하일기 목표</t>
  </si>
  <si>
    <t>流水</t>
  </si>
  <si>
    <t>本</t>
  </si>
  <si>
    <t>息</t>
  </si>
  <si>
    <t>病</t>
  </si>
  <si>
    <t>俯仰</t>
  </si>
  <si>
    <t>起</t>
  </si>
  <si>
    <t>下</t>
  </si>
  <si>
    <t>通</t>
  </si>
  <si>
    <t>奇勝</t>
  </si>
  <si>
    <t>龍爭虎鬪之跡</t>
  </si>
  <si>
    <t>趨</t>
  </si>
  <si>
    <t>多去文學而趨利者</t>
  </si>
  <si>
    <t>行法</t>
  </si>
  <si>
    <t>대응 후보군 전체: 화식열전 TD-1 43건 + 열하일기 비-TD-1 97건</t>
  </si>
  <si>
    <t>구분</t>
  </si>
  <si>
    <t>원문</t>
  </si>
  <si>
    <t>화식열전 축적·유통</t>
  </si>
  <si>
    <t>열하일기 비축적·유통</t>
  </si>
  <si>
    <t>반례: 열하일기에서 축적·유통을 목표로 하는 은유 54건</t>
  </si>
  <si>
    <t>텍스트별 감각성 지수 산출 원표</t>
  </si>
  <si>
    <t>분석 단위</t>
  </si>
  <si>
    <t>문맥 추출수</t>
  </si>
  <si>
    <t>A(감각적)</t>
  </si>
  <si>
    <t>B(추상적)</t>
  </si>
  <si>
    <t>감각성 지수(%)</t>
  </si>
  <si>
    <t>문장</t>
  </si>
  <si>
    <t>어구</t>
  </si>
  <si>
    <t>심세편(참고)</t>
  </si>
  <si>
    <t>산출 제외</t>
  </si>
  <si>
    <t>열하일기 6편 합계</t>
  </si>
  <si>
    <t>주석</t>
  </si>
  <si>
    <t>문장/어구는 각 저본의 표점·분절 형태에 따른 문맥 추출 단위이다. 재현 가능성은 구성타당도를 의미하지 않으며, 본 지수는 기술적 보조 지표로 한정한다.</t>
  </si>
  <si>
    <t>트리거 및 A·B 어휘 목록</t>
  </si>
  <si>
    <t>순번</t>
  </si>
  <si>
    <t>어휘</t>
  </si>
  <si>
    <t>목록 내 개수</t>
  </si>
  <si>
    <t>비고</t>
  </si>
  <si>
    <t>트리거 — 단일자</t>
  </si>
  <si>
    <t>財</t>
  </si>
  <si>
    <t>貨</t>
  </si>
  <si>
    <t>利</t>
  </si>
  <si>
    <t>富</t>
  </si>
  <si>
    <t>貧</t>
  </si>
  <si>
    <t>買</t>
  </si>
  <si>
    <t>賣</t>
  </si>
  <si>
    <t>銀</t>
  </si>
  <si>
    <t>錢</t>
  </si>
  <si>
    <t>商</t>
  </si>
  <si>
    <t>賈</t>
  </si>
  <si>
    <t>價</t>
  </si>
  <si>
    <t>資</t>
  </si>
  <si>
    <t>產</t>
  </si>
  <si>
    <t>원문 표기 차이(이체자)를 반영해 모두 트리거에 포함</t>
  </si>
  <si>
    <t>産</t>
  </si>
  <si>
    <t>稅</t>
  </si>
  <si>
    <t>賦</t>
  </si>
  <si>
    <t>貢</t>
  </si>
  <si>
    <t>儉</t>
  </si>
  <si>
    <t>奢</t>
  </si>
  <si>
    <t>窖</t>
  </si>
  <si>
    <t>券</t>
  </si>
  <si>
    <t>契</t>
  </si>
  <si>
    <t>倍</t>
  </si>
  <si>
    <t>債</t>
  </si>
  <si>
    <t>償</t>
  </si>
  <si>
    <t>贖</t>
  </si>
  <si>
    <t>什</t>
  </si>
  <si>
    <t>贏</t>
  </si>
  <si>
    <t>羨</t>
  </si>
  <si>
    <t>트리거 — 복합어</t>
  </si>
  <si>
    <t>貿易</t>
  </si>
  <si>
    <t>典當</t>
  </si>
  <si>
    <t>包銀</t>
  </si>
  <si>
    <t>千金</t>
  </si>
  <si>
    <t>萬金</t>
  </si>
  <si>
    <t>財幣</t>
  </si>
  <si>
    <t>財貨</t>
  </si>
  <si>
    <t>A 감각적·실물적</t>
  </si>
  <si>
    <t>汗</t>
  </si>
  <si>
    <t>甓</t>
  </si>
  <si>
    <t>車</t>
  </si>
  <si>
    <t>稻</t>
  </si>
  <si>
    <t>金</t>
  </si>
  <si>
    <t>鹽</t>
  </si>
  <si>
    <t>鐵</t>
  </si>
  <si>
    <t>穀</t>
  </si>
  <si>
    <t>布</t>
  </si>
  <si>
    <t>絲</t>
  </si>
  <si>
    <t>米</t>
  </si>
  <si>
    <t>麥</t>
  </si>
  <si>
    <t>牛</t>
  </si>
  <si>
    <t>馬</t>
  </si>
  <si>
    <t>舟</t>
  </si>
  <si>
    <t>船</t>
  </si>
  <si>
    <t>瓦</t>
  </si>
  <si>
    <t>木</t>
  </si>
  <si>
    <t>材</t>
  </si>
  <si>
    <t>屋</t>
  </si>
  <si>
    <t>珠</t>
  </si>
  <si>
    <t>玉</t>
  </si>
  <si>
    <t>貂</t>
  </si>
  <si>
    <t>參</t>
  </si>
  <si>
    <t>桑</t>
  </si>
  <si>
    <t>麻</t>
  </si>
  <si>
    <t>薥</t>
  </si>
  <si>
    <t>黍</t>
  </si>
  <si>
    <t>酒</t>
  </si>
  <si>
    <t>茶</t>
  </si>
  <si>
    <t>衣</t>
  </si>
  <si>
    <t>冠</t>
  </si>
  <si>
    <t>履</t>
  </si>
  <si>
    <t>鞍</t>
  </si>
  <si>
    <t>轎</t>
  </si>
  <si>
    <t>窯</t>
  </si>
  <si>
    <t>粟</t>
  </si>
  <si>
    <t>糧</t>
  </si>
  <si>
    <t>魚</t>
  </si>
  <si>
    <t>鹿</t>
  </si>
  <si>
    <t>豕</t>
  </si>
  <si>
    <t>猪</t>
  </si>
  <si>
    <t>羊</t>
  </si>
  <si>
    <t>鷄</t>
  </si>
  <si>
    <t>鵝</t>
  </si>
  <si>
    <t>薪</t>
  </si>
  <si>
    <t>炭</t>
  </si>
  <si>
    <t>漆</t>
  </si>
  <si>
    <t>綿</t>
  </si>
  <si>
    <t>緞</t>
  </si>
  <si>
    <t>紬</t>
  </si>
  <si>
    <t>絹</t>
  </si>
  <si>
    <t>皮</t>
  </si>
  <si>
    <t>甎</t>
  </si>
  <si>
    <t>甃</t>
  </si>
  <si>
    <t>甑</t>
  </si>
  <si>
    <t>甕</t>
  </si>
  <si>
    <t>罐</t>
  </si>
  <si>
    <t>缸</t>
  </si>
  <si>
    <t>盆</t>
  </si>
  <si>
    <t>缶</t>
  </si>
  <si>
    <t>B 추상적·규범적</t>
  </si>
  <si>
    <t>義</t>
  </si>
  <si>
    <t>禮</t>
  </si>
  <si>
    <t>智</t>
  </si>
  <si>
    <t>德</t>
  </si>
  <si>
    <t>恩</t>
  </si>
  <si>
    <t>惠</t>
  </si>
  <si>
    <t>權</t>
  </si>
  <si>
    <t>名</t>
  </si>
  <si>
    <t>分</t>
  </si>
  <si>
    <t>節</t>
  </si>
  <si>
    <t>廉</t>
  </si>
  <si>
    <t>恥</t>
  </si>
  <si>
    <t>忠</t>
  </si>
  <si>
    <t>孝</t>
  </si>
  <si>
    <t>信</t>
  </si>
  <si>
    <t>仁</t>
  </si>
  <si>
    <t>誠</t>
  </si>
  <si>
    <t>姦</t>
  </si>
  <si>
    <t>弊</t>
  </si>
  <si>
    <t>理</t>
  </si>
  <si>
    <t>法</t>
  </si>
  <si>
    <t>制</t>
  </si>
  <si>
    <t>私</t>
  </si>
  <si>
    <t>公</t>
  </si>
  <si>
    <t>欲</t>
  </si>
  <si>
    <t>情</t>
  </si>
  <si>
    <t>志</t>
  </si>
  <si>
    <t>識</t>
  </si>
  <si>
    <t>文</t>
  </si>
  <si>
    <t>武</t>
  </si>
  <si>
    <t>貴</t>
  </si>
  <si>
    <t>賤</t>
  </si>
  <si>
    <t>僞</t>
  </si>
  <si>
    <t>詐</t>
  </si>
  <si>
    <t>妄</t>
  </si>
  <si>
    <t>罪</t>
  </si>
  <si>
    <t>賊</t>
  </si>
  <si>
    <t>盜</t>
  </si>
  <si>
    <t>A/B 경계 사례 및 은유 판정 원칙</t>
  </si>
  <si>
    <t>A/B 경계 사례</t>
  </si>
  <si>
    <t>유형</t>
  </si>
  <si>
    <t>해당 글자</t>
  </si>
  <si>
    <t>판정</t>
  </si>
  <si>
    <t>행위·평가 중첩형</t>
  </si>
  <si>
    <t>儉, 奢</t>
  </si>
  <si>
    <t>B</t>
  </si>
  <si>
    <t>행위와 평가의 의미가 겹치지만 재화 관련 문맥에서는 규범적·평가적 함의가 우세하므로 B로 처리한다.</t>
  </si>
  <si>
    <t>실물·가치 중첩형</t>
  </si>
  <si>
    <t>金, 銀, 錢</t>
  </si>
  <si>
    <t>A</t>
  </si>
  <si>
    <t>화폐·금속이라는 실물 지시가 우세하며, 가치 의미 역시 실물 지시에 기반하므로 A로 처리한다.</t>
  </si>
  <si>
    <t>신분·평가 중첩형</t>
  </si>
  <si>
    <t>貴, 賤</t>
  </si>
  <si>
    <t>가격의 높고 낮음과 신분의 귀천 모두 평가적 위계를 전제하므로 B로 처리한다.</t>
  </si>
  <si>
    <t>트리거·A/B 중복형</t>
  </si>
  <si>
    <t>銀·錢 / 儉·奢</t>
  </si>
  <si>
    <t>A / B</t>
  </si>
  <si>
    <t>트리거 목록은 분석 대상 문맥을 추출하고, A·B 목록은 추출 문맥의 어휘 빈도를 산출하므로 기능이 다르다.</t>
  </si>
  <si>
    <t>은유 판정 원칙</t>
  </si>
  <si>
    <t>원칙</t>
  </si>
  <si>
    <t>내용</t>
  </si>
  <si>
    <t>①</t>
  </si>
  <si>
    <t>판정 단위는 절로 하되, 앞뒤 문맥은 해당 절의 의미를 확정하는 자료로 사용한다. 한 절에 은유가 둘 이상 나타나는 경우에는 분석 목적상 대표적인 은유 하나를 판정한다.</t>
  </si>
  <si>
    <t>②</t>
  </si>
  <si>
    <t>핵심 어휘의 기본 의미를 확인한다. 기본 의미는 상대적으로 더 구체적이고 신체적·물질적 경험에 가까우며, 역사적으로 앞선 의미를 우선적으로 고려한다.</t>
  </si>
  <si>
    <t>③</t>
  </si>
  <si>
    <t>핵심 어휘의 기본 의미와 문맥 의미가 서로 다른 개념 영역에 속하고, 기본 의미에 기반한 구체적 경험을 통해 문맥의 추상적 개념을 이해할 수 있을 때 은유로 판정한다.</t>
  </si>
  <si>
    <t>④</t>
  </si>
  <si>
    <t>시간 단위, 관직명, 제도명이나 의미 확장이 관습화되어 문맥에서 원천 장면이 활성화되지 않는 표현은 비은유로 처리한다.</t>
  </si>
  <si>
    <t>⑤</t>
  </si>
  <si>
    <t>과장과 역설은 원천 영역으로 분류하지 않고 수사 기제로 별도 표시한다. 직유 표지가 있는 표현도 개념 영역 간 대응이 확인되면 포함하며, 환유는 제외한다.</t>
  </si>
  <si>
    <t>⑥</t>
  </si>
  <si>
    <t>동일한 어휘가 동일한 기본 의미와 개념적 대응으로 사용된 경우에는 텍스트 전체에서 동일한 원천 영역을 적용한다. 다만 문맥에 따라 기본 의미나 개념적 대응이 달라지는 경우에는 해당 문맥을 기준으로 판정한다.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</si>
</sst>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666666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7" fillId="4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workbookViewId="0">
      <selection sqref="A1:B1"/>
    </sheetView>
  </sheetViews>
  <sheetFormatPr defaultRowHeight="16.5" x14ac:dyDescent="0.3"/>
  <cols>
    <col min="1" max="1" width="22" customWidth="1"/>
    <col min="2" max="2" width="100" customWidth="1"/>
  </cols>
  <sheetData>
    <row r="1" spans="1:2" ht="24" customHeight="1" x14ac:dyDescent="0.3">
      <c r="A1" s="20" t="s">
        <v>0</v>
      </c>
      <c r="B1" s="21"/>
    </row>
    <row r="3" spans="1:2" x14ac:dyDescent="0.3">
      <c r="A3" s="1" t="s">
        <v>1</v>
      </c>
      <c r="B3" s="2" t="s">
        <v>2</v>
      </c>
    </row>
    <row r="4" spans="1:2" ht="33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9</v>
      </c>
      <c r="B7" s="2" t="s">
        <v>10</v>
      </c>
    </row>
    <row r="8" spans="1:2" x14ac:dyDescent="0.3">
      <c r="A8" s="1" t="s">
        <v>11</v>
      </c>
      <c r="B8" s="2" t="s">
        <v>12</v>
      </c>
    </row>
    <row r="9" spans="1:2" x14ac:dyDescent="0.3">
      <c r="A9" s="1" t="s">
        <v>13</v>
      </c>
      <c r="B9" s="2" t="s">
        <v>14</v>
      </c>
    </row>
    <row r="10" spans="1:2" x14ac:dyDescent="0.3">
      <c r="A10" s="1" t="s">
        <v>15</v>
      </c>
      <c r="B10" s="2" t="s">
        <v>16</v>
      </c>
    </row>
    <row r="11" spans="1:2" x14ac:dyDescent="0.3">
      <c r="A11" s="1" t="s">
        <v>17</v>
      </c>
      <c r="B11" s="3" t="s">
        <v>18</v>
      </c>
    </row>
    <row r="12" spans="1:2" x14ac:dyDescent="0.3">
      <c r="A12" s="1" t="s">
        <v>19</v>
      </c>
      <c r="B12" s="3" t="s">
        <v>20</v>
      </c>
    </row>
    <row r="13" spans="1:2" x14ac:dyDescent="0.3">
      <c r="A13" s="1" t="s">
        <v>21</v>
      </c>
      <c r="B13" s="2" t="s">
        <v>22</v>
      </c>
    </row>
  </sheetData>
  <mergeCells count="1">
    <mergeCell ref="A1:B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14" customWidth="1"/>
    <col min="3" max="3" width="10" customWidth="1"/>
    <col min="4" max="4" width="38" customWidth="1"/>
    <col min="5" max="6" width="20" customWidth="1"/>
    <col min="7" max="8" width="22" customWidth="1"/>
    <col min="9" max="9" width="55" customWidth="1"/>
    <col min="10" max="10" width="38" customWidth="1"/>
  </cols>
  <sheetData>
    <row r="1" spans="1:10" ht="24" customHeight="1" x14ac:dyDescent="0.3">
      <c r="A1" s="20" t="s">
        <v>23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</row>
    <row r="4" spans="1:10" ht="49.5" x14ac:dyDescent="0.3">
      <c r="A4" s="5">
        <v>1</v>
      </c>
      <c r="B4" s="6" t="s">
        <v>34</v>
      </c>
      <c r="C4" s="6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</row>
    <row r="5" spans="1:10" ht="33" x14ac:dyDescent="0.3">
      <c r="A5" s="5">
        <v>2</v>
      </c>
      <c r="B5" s="6" t="s">
        <v>34</v>
      </c>
      <c r="C5" s="6" t="s">
        <v>35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42</v>
      </c>
    </row>
    <row r="6" spans="1:10" ht="33" x14ac:dyDescent="0.3">
      <c r="A6" s="5">
        <v>3</v>
      </c>
      <c r="B6" s="6" t="s">
        <v>34</v>
      </c>
      <c r="C6" s="6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42</v>
      </c>
    </row>
    <row r="7" spans="1:10" ht="33" x14ac:dyDescent="0.3">
      <c r="A7" s="5">
        <v>4</v>
      </c>
      <c r="B7" s="6" t="s">
        <v>34</v>
      </c>
      <c r="C7" s="6" t="s">
        <v>56</v>
      </c>
      <c r="D7" s="3" t="s">
        <v>57</v>
      </c>
      <c r="E7" s="3" t="s">
        <v>58</v>
      </c>
      <c r="F7" s="3" t="s">
        <v>38</v>
      </c>
      <c r="G7" s="3" t="s">
        <v>59</v>
      </c>
      <c r="H7" s="3" t="s">
        <v>60</v>
      </c>
      <c r="I7" s="3" t="s">
        <v>61</v>
      </c>
      <c r="J7" s="3" t="s">
        <v>42</v>
      </c>
    </row>
    <row r="8" spans="1:10" ht="49.5" x14ac:dyDescent="0.3">
      <c r="A8" s="5">
        <v>5</v>
      </c>
      <c r="B8" s="6" t="s">
        <v>34</v>
      </c>
      <c r="C8" s="6" t="s">
        <v>62</v>
      </c>
      <c r="D8" s="3" t="s">
        <v>63</v>
      </c>
      <c r="E8" s="3" t="s">
        <v>37</v>
      </c>
      <c r="F8" s="3" t="s">
        <v>38</v>
      </c>
      <c r="G8" s="3" t="s">
        <v>64</v>
      </c>
      <c r="H8" s="3" t="s">
        <v>65</v>
      </c>
      <c r="I8" s="3" t="s">
        <v>41</v>
      </c>
      <c r="J8" s="3" t="s">
        <v>42</v>
      </c>
    </row>
    <row r="9" spans="1:10" ht="49.5" x14ac:dyDescent="0.3">
      <c r="A9" s="5">
        <v>6</v>
      </c>
      <c r="B9" s="6" t="s">
        <v>34</v>
      </c>
      <c r="C9" s="6" t="s">
        <v>62</v>
      </c>
      <c r="D9" s="3" t="s">
        <v>66</v>
      </c>
      <c r="E9" s="3" t="s">
        <v>37</v>
      </c>
      <c r="F9" s="3" t="s">
        <v>45</v>
      </c>
      <c r="G9" s="3" t="s">
        <v>67</v>
      </c>
      <c r="H9" s="3" t="s">
        <v>68</v>
      </c>
      <c r="I9" s="3" t="s">
        <v>69</v>
      </c>
      <c r="J9" s="3" t="s">
        <v>42</v>
      </c>
    </row>
    <row r="10" spans="1:10" ht="49.5" x14ac:dyDescent="0.3">
      <c r="A10" s="5">
        <v>7</v>
      </c>
      <c r="B10" s="6" t="s">
        <v>34</v>
      </c>
      <c r="C10" s="6" t="s">
        <v>62</v>
      </c>
      <c r="D10" s="3" t="s">
        <v>70</v>
      </c>
      <c r="E10" s="3" t="s">
        <v>37</v>
      </c>
      <c r="F10" s="3" t="s">
        <v>52</v>
      </c>
      <c r="G10" s="3" t="s">
        <v>71</v>
      </c>
      <c r="H10" s="3" t="s">
        <v>72</v>
      </c>
      <c r="I10" s="3" t="s">
        <v>73</v>
      </c>
      <c r="J10" s="3" t="s">
        <v>42</v>
      </c>
    </row>
    <row r="11" spans="1:10" ht="33" x14ac:dyDescent="0.3">
      <c r="A11" s="5">
        <v>8</v>
      </c>
      <c r="B11" s="6" t="s">
        <v>34</v>
      </c>
      <c r="C11" s="6" t="s">
        <v>62</v>
      </c>
      <c r="D11" s="3" t="s">
        <v>74</v>
      </c>
      <c r="E11" s="3" t="s">
        <v>44</v>
      </c>
      <c r="F11" s="3" t="s">
        <v>38</v>
      </c>
      <c r="G11" s="3" t="s">
        <v>75</v>
      </c>
      <c r="H11" s="3" t="s">
        <v>76</v>
      </c>
      <c r="I11" s="3" t="s">
        <v>77</v>
      </c>
      <c r="J11" s="3" t="s">
        <v>42</v>
      </c>
    </row>
    <row r="12" spans="1:10" ht="33" x14ac:dyDescent="0.3">
      <c r="A12" s="5">
        <v>9</v>
      </c>
      <c r="B12" s="6" t="s">
        <v>34</v>
      </c>
      <c r="C12" s="6" t="s">
        <v>78</v>
      </c>
      <c r="D12" s="3" t="s">
        <v>79</v>
      </c>
      <c r="E12" s="3" t="s">
        <v>80</v>
      </c>
      <c r="F12" s="3" t="s">
        <v>38</v>
      </c>
      <c r="G12" s="3" t="s">
        <v>81</v>
      </c>
      <c r="H12" s="3" t="s">
        <v>82</v>
      </c>
      <c r="I12" s="3" t="s">
        <v>83</v>
      </c>
      <c r="J12" s="3" t="s">
        <v>42</v>
      </c>
    </row>
    <row r="13" spans="1:10" ht="33" x14ac:dyDescent="0.3">
      <c r="A13" s="5">
        <v>10</v>
      </c>
      <c r="B13" s="6" t="s">
        <v>34</v>
      </c>
      <c r="C13" s="6" t="s">
        <v>78</v>
      </c>
      <c r="D13" s="3" t="s">
        <v>84</v>
      </c>
      <c r="E13" s="3" t="s">
        <v>51</v>
      </c>
      <c r="F13" s="3" t="s">
        <v>85</v>
      </c>
      <c r="G13" s="3" t="s">
        <v>53</v>
      </c>
      <c r="H13" s="3" t="s">
        <v>86</v>
      </c>
      <c r="I13" s="3" t="s">
        <v>87</v>
      </c>
      <c r="J13" s="3" t="s">
        <v>42</v>
      </c>
    </row>
    <row r="14" spans="1:10" ht="33" x14ac:dyDescent="0.3">
      <c r="A14" s="5">
        <v>11</v>
      </c>
      <c r="B14" s="6" t="s">
        <v>34</v>
      </c>
      <c r="C14" s="6" t="s">
        <v>88</v>
      </c>
      <c r="D14" s="3" t="s">
        <v>89</v>
      </c>
      <c r="E14" s="3" t="s">
        <v>51</v>
      </c>
      <c r="F14" s="3" t="s">
        <v>38</v>
      </c>
      <c r="G14" s="3" t="s">
        <v>90</v>
      </c>
      <c r="H14" s="3" t="s">
        <v>91</v>
      </c>
      <c r="I14" s="3" t="s">
        <v>92</v>
      </c>
      <c r="J14" s="3" t="s">
        <v>42</v>
      </c>
    </row>
    <row r="15" spans="1:10" ht="49.5" x14ac:dyDescent="0.3">
      <c r="A15" s="5">
        <v>12</v>
      </c>
      <c r="B15" s="6" t="s">
        <v>34</v>
      </c>
      <c r="C15" s="6" t="s">
        <v>88</v>
      </c>
      <c r="D15" s="3" t="s">
        <v>93</v>
      </c>
      <c r="E15" s="3" t="s">
        <v>37</v>
      </c>
      <c r="F15" s="3" t="s">
        <v>38</v>
      </c>
      <c r="G15" s="3" t="s">
        <v>94</v>
      </c>
      <c r="H15" s="3" t="s">
        <v>95</v>
      </c>
      <c r="I15" s="3" t="s">
        <v>41</v>
      </c>
      <c r="J15" s="3" t="s">
        <v>42</v>
      </c>
    </row>
    <row r="16" spans="1:10" ht="33" x14ac:dyDescent="0.3">
      <c r="A16" s="5">
        <v>13</v>
      </c>
      <c r="B16" s="6" t="s">
        <v>34</v>
      </c>
      <c r="C16" s="6" t="s">
        <v>88</v>
      </c>
      <c r="D16" s="3" t="s">
        <v>96</v>
      </c>
      <c r="E16" s="3" t="s">
        <v>58</v>
      </c>
      <c r="F16" s="3" t="s">
        <v>38</v>
      </c>
      <c r="G16" s="3" t="s">
        <v>97</v>
      </c>
      <c r="H16" s="3" t="s">
        <v>98</v>
      </c>
      <c r="I16" s="3" t="s">
        <v>99</v>
      </c>
      <c r="J16" s="3" t="s">
        <v>42</v>
      </c>
    </row>
    <row r="17" spans="1:10" x14ac:dyDescent="0.3">
      <c r="A17" s="5">
        <v>14</v>
      </c>
      <c r="B17" s="6" t="s">
        <v>34</v>
      </c>
      <c r="C17" s="6" t="s">
        <v>88</v>
      </c>
      <c r="D17" s="3" t="s">
        <v>100</v>
      </c>
      <c r="E17" s="3" t="s">
        <v>80</v>
      </c>
      <c r="F17" s="3" t="s">
        <v>52</v>
      </c>
      <c r="G17" s="3" t="s">
        <v>101</v>
      </c>
      <c r="H17" s="3" t="s">
        <v>102</v>
      </c>
      <c r="I17" s="3" t="s">
        <v>103</v>
      </c>
      <c r="J17" s="3" t="s">
        <v>42</v>
      </c>
    </row>
    <row r="18" spans="1:10" ht="49.5" x14ac:dyDescent="0.3">
      <c r="A18" s="5">
        <v>15</v>
      </c>
      <c r="B18" s="6" t="s">
        <v>34</v>
      </c>
      <c r="C18" s="6" t="s">
        <v>104</v>
      </c>
      <c r="D18" s="3" t="s">
        <v>105</v>
      </c>
      <c r="E18" s="3" t="s">
        <v>37</v>
      </c>
      <c r="F18" s="3" t="s">
        <v>38</v>
      </c>
      <c r="G18" s="3" t="s">
        <v>106</v>
      </c>
      <c r="H18" s="3" t="s">
        <v>107</v>
      </c>
      <c r="I18" s="3" t="s">
        <v>41</v>
      </c>
      <c r="J18" s="3" t="s">
        <v>42</v>
      </c>
    </row>
    <row r="19" spans="1:10" ht="33" x14ac:dyDescent="0.3">
      <c r="A19" s="5">
        <v>16</v>
      </c>
      <c r="B19" s="6" t="s">
        <v>34</v>
      </c>
      <c r="C19" s="6" t="s">
        <v>108</v>
      </c>
      <c r="D19" s="3" t="s">
        <v>109</v>
      </c>
      <c r="E19" s="3" t="s">
        <v>80</v>
      </c>
      <c r="F19" s="3" t="s">
        <v>38</v>
      </c>
      <c r="G19" s="3" t="s">
        <v>81</v>
      </c>
      <c r="H19" s="3" t="s">
        <v>82</v>
      </c>
      <c r="I19" s="3" t="s">
        <v>83</v>
      </c>
      <c r="J19" s="3" t="s">
        <v>42</v>
      </c>
    </row>
    <row r="20" spans="1:10" ht="33" x14ac:dyDescent="0.3">
      <c r="A20" s="5">
        <v>17</v>
      </c>
      <c r="B20" s="6" t="s">
        <v>34</v>
      </c>
      <c r="C20" s="6" t="s">
        <v>108</v>
      </c>
      <c r="D20" s="3" t="s">
        <v>110</v>
      </c>
      <c r="E20" s="3" t="s">
        <v>80</v>
      </c>
      <c r="F20" s="3" t="s">
        <v>38</v>
      </c>
      <c r="G20" s="3" t="s">
        <v>81</v>
      </c>
      <c r="H20" s="3" t="s">
        <v>111</v>
      </c>
      <c r="I20" s="3" t="s">
        <v>83</v>
      </c>
      <c r="J20" s="3" t="s">
        <v>42</v>
      </c>
    </row>
    <row r="21" spans="1:10" ht="49.5" x14ac:dyDescent="0.3">
      <c r="A21" s="5">
        <v>18</v>
      </c>
      <c r="B21" s="6" t="s">
        <v>34</v>
      </c>
      <c r="C21" s="6" t="s">
        <v>108</v>
      </c>
      <c r="D21" s="3" t="s">
        <v>112</v>
      </c>
      <c r="E21" s="3" t="s">
        <v>37</v>
      </c>
      <c r="F21" s="3" t="s">
        <v>38</v>
      </c>
      <c r="G21" s="3" t="s">
        <v>113</v>
      </c>
      <c r="H21" s="3" t="s">
        <v>114</v>
      </c>
      <c r="I21" s="3" t="s">
        <v>41</v>
      </c>
      <c r="J21" s="3" t="s">
        <v>42</v>
      </c>
    </row>
    <row r="22" spans="1:10" ht="33" x14ac:dyDescent="0.3">
      <c r="A22" s="5">
        <v>19</v>
      </c>
      <c r="B22" s="6" t="s">
        <v>34</v>
      </c>
      <c r="C22" s="6" t="s">
        <v>115</v>
      </c>
      <c r="D22" s="3" t="s">
        <v>116</v>
      </c>
      <c r="E22" s="3" t="s">
        <v>44</v>
      </c>
      <c r="F22" s="3" t="s">
        <v>38</v>
      </c>
      <c r="G22" s="3" t="s">
        <v>46</v>
      </c>
      <c r="H22" s="3" t="s">
        <v>117</v>
      </c>
      <c r="I22" s="3" t="s">
        <v>77</v>
      </c>
      <c r="J22" s="3" t="s">
        <v>42</v>
      </c>
    </row>
    <row r="23" spans="1:10" ht="49.5" x14ac:dyDescent="0.3">
      <c r="A23" s="5">
        <v>20</v>
      </c>
      <c r="B23" s="6" t="s">
        <v>34</v>
      </c>
      <c r="C23" s="6" t="s">
        <v>118</v>
      </c>
      <c r="D23" s="3" t="s">
        <v>119</v>
      </c>
      <c r="E23" s="3" t="s">
        <v>37</v>
      </c>
      <c r="F23" s="3" t="s">
        <v>38</v>
      </c>
      <c r="G23" s="3" t="s">
        <v>120</v>
      </c>
      <c r="H23" s="3" t="s">
        <v>121</v>
      </c>
      <c r="I23" s="3" t="s">
        <v>41</v>
      </c>
      <c r="J23" s="3" t="s">
        <v>42</v>
      </c>
    </row>
    <row r="24" spans="1:10" ht="49.5" x14ac:dyDescent="0.3">
      <c r="A24" s="5">
        <v>21</v>
      </c>
      <c r="B24" s="6" t="s">
        <v>34</v>
      </c>
      <c r="C24" s="6" t="s">
        <v>118</v>
      </c>
      <c r="D24" s="3" t="s">
        <v>122</v>
      </c>
      <c r="E24" s="3" t="s">
        <v>37</v>
      </c>
      <c r="F24" s="3" t="s">
        <v>52</v>
      </c>
      <c r="G24" s="3" t="s">
        <v>123</v>
      </c>
      <c r="H24" s="3" t="s">
        <v>124</v>
      </c>
      <c r="I24" s="3" t="s">
        <v>73</v>
      </c>
      <c r="J24" s="3" t="s">
        <v>42</v>
      </c>
    </row>
    <row r="25" spans="1:10" ht="33" x14ac:dyDescent="0.3">
      <c r="A25" s="5">
        <v>22</v>
      </c>
      <c r="B25" s="6" t="s">
        <v>34</v>
      </c>
      <c r="C25" s="6" t="s">
        <v>118</v>
      </c>
      <c r="D25" s="3" t="s">
        <v>125</v>
      </c>
      <c r="E25" s="3" t="s">
        <v>80</v>
      </c>
      <c r="F25" s="3" t="s">
        <v>38</v>
      </c>
      <c r="G25" s="3" t="s">
        <v>126</v>
      </c>
      <c r="H25" s="3" t="s">
        <v>98</v>
      </c>
      <c r="I25" s="3" t="s">
        <v>83</v>
      </c>
      <c r="J25" s="3" t="s">
        <v>42</v>
      </c>
    </row>
    <row r="26" spans="1:10" x14ac:dyDescent="0.3">
      <c r="A26" s="5">
        <v>23</v>
      </c>
      <c r="B26" s="6" t="s">
        <v>34</v>
      </c>
      <c r="C26" s="6" t="s">
        <v>127</v>
      </c>
      <c r="D26" s="3" t="s">
        <v>128</v>
      </c>
      <c r="E26" s="3" t="s">
        <v>51</v>
      </c>
      <c r="F26" s="3" t="s">
        <v>45</v>
      </c>
      <c r="G26" s="3" t="s">
        <v>53</v>
      </c>
      <c r="H26" s="3" t="s">
        <v>129</v>
      </c>
      <c r="I26" s="3" t="s">
        <v>130</v>
      </c>
      <c r="J26" s="3" t="s">
        <v>42</v>
      </c>
    </row>
    <row r="27" spans="1:10" ht="49.5" x14ac:dyDescent="0.3">
      <c r="A27" s="5">
        <v>24</v>
      </c>
      <c r="B27" s="6" t="s">
        <v>34</v>
      </c>
      <c r="C27" s="6" t="s">
        <v>127</v>
      </c>
      <c r="D27" s="3" t="s">
        <v>131</v>
      </c>
      <c r="E27" s="3" t="s">
        <v>37</v>
      </c>
      <c r="F27" s="3" t="s">
        <v>52</v>
      </c>
      <c r="G27" s="3" t="s">
        <v>132</v>
      </c>
      <c r="H27" s="3" t="s">
        <v>133</v>
      </c>
      <c r="I27" s="3" t="s">
        <v>73</v>
      </c>
      <c r="J27" s="3" t="s">
        <v>42</v>
      </c>
    </row>
    <row r="28" spans="1:10" ht="49.5" x14ac:dyDescent="0.3">
      <c r="A28" s="5">
        <v>25</v>
      </c>
      <c r="B28" s="6" t="s">
        <v>34</v>
      </c>
      <c r="C28" s="6" t="s">
        <v>127</v>
      </c>
      <c r="D28" s="3" t="s">
        <v>134</v>
      </c>
      <c r="E28" s="3" t="s">
        <v>37</v>
      </c>
      <c r="F28" s="3" t="s">
        <v>85</v>
      </c>
      <c r="G28" s="3" t="s">
        <v>135</v>
      </c>
      <c r="H28" s="3" t="s">
        <v>136</v>
      </c>
      <c r="I28" s="3" t="s">
        <v>137</v>
      </c>
      <c r="J28" s="3" t="s">
        <v>42</v>
      </c>
    </row>
    <row r="29" spans="1:10" ht="49.5" x14ac:dyDescent="0.3">
      <c r="A29" s="5">
        <v>26</v>
      </c>
      <c r="B29" s="6" t="s">
        <v>34</v>
      </c>
      <c r="C29" s="6" t="s">
        <v>127</v>
      </c>
      <c r="D29" s="3" t="s">
        <v>138</v>
      </c>
      <c r="E29" s="3" t="s">
        <v>37</v>
      </c>
      <c r="F29" s="3" t="s">
        <v>52</v>
      </c>
      <c r="G29" s="3" t="s">
        <v>139</v>
      </c>
      <c r="H29" s="3" t="s">
        <v>140</v>
      </c>
      <c r="I29" s="3" t="s">
        <v>73</v>
      </c>
      <c r="J29" s="3" t="s">
        <v>42</v>
      </c>
    </row>
    <row r="30" spans="1:10" ht="33" x14ac:dyDescent="0.3">
      <c r="A30" s="5">
        <v>27</v>
      </c>
      <c r="B30" s="6" t="s">
        <v>34</v>
      </c>
      <c r="C30" s="6" t="s">
        <v>141</v>
      </c>
      <c r="D30" s="3" t="s">
        <v>142</v>
      </c>
      <c r="E30" s="3" t="s">
        <v>51</v>
      </c>
      <c r="F30" s="3" t="s">
        <v>85</v>
      </c>
      <c r="G30" s="3" t="s">
        <v>53</v>
      </c>
      <c r="H30" s="3" t="s">
        <v>143</v>
      </c>
      <c r="I30" s="3" t="s">
        <v>144</v>
      </c>
      <c r="J30" s="3" t="s">
        <v>42</v>
      </c>
    </row>
    <row r="31" spans="1:10" x14ac:dyDescent="0.3">
      <c r="A31" s="5">
        <v>28</v>
      </c>
      <c r="B31" s="6" t="s">
        <v>34</v>
      </c>
      <c r="C31" s="6" t="s">
        <v>145</v>
      </c>
      <c r="D31" s="3" t="s">
        <v>146</v>
      </c>
      <c r="E31" s="3" t="s">
        <v>51</v>
      </c>
      <c r="F31" s="3" t="s">
        <v>45</v>
      </c>
      <c r="G31" s="3" t="s">
        <v>147</v>
      </c>
      <c r="H31" s="3" t="s">
        <v>148</v>
      </c>
      <c r="I31" s="3" t="s">
        <v>130</v>
      </c>
      <c r="J31" s="3" t="s">
        <v>42</v>
      </c>
    </row>
    <row r="32" spans="1:10" ht="33" x14ac:dyDescent="0.3">
      <c r="A32" s="5">
        <v>29</v>
      </c>
      <c r="B32" s="6" t="s">
        <v>34</v>
      </c>
      <c r="C32" s="6" t="s">
        <v>149</v>
      </c>
      <c r="D32" s="3" t="s">
        <v>150</v>
      </c>
      <c r="E32" s="3" t="s">
        <v>51</v>
      </c>
      <c r="F32" s="3" t="s">
        <v>38</v>
      </c>
      <c r="G32" s="3" t="s">
        <v>147</v>
      </c>
      <c r="H32" s="3" t="s">
        <v>151</v>
      </c>
      <c r="I32" s="3" t="s">
        <v>92</v>
      </c>
      <c r="J32" s="3" t="s">
        <v>42</v>
      </c>
    </row>
    <row r="33" spans="1:10" ht="49.5" x14ac:dyDescent="0.3">
      <c r="A33" s="5">
        <v>30</v>
      </c>
      <c r="B33" s="6" t="s">
        <v>34</v>
      </c>
      <c r="C33" s="6" t="s">
        <v>149</v>
      </c>
      <c r="D33" s="3" t="s">
        <v>152</v>
      </c>
      <c r="E33" s="3" t="s">
        <v>37</v>
      </c>
      <c r="F33" s="3" t="s">
        <v>38</v>
      </c>
      <c r="G33" s="3" t="s">
        <v>39</v>
      </c>
      <c r="H33" s="3" t="s">
        <v>114</v>
      </c>
      <c r="I33" s="3" t="s">
        <v>41</v>
      </c>
      <c r="J33" s="3" t="s">
        <v>42</v>
      </c>
    </row>
    <row r="34" spans="1:10" ht="33" x14ac:dyDescent="0.3">
      <c r="A34" s="5">
        <v>31</v>
      </c>
      <c r="B34" s="6" t="s">
        <v>34</v>
      </c>
      <c r="C34" s="6" t="s">
        <v>149</v>
      </c>
      <c r="D34" s="3" t="s">
        <v>153</v>
      </c>
      <c r="E34" s="3" t="s">
        <v>51</v>
      </c>
      <c r="F34" s="3" t="s">
        <v>85</v>
      </c>
      <c r="G34" s="3" t="s">
        <v>154</v>
      </c>
      <c r="H34" s="3" t="s">
        <v>155</v>
      </c>
      <c r="I34" s="3" t="s">
        <v>87</v>
      </c>
      <c r="J34" s="3" t="s">
        <v>42</v>
      </c>
    </row>
    <row r="35" spans="1:10" ht="49.5" x14ac:dyDescent="0.3">
      <c r="A35" s="5">
        <v>32</v>
      </c>
      <c r="B35" s="6" t="s">
        <v>34</v>
      </c>
      <c r="C35" s="6" t="s">
        <v>149</v>
      </c>
      <c r="D35" s="3" t="s">
        <v>156</v>
      </c>
      <c r="E35" s="3" t="s">
        <v>37</v>
      </c>
      <c r="F35" s="3" t="s">
        <v>85</v>
      </c>
      <c r="G35" s="3" t="s">
        <v>157</v>
      </c>
      <c r="H35" s="3" t="s">
        <v>158</v>
      </c>
      <c r="I35" s="3" t="s">
        <v>137</v>
      </c>
      <c r="J35" s="3" t="s">
        <v>42</v>
      </c>
    </row>
    <row r="36" spans="1:10" ht="49.5" x14ac:dyDescent="0.3">
      <c r="A36" s="5">
        <v>33</v>
      </c>
      <c r="B36" s="6" t="s">
        <v>34</v>
      </c>
      <c r="C36" s="6" t="s">
        <v>149</v>
      </c>
      <c r="D36" s="3" t="s">
        <v>159</v>
      </c>
      <c r="E36" s="3" t="s">
        <v>37</v>
      </c>
      <c r="F36" s="3" t="s">
        <v>38</v>
      </c>
      <c r="G36" s="3" t="s">
        <v>160</v>
      </c>
      <c r="H36" s="3" t="s">
        <v>161</v>
      </c>
      <c r="I36" s="3" t="s">
        <v>41</v>
      </c>
      <c r="J36" s="3" t="s">
        <v>42</v>
      </c>
    </row>
    <row r="37" spans="1:10" ht="49.5" x14ac:dyDescent="0.3">
      <c r="A37" s="5">
        <v>34</v>
      </c>
      <c r="B37" s="6" t="s">
        <v>34</v>
      </c>
      <c r="C37" s="6" t="s">
        <v>162</v>
      </c>
      <c r="D37" s="3" t="s">
        <v>163</v>
      </c>
      <c r="E37" s="3" t="s">
        <v>37</v>
      </c>
      <c r="F37" s="3" t="s">
        <v>45</v>
      </c>
      <c r="G37" s="3" t="s">
        <v>164</v>
      </c>
      <c r="H37" s="3" t="s">
        <v>165</v>
      </c>
      <c r="I37" s="3" t="s">
        <v>69</v>
      </c>
      <c r="J37" s="3" t="s">
        <v>42</v>
      </c>
    </row>
    <row r="38" spans="1:10" ht="33" x14ac:dyDescent="0.3">
      <c r="A38" s="5">
        <v>35</v>
      </c>
      <c r="B38" s="6" t="s">
        <v>34</v>
      </c>
      <c r="C38" s="6" t="s">
        <v>162</v>
      </c>
      <c r="D38" s="3" t="s">
        <v>166</v>
      </c>
      <c r="E38" s="3" t="s">
        <v>167</v>
      </c>
      <c r="F38" s="3" t="s">
        <v>85</v>
      </c>
      <c r="G38" s="3" t="s">
        <v>168</v>
      </c>
      <c r="H38" s="3" t="s">
        <v>169</v>
      </c>
      <c r="I38" s="3" t="s">
        <v>170</v>
      </c>
      <c r="J38" s="3" t="s">
        <v>42</v>
      </c>
    </row>
    <row r="39" spans="1:10" ht="33" x14ac:dyDescent="0.3">
      <c r="A39" s="5">
        <v>36</v>
      </c>
      <c r="B39" s="6" t="s">
        <v>34</v>
      </c>
      <c r="C39" s="6" t="s">
        <v>162</v>
      </c>
      <c r="D39" s="3" t="s">
        <v>171</v>
      </c>
      <c r="E39" s="3" t="s">
        <v>58</v>
      </c>
      <c r="F39" s="3" t="s">
        <v>38</v>
      </c>
      <c r="G39" s="3" t="s">
        <v>97</v>
      </c>
      <c r="H39" s="3" t="s">
        <v>172</v>
      </c>
      <c r="I39" s="3" t="s">
        <v>99</v>
      </c>
      <c r="J39" s="3" t="s">
        <v>42</v>
      </c>
    </row>
    <row r="40" spans="1:10" ht="33" x14ac:dyDescent="0.3">
      <c r="A40" s="5">
        <v>37</v>
      </c>
      <c r="B40" s="6" t="s">
        <v>34</v>
      </c>
      <c r="C40" s="6" t="s">
        <v>173</v>
      </c>
      <c r="D40" s="3" t="s">
        <v>174</v>
      </c>
      <c r="E40" s="3" t="s">
        <v>51</v>
      </c>
      <c r="F40" s="3" t="s">
        <v>38</v>
      </c>
      <c r="G40" s="3" t="s">
        <v>90</v>
      </c>
      <c r="H40" s="3" t="s">
        <v>91</v>
      </c>
      <c r="I40" s="3" t="s">
        <v>92</v>
      </c>
      <c r="J40" s="3" t="s">
        <v>42</v>
      </c>
    </row>
    <row r="41" spans="1:10" ht="49.5" x14ac:dyDescent="0.3">
      <c r="A41" s="5">
        <v>38</v>
      </c>
      <c r="B41" s="6" t="s">
        <v>34</v>
      </c>
      <c r="C41" s="6" t="s">
        <v>175</v>
      </c>
      <c r="D41" s="3" t="s">
        <v>176</v>
      </c>
      <c r="E41" s="3" t="s">
        <v>37</v>
      </c>
      <c r="F41" s="3" t="s">
        <v>38</v>
      </c>
      <c r="G41" s="3" t="s">
        <v>177</v>
      </c>
      <c r="H41" s="3" t="s">
        <v>178</v>
      </c>
      <c r="I41" s="3" t="s">
        <v>41</v>
      </c>
      <c r="J41" s="3" t="s">
        <v>42</v>
      </c>
    </row>
    <row r="42" spans="1:10" x14ac:dyDescent="0.3">
      <c r="A42" s="5">
        <v>39</v>
      </c>
      <c r="B42" s="6" t="s">
        <v>34</v>
      </c>
      <c r="C42" s="6" t="s">
        <v>179</v>
      </c>
      <c r="D42" s="3" t="s">
        <v>180</v>
      </c>
      <c r="E42" s="3" t="s">
        <v>80</v>
      </c>
      <c r="F42" s="3" t="s">
        <v>52</v>
      </c>
      <c r="G42" s="3" t="s">
        <v>101</v>
      </c>
      <c r="H42" s="3" t="s">
        <v>102</v>
      </c>
      <c r="I42" s="3" t="s">
        <v>103</v>
      </c>
      <c r="J42" s="3" t="s">
        <v>42</v>
      </c>
    </row>
    <row r="43" spans="1:10" ht="49.5" x14ac:dyDescent="0.3">
      <c r="A43" s="5">
        <v>40</v>
      </c>
      <c r="B43" s="6" t="s">
        <v>34</v>
      </c>
      <c r="C43" s="6" t="s">
        <v>181</v>
      </c>
      <c r="D43" s="3" t="s">
        <v>182</v>
      </c>
      <c r="E43" s="3" t="s">
        <v>37</v>
      </c>
      <c r="F43" s="3" t="s">
        <v>38</v>
      </c>
      <c r="G43" s="3" t="s">
        <v>39</v>
      </c>
      <c r="H43" s="3" t="s">
        <v>114</v>
      </c>
      <c r="I43" s="3" t="s">
        <v>41</v>
      </c>
      <c r="J43" s="3" t="s">
        <v>42</v>
      </c>
    </row>
    <row r="44" spans="1:10" ht="49.5" x14ac:dyDescent="0.3">
      <c r="A44" s="5">
        <v>41</v>
      </c>
      <c r="B44" s="6" t="s">
        <v>34</v>
      </c>
      <c r="C44" s="6" t="s">
        <v>183</v>
      </c>
      <c r="D44" s="3" t="s">
        <v>184</v>
      </c>
      <c r="E44" s="3" t="s">
        <v>44</v>
      </c>
      <c r="F44" s="3" t="s">
        <v>38</v>
      </c>
      <c r="G44" s="3" t="s">
        <v>185</v>
      </c>
      <c r="H44" s="3" t="s">
        <v>186</v>
      </c>
      <c r="I44" s="3" t="s">
        <v>41</v>
      </c>
      <c r="J44" s="3" t="s">
        <v>42</v>
      </c>
    </row>
    <row r="45" spans="1:10" ht="33" x14ac:dyDescent="0.3">
      <c r="A45" s="5">
        <v>42</v>
      </c>
      <c r="B45" s="6" t="s">
        <v>34</v>
      </c>
      <c r="C45" s="6" t="s">
        <v>187</v>
      </c>
      <c r="D45" s="3" t="s">
        <v>188</v>
      </c>
      <c r="E45" s="3" t="s">
        <v>44</v>
      </c>
      <c r="F45" s="3" t="s">
        <v>38</v>
      </c>
      <c r="G45" s="3" t="s">
        <v>189</v>
      </c>
      <c r="H45" s="3" t="s">
        <v>186</v>
      </c>
      <c r="I45" s="3" t="s">
        <v>77</v>
      </c>
      <c r="J45" s="3" t="s">
        <v>42</v>
      </c>
    </row>
    <row r="46" spans="1:10" ht="33" x14ac:dyDescent="0.3">
      <c r="A46" s="5">
        <v>43</v>
      </c>
      <c r="B46" s="6" t="s">
        <v>34</v>
      </c>
      <c r="C46" s="6" t="s">
        <v>190</v>
      </c>
      <c r="D46" s="3" t="s">
        <v>191</v>
      </c>
      <c r="E46" s="3" t="s">
        <v>44</v>
      </c>
      <c r="F46" s="3" t="s">
        <v>85</v>
      </c>
      <c r="G46" s="3" t="s">
        <v>192</v>
      </c>
      <c r="H46" s="3" t="s">
        <v>155</v>
      </c>
      <c r="I46" s="3" t="s">
        <v>193</v>
      </c>
      <c r="J46" s="3" t="s">
        <v>42</v>
      </c>
    </row>
    <row r="47" spans="1:10" ht="49.5" x14ac:dyDescent="0.3">
      <c r="A47" s="5">
        <v>44</v>
      </c>
      <c r="B47" s="6" t="s">
        <v>34</v>
      </c>
      <c r="C47" s="6" t="s">
        <v>190</v>
      </c>
      <c r="D47" s="3" t="s">
        <v>194</v>
      </c>
      <c r="E47" s="3" t="s">
        <v>37</v>
      </c>
      <c r="F47" s="3" t="s">
        <v>38</v>
      </c>
      <c r="G47" s="3" t="s">
        <v>195</v>
      </c>
      <c r="H47" s="3" t="s">
        <v>196</v>
      </c>
      <c r="I47" s="3" t="s">
        <v>41</v>
      </c>
      <c r="J47" s="3" t="s">
        <v>42</v>
      </c>
    </row>
    <row r="48" spans="1:10" ht="33" x14ac:dyDescent="0.3">
      <c r="A48" s="5">
        <v>45</v>
      </c>
      <c r="B48" s="6" t="s">
        <v>34</v>
      </c>
      <c r="C48" s="6" t="s">
        <v>190</v>
      </c>
      <c r="D48" s="3" t="s">
        <v>197</v>
      </c>
      <c r="E48" s="3" t="s">
        <v>44</v>
      </c>
      <c r="F48" s="3" t="s">
        <v>38</v>
      </c>
      <c r="G48" s="3" t="s">
        <v>189</v>
      </c>
      <c r="H48" s="3" t="s">
        <v>198</v>
      </c>
      <c r="I48" s="3" t="s">
        <v>77</v>
      </c>
      <c r="J48" s="3" t="s">
        <v>42</v>
      </c>
    </row>
    <row r="49" spans="1:10" ht="49.5" x14ac:dyDescent="0.3">
      <c r="A49" s="5">
        <v>46</v>
      </c>
      <c r="B49" s="6" t="s">
        <v>34</v>
      </c>
      <c r="C49" s="6" t="s">
        <v>199</v>
      </c>
      <c r="D49" s="3" t="s">
        <v>200</v>
      </c>
      <c r="E49" s="3" t="s">
        <v>37</v>
      </c>
      <c r="F49" s="3" t="s">
        <v>38</v>
      </c>
      <c r="G49" s="3" t="s">
        <v>201</v>
      </c>
      <c r="H49" s="3" t="s">
        <v>202</v>
      </c>
      <c r="I49" s="3" t="s">
        <v>41</v>
      </c>
      <c r="J49" s="3" t="s">
        <v>42</v>
      </c>
    </row>
    <row r="50" spans="1:10" ht="49.5" x14ac:dyDescent="0.3">
      <c r="A50" s="5">
        <v>47</v>
      </c>
      <c r="B50" s="6" t="s">
        <v>34</v>
      </c>
      <c r="C50" s="6" t="s">
        <v>203</v>
      </c>
      <c r="D50" s="3" t="s">
        <v>204</v>
      </c>
      <c r="E50" s="3" t="s">
        <v>37</v>
      </c>
      <c r="F50" s="3" t="s">
        <v>38</v>
      </c>
      <c r="G50" s="3" t="s">
        <v>94</v>
      </c>
      <c r="H50" s="3" t="s">
        <v>95</v>
      </c>
      <c r="I50" s="3" t="s">
        <v>41</v>
      </c>
      <c r="J50" s="3" t="s">
        <v>42</v>
      </c>
    </row>
    <row r="51" spans="1:10" ht="33" x14ac:dyDescent="0.3">
      <c r="A51" s="5">
        <v>48</v>
      </c>
      <c r="B51" s="6" t="s">
        <v>34</v>
      </c>
      <c r="C51" s="6" t="s">
        <v>205</v>
      </c>
      <c r="D51" s="3" t="s">
        <v>206</v>
      </c>
      <c r="E51" s="3" t="s">
        <v>44</v>
      </c>
      <c r="F51" s="3" t="s">
        <v>207</v>
      </c>
      <c r="G51" s="3" t="s">
        <v>208</v>
      </c>
      <c r="H51" s="3" t="s">
        <v>209</v>
      </c>
      <c r="I51" s="3" t="s">
        <v>210</v>
      </c>
      <c r="J51" s="3" t="s">
        <v>42</v>
      </c>
    </row>
    <row r="52" spans="1:10" ht="49.5" x14ac:dyDescent="0.3">
      <c r="A52" s="5">
        <v>49</v>
      </c>
      <c r="B52" s="6" t="s">
        <v>34</v>
      </c>
      <c r="C52" s="6" t="s">
        <v>205</v>
      </c>
      <c r="D52" s="3" t="s">
        <v>211</v>
      </c>
      <c r="E52" s="3" t="s">
        <v>37</v>
      </c>
      <c r="F52" s="3" t="s">
        <v>38</v>
      </c>
      <c r="G52" s="3" t="s">
        <v>212</v>
      </c>
      <c r="H52" s="3" t="s">
        <v>213</v>
      </c>
      <c r="I52" s="3" t="s">
        <v>41</v>
      </c>
      <c r="J52" s="3" t="s">
        <v>42</v>
      </c>
    </row>
    <row r="53" spans="1:10" ht="49.5" x14ac:dyDescent="0.3">
      <c r="A53" s="5">
        <v>50</v>
      </c>
      <c r="B53" s="6" t="s">
        <v>34</v>
      </c>
      <c r="C53" s="6" t="s">
        <v>214</v>
      </c>
      <c r="D53" s="3" t="s">
        <v>215</v>
      </c>
      <c r="E53" s="3" t="s">
        <v>37</v>
      </c>
      <c r="F53" s="3" t="s">
        <v>38</v>
      </c>
      <c r="G53" s="3" t="s">
        <v>216</v>
      </c>
      <c r="H53" s="3" t="s">
        <v>217</v>
      </c>
      <c r="I53" s="3" t="s">
        <v>218</v>
      </c>
      <c r="J53" s="3" t="s">
        <v>42</v>
      </c>
    </row>
    <row r="54" spans="1:10" ht="49.5" x14ac:dyDescent="0.3">
      <c r="A54" s="5">
        <v>51</v>
      </c>
      <c r="B54" s="6" t="s">
        <v>34</v>
      </c>
      <c r="C54" s="6" t="s">
        <v>219</v>
      </c>
      <c r="D54" s="3" t="s">
        <v>220</v>
      </c>
      <c r="E54" s="3" t="s">
        <v>37</v>
      </c>
      <c r="F54" s="3" t="s">
        <v>38</v>
      </c>
      <c r="G54" s="3" t="s">
        <v>221</v>
      </c>
      <c r="H54" s="3" t="s">
        <v>222</v>
      </c>
      <c r="I54" s="3" t="s">
        <v>223</v>
      </c>
      <c r="J54" s="3" t="s">
        <v>42</v>
      </c>
    </row>
    <row r="55" spans="1:10" ht="49.5" x14ac:dyDescent="0.3">
      <c r="A55" s="5">
        <v>52</v>
      </c>
      <c r="B55" s="6" t="s">
        <v>34</v>
      </c>
      <c r="C55" s="6" t="s">
        <v>224</v>
      </c>
      <c r="D55" s="3" t="s">
        <v>225</v>
      </c>
      <c r="E55" s="3" t="s">
        <v>37</v>
      </c>
      <c r="F55" s="3" t="s">
        <v>38</v>
      </c>
      <c r="G55" s="3" t="s">
        <v>226</v>
      </c>
      <c r="H55" s="3" t="s">
        <v>227</v>
      </c>
      <c r="I55" s="3" t="s">
        <v>41</v>
      </c>
      <c r="J55" s="3" t="s">
        <v>42</v>
      </c>
    </row>
    <row r="56" spans="1:10" ht="33" x14ac:dyDescent="0.3">
      <c r="A56" s="5">
        <v>53</v>
      </c>
      <c r="B56" s="6" t="s">
        <v>34</v>
      </c>
      <c r="C56" s="6" t="s">
        <v>224</v>
      </c>
      <c r="D56" s="3" t="s">
        <v>228</v>
      </c>
      <c r="E56" s="3" t="s">
        <v>44</v>
      </c>
      <c r="F56" s="3" t="s">
        <v>207</v>
      </c>
      <c r="G56" s="3" t="s">
        <v>229</v>
      </c>
      <c r="H56" s="3" t="s">
        <v>230</v>
      </c>
      <c r="I56" s="3" t="s">
        <v>231</v>
      </c>
      <c r="J56" s="3" t="s">
        <v>42</v>
      </c>
    </row>
    <row r="57" spans="1:10" ht="33" x14ac:dyDescent="0.3">
      <c r="A57" s="5">
        <v>54</v>
      </c>
      <c r="B57" s="6" t="s">
        <v>34</v>
      </c>
      <c r="C57" s="6" t="s">
        <v>232</v>
      </c>
      <c r="D57" s="3" t="s">
        <v>233</v>
      </c>
      <c r="E57" s="3" t="s">
        <v>51</v>
      </c>
      <c r="F57" s="3" t="s">
        <v>38</v>
      </c>
      <c r="G57" s="3" t="s">
        <v>90</v>
      </c>
      <c r="H57" s="3" t="s">
        <v>91</v>
      </c>
      <c r="I57" s="3" t="s">
        <v>92</v>
      </c>
      <c r="J57" s="3" t="s">
        <v>42</v>
      </c>
    </row>
    <row r="58" spans="1:10" ht="33" x14ac:dyDescent="0.3">
      <c r="A58" s="5">
        <v>55</v>
      </c>
      <c r="B58" s="6" t="s">
        <v>34</v>
      </c>
      <c r="C58" s="6" t="s">
        <v>234</v>
      </c>
      <c r="D58" s="3" t="s">
        <v>235</v>
      </c>
      <c r="E58" s="3" t="s">
        <v>58</v>
      </c>
      <c r="F58" s="3" t="s">
        <v>38</v>
      </c>
      <c r="G58" s="3" t="s">
        <v>236</v>
      </c>
      <c r="H58" s="3" t="s">
        <v>237</v>
      </c>
      <c r="I58" s="3" t="s">
        <v>99</v>
      </c>
      <c r="J58" s="3" t="s">
        <v>42</v>
      </c>
    </row>
    <row r="59" spans="1:10" ht="33" x14ac:dyDescent="0.3">
      <c r="A59" s="5">
        <v>56</v>
      </c>
      <c r="B59" s="6" t="s">
        <v>34</v>
      </c>
      <c r="C59" s="6" t="s">
        <v>234</v>
      </c>
      <c r="D59" s="3" t="s">
        <v>166</v>
      </c>
      <c r="E59" s="3" t="s">
        <v>167</v>
      </c>
      <c r="F59" s="3" t="s">
        <v>85</v>
      </c>
      <c r="G59" s="3" t="s">
        <v>168</v>
      </c>
      <c r="H59" s="3" t="s">
        <v>169</v>
      </c>
      <c r="I59" s="3" t="s">
        <v>170</v>
      </c>
      <c r="J59" s="3" t="s">
        <v>42</v>
      </c>
    </row>
    <row r="60" spans="1:10" ht="33" x14ac:dyDescent="0.3">
      <c r="A60" s="5">
        <v>57</v>
      </c>
      <c r="B60" s="6" t="s">
        <v>34</v>
      </c>
      <c r="C60" s="6" t="s">
        <v>238</v>
      </c>
      <c r="D60" s="3" t="s">
        <v>239</v>
      </c>
      <c r="E60" s="3" t="s">
        <v>58</v>
      </c>
      <c r="F60" s="3" t="s">
        <v>38</v>
      </c>
      <c r="G60" s="3" t="s">
        <v>240</v>
      </c>
      <c r="H60" s="3" t="s">
        <v>241</v>
      </c>
      <c r="I60" s="3" t="s">
        <v>242</v>
      </c>
      <c r="J60" s="3" t="s">
        <v>42</v>
      </c>
    </row>
    <row r="61" spans="1:10" ht="33" x14ac:dyDescent="0.3">
      <c r="A61" s="5">
        <v>58</v>
      </c>
      <c r="B61" s="6" t="s">
        <v>34</v>
      </c>
      <c r="C61" s="6" t="s">
        <v>243</v>
      </c>
      <c r="D61" s="3" t="s">
        <v>244</v>
      </c>
      <c r="E61" s="3" t="s">
        <v>58</v>
      </c>
      <c r="F61" s="3" t="s">
        <v>38</v>
      </c>
      <c r="G61" s="3" t="s">
        <v>245</v>
      </c>
      <c r="H61" s="3" t="s">
        <v>237</v>
      </c>
      <c r="I61" s="3" t="s">
        <v>99</v>
      </c>
      <c r="J61" s="3" t="s">
        <v>42</v>
      </c>
    </row>
    <row r="62" spans="1:10" ht="33" x14ac:dyDescent="0.3">
      <c r="A62" s="5">
        <v>59</v>
      </c>
      <c r="B62" s="6" t="s">
        <v>34</v>
      </c>
      <c r="C62" s="6" t="s">
        <v>246</v>
      </c>
      <c r="D62" s="3" t="s">
        <v>247</v>
      </c>
      <c r="E62" s="3" t="s">
        <v>167</v>
      </c>
      <c r="F62" s="3" t="s">
        <v>38</v>
      </c>
      <c r="G62" s="3" t="s">
        <v>248</v>
      </c>
      <c r="H62" s="3" t="s">
        <v>237</v>
      </c>
      <c r="I62" s="3" t="s">
        <v>249</v>
      </c>
      <c r="J62" s="3" t="s">
        <v>42</v>
      </c>
    </row>
    <row r="63" spans="1:10" ht="33" x14ac:dyDescent="0.3">
      <c r="A63" s="5">
        <v>60</v>
      </c>
      <c r="B63" s="6" t="s">
        <v>34</v>
      </c>
      <c r="C63" s="6" t="s">
        <v>250</v>
      </c>
      <c r="D63" s="3" t="s">
        <v>251</v>
      </c>
      <c r="E63" s="3" t="s">
        <v>44</v>
      </c>
      <c r="F63" s="3" t="s">
        <v>207</v>
      </c>
      <c r="G63" s="3" t="s">
        <v>208</v>
      </c>
      <c r="H63" s="3" t="s">
        <v>209</v>
      </c>
      <c r="I63" s="3" t="s">
        <v>252</v>
      </c>
      <c r="J63" s="3" t="s">
        <v>42</v>
      </c>
    </row>
    <row r="64" spans="1:10" ht="49.5" x14ac:dyDescent="0.3">
      <c r="A64" s="5">
        <v>61</v>
      </c>
      <c r="B64" s="6" t="s">
        <v>34</v>
      </c>
      <c r="C64" s="6" t="s">
        <v>253</v>
      </c>
      <c r="D64" s="3" t="s">
        <v>254</v>
      </c>
      <c r="E64" s="3" t="s">
        <v>37</v>
      </c>
      <c r="F64" s="3" t="s">
        <v>38</v>
      </c>
      <c r="G64" s="3" t="s">
        <v>255</v>
      </c>
      <c r="H64" s="3" t="s">
        <v>256</v>
      </c>
      <c r="I64" s="3" t="s">
        <v>41</v>
      </c>
      <c r="J64" s="3" t="s">
        <v>42</v>
      </c>
    </row>
    <row r="65" spans="1:10" ht="49.5" x14ac:dyDescent="0.3">
      <c r="A65" s="5">
        <v>62</v>
      </c>
      <c r="B65" s="6" t="s">
        <v>34</v>
      </c>
      <c r="C65" s="6" t="s">
        <v>257</v>
      </c>
      <c r="D65" s="3" t="s">
        <v>258</v>
      </c>
      <c r="E65" s="3" t="s">
        <v>37</v>
      </c>
      <c r="F65" s="3" t="s">
        <v>38</v>
      </c>
      <c r="G65" s="3" t="s">
        <v>259</v>
      </c>
      <c r="H65" s="3" t="s">
        <v>227</v>
      </c>
      <c r="I65" s="3" t="s">
        <v>41</v>
      </c>
      <c r="J65" s="3" t="s">
        <v>42</v>
      </c>
    </row>
    <row r="66" spans="1:10" ht="49.5" x14ac:dyDescent="0.3">
      <c r="A66" s="5">
        <v>63</v>
      </c>
      <c r="B66" s="6" t="s">
        <v>34</v>
      </c>
      <c r="C66" s="6" t="s">
        <v>260</v>
      </c>
      <c r="D66" s="3" t="s">
        <v>261</v>
      </c>
      <c r="E66" s="3" t="s">
        <v>37</v>
      </c>
      <c r="F66" s="3" t="s">
        <v>38</v>
      </c>
      <c r="G66" s="3" t="s">
        <v>262</v>
      </c>
      <c r="H66" s="3" t="s">
        <v>263</v>
      </c>
      <c r="I66" s="3" t="s">
        <v>41</v>
      </c>
      <c r="J66" s="3" t="s">
        <v>42</v>
      </c>
    </row>
    <row r="67" spans="1:10" ht="49.5" x14ac:dyDescent="0.3">
      <c r="A67" s="5">
        <v>64</v>
      </c>
      <c r="B67" s="6" t="s">
        <v>34</v>
      </c>
      <c r="C67" s="6" t="s">
        <v>264</v>
      </c>
      <c r="D67" s="3" t="s">
        <v>265</v>
      </c>
      <c r="E67" s="3" t="s">
        <v>37</v>
      </c>
      <c r="F67" s="3" t="s">
        <v>38</v>
      </c>
      <c r="G67" s="3" t="s">
        <v>106</v>
      </c>
      <c r="H67" s="3" t="s">
        <v>107</v>
      </c>
      <c r="I67" s="3" t="s">
        <v>41</v>
      </c>
      <c r="J67" s="3" t="s">
        <v>42</v>
      </c>
    </row>
    <row r="68" spans="1:10" ht="49.5" x14ac:dyDescent="0.3">
      <c r="A68" s="5">
        <v>65</v>
      </c>
      <c r="B68" s="6" t="s">
        <v>34</v>
      </c>
      <c r="C68" s="6" t="s">
        <v>266</v>
      </c>
      <c r="D68" s="3" t="s">
        <v>267</v>
      </c>
      <c r="E68" s="3" t="s">
        <v>37</v>
      </c>
      <c r="F68" s="3" t="s">
        <v>38</v>
      </c>
      <c r="G68" s="3" t="s">
        <v>94</v>
      </c>
      <c r="H68" s="3" t="s">
        <v>95</v>
      </c>
      <c r="I68" s="3" t="s">
        <v>41</v>
      </c>
      <c r="J68" s="3" t="s">
        <v>42</v>
      </c>
    </row>
    <row r="69" spans="1:10" ht="33" x14ac:dyDescent="0.3">
      <c r="A69" s="5">
        <v>66</v>
      </c>
      <c r="B69" s="6" t="s">
        <v>34</v>
      </c>
      <c r="C69" s="6" t="s">
        <v>268</v>
      </c>
      <c r="D69" s="3" t="s">
        <v>269</v>
      </c>
      <c r="E69" s="3" t="s">
        <v>51</v>
      </c>
      <c r="F69" s="3" t="s">
        <v>38</v>
      </c>
      <c r="G69" s="3" t="s">
        <v>53</v>
      </c>
      <c r="H69" s="3" t="s">
        <v>270</v>
      </c>
      <c r="I69" s="3" t="s">
        <v>92</v>
      </c>
      <c r="J69" s="3" t="s">
        <v>42</v>
      </c>
    </row>
    <row r="70" spans="1:10" ht="33" x14ac:dyDescent="0.3">
      <c r="A70" s="5">
        <v>67</v>
      </c>
      <c r="B70" s="6" t="s">
        <v>271</v>
      </c>
      <c r="C70" s="6">
        <v>8</v>
      </c>
      <c r="D70" s="3" t="s">
        <v>272</v>
      </c>
      <c r="E70" s="3" t="s">
        <v>44</v>
      </c>
      <c r="F70" s="3" t="s">
        <v>45</v>
      </c>
      <c r="G70" s="3" t="s">
        <v>273</v>
      </c>
      <c r="H70" s="3"/>
      <c r="I70" s="3" t="s">
        <v>274</v>
      </c>
      <c r="J70" s="3" t="s">
        <v>275</v>
      </c>
    </row>
    <row r="71" spans="1:10" ht="33" x14ac:dyDescent="0.3">
      <c r="A71" s="5">
        <v>68</v>
      </c>
      <c r="B71" s="6" t="s">
        <v>271</v>
      </c>
      <c r="C71" s="6">
        <v>8</v>
      </c>
      <c r="D71" s="3" t="s">
        <v>276</v>
      </c>
      <c r="E71" s="3" t="s">
        <v>51</v>
      </c>
      <c r="F71" s="3" t="s">
        <v>277</v>
      </c>
      <c r="G71" s="3" t="s">
        <v>276</v>
      </c>
      <c r="H71" s="3"/>
      <c r="I71" s="3" t="s">
        <v>278</v>
      </c>
      <c r="J71" s="3" t="s">
        <v>275</v>
      </c>
    </row>
    <row r="72" spans="1:10" ht="33" x14ac:dyDescent="0.3">
      <c r="A72" s="5">
        <v>69</v>
      </c>
      <c r="B72" s="6" t="s">
        <v>271</v>
      </c>
      <c r="C72" s="6">
        <v>9</v>
      </c>
      <c r="D72" s="3" t="s">
        <v>279</v>
      </c>
      <c r="E72" s="3" t="s">
        <v>51</v>
      </c>
      <c r="F72" s="3" t="s">
        <v>38</v>
      </c>
      <c r="G72" s="3" t="s">
        <v>280</v>
      </c>
      <c r="H72" s="3"/>
      <c r="I72" s="3" t="s">
        <v>281</v>
      </c>
      <c r="J72" s="3" t="s">
        <v>282</v>
      </c>
    </row>
    <row r="73" spans="1:10" ht="33" x14ac:dyDescent="0.3">
      <c r="A73" s="5">
        <v>70</v>
      </c>
      <c r="B73" s="6" t="s">
        <v>271</v>
      </c>
      <c r="C73" s="6">
        <v>11</v>
      </c>
      <c r="D73" s="3" t="s">
        <v>283</v>
      </c>
      <c r="E73" s="3" t="s">
        <v>44</v>
      </c>
      <c r="F73" s="3" t="s">
        <v>277</v>
      </c>
      <c r="G73" s="3" t="s">
        <v>284</v>
      </c>
      <c r="H73" s="3"/>
      <c r="I73" s="3" t="s">
        <v>285</v>
      </c>
      <c r="J73" s="3" t="s">
        <v>275</v>
      </c>
    </row>
    <row r="74" spans="1:10" ht="33" x14ac:dyDescent="0.3">
      <c r="A74" s="5">
        <v>71</v>
      </c>
      <c r="B74" s="6" t="s">
        <v>271</v>
      </c>
      <c r="C74" s="6">
        <v>11</v>
      </c>
      <c r="D74" s="3" t="s">
        <v>286</v>
      </c>
      <c r="E74" s="3" t="s">
        <v>51</v>
      </c>
      <c r="F74" s="3" t="s">
        <v>85</v>
      </c>
      <c r="G74" s="3" t="s">
        <v>287</v>
      </c>
      <c r="H74" s="3"/>
      <c r="I74" s="3" t="s">
        <v>288</v>
      </c>
      <c r="J74" s="3" t="s">
        <v>275</v>
      </c>
    </row>
    <row r="75" spans="1:10" ht="33" x14ac:dyDescent="0.3">
      <c r="A75" s="5">
        <v>72</v>
      </c>
      <c r="B75" s="6" t="s">
        <v>271</v>
      </c>
      <c r="C75" s="6">
        <v>14</v>
      </c>
      <c r="D75" s="3" t="s">
        <v>289</v>
      </c>
      <c r="E75" s="3" t="s">
        <v>37</v>
      </c>
      <c r="F75" s="3" t="s">
        <v>38</v>
      </c>
      <c r="G75" s="3" t="s">
        <v>290</v>
      </c>
      <c r="H75" s="3"/>
      <c r="I75" s="3" t="s">
        <v>291</v>
      </c>
      <c r="J75" s="3" t="s">
        <v>282</v>
      </c>
    </row>
    <row r="76" spans="1:10" ht="33" x14ac:dyDescent="0.3">
      <c r="A76" s="5">
        <v>73</v>
      </c>
      <c r="B76" s="6" t="s">
        <v>271</v>
      </c>
      <c r="C76" s="6">
        <v>16</v>
      </c>
      <c r="D76" s="3" t="s">
        <v>292</v>
      </c>
      <c r="E76" s="3" t="s">
        <v>37</v>
      </c>
      <c r="F76" s="3" t="s">
        <v>38</v>
      </c>
      <c r="G76" s="3" t="s">
        <v>293</v>
      </c>
      <c r="H76" s="3"/>
      <c r="I76" s="3" t="s">
        <v>294</v>
      </c>
      <c r="J76" s="3" t="s">
        <v>282</v>
      </c>
    </row>
    <row r="77" spans="1:10" ht="33" x14ac:dyDescent="0.3">
      <c r="A77" s="5">
        <v>74</v>
      </c>
      <c r="B77" s="6" t="s">
        <v>271</v>
      </c>
      <c r="C77" s="6">
        <v>18</v>
      </c>
      <c r="D77" s="3" t="s">
        <v>295</v>
      </c>
      <c r="E77" s="3" t="s">
        <v>44</v>
      </c>
      <c r="F77" s="3" t="s">
        <v>207</v>
      </c>
      <c r="G77" s="3" t="s">
        <v>296</v>
      </c>
      <c r="H77" s="3"/>
      <c r="I77" s="3" t="s">
        <v>297</v>
      </c>
      <c r="J77" s="3" t="s">
        <v>275</v>
      </c>
    </row>
    <row r="78" spans="1:10" ht="33" x14ac:dyDescent="0.3">
      <c r="A78" s="5">
        <v>75</v>
      </c>
      <c r="B78" s="6" t="s">
        <v>271</v>
      </c>
      <c r="C78" s="6">
        <v>20</v>
      </c>
      <c r="D78" s="3" t="s">
        <v>298</v>
      </c>
      <c r="E78" s="3" t="s">
        <v>167</v>
      </c>
      <c r="F78" s="3" t="s">
        <v>277</v>
      </c>
      <c r="G78" s="3" t="s">
        <v>299</v>
      </c>
      <c r="H78" s="3"/>
      <c r="I78" s="3" t="s">
        <v>300</v>
      </c>
      <c r="J78" s="3" t="s">
        <v>275</v>
      </c>
    </row>
    <row r="79" spans="1:10" ht="33" x14ac:dyDescent="0.3">
      <c r="A79" s="5">
        <v>76</v>
      </c>
      <c r="B79" s="6" t="s">
        <v>271</v>
      </c>
      <c r="C79" s="6">
        <v>20</v>
      </c>
      <c r="D79" s="3" t="s">
        <v>301</v>
      </c>
      <c r="E79" s="3" t="s">
        <v>44</v>
      </c>
      <c r="F79" s="3" t="s">
        <v>207</v>
      </c>
      <c r="G79" s="3" t="s">
        <v>302</v>
      </c>
      <c r="H79" s="3"/>
      <c r="I79" s="3" t="s">
        <v>303</v>
      </c>
      <c r="J79" s="3" t="s">
        <v>275</v>
      </c>
    </row>
    <row r="80" spans="1:10" ht="33" x14ac:dyDescent="0.3">
      <c r="A80" s="5">
        <v>77</v>
      </c>
      <c r="B80" s="6" t="s">
        <v>271</v>
      </c>
      <c r="C80" s="6">
        <v>22</v>
      </c>
      <c r="D80" s="3" t="s">
        <v>304</v>
      </c>
      <c r="E80" s="3" t="s">
        <v>167</v>
      </c>
      <c r="F80" s="3" t="s">
        <v>207</v>
      </c>
      <c r="G80" s="3" t="s">
        <v>305</v>
      </c>
      <c r="H80" s="3"/>
      <c r="I80" s="3" t="s">
        <v>306</v>
      </c>
      <c r="J80" s="3" t="s">
        <v>275</v>
      </c>
    </row>
    <row r="81" spans="1:10" ht="33" x14ac:dyDescent="0.3">
      <c r="A81" s="5">
        <v>78</v>
      </c>
      <c r="B81" s="6" t="s">
        <v>271</v>
      </c>
      <c r="C81" s="6">
        <v>23</v>
      </c>
      <c r="D81" s="3" t="s">
        <v>307</v>
      </c>
      <c r="E81" s="3" t="s">
        <v>51</v>
      </c>
      <c r="F81" s="3" t="s">
        <v>52</v>
      </c>
      <c r="G81" s="3" t="s">
        <v>308</v>
      </c>
      <c r="H81" s="3"/>
      <c r="I81" s="3" t="s">
        <v>309</v>
      </c>
      <c r="J81" s="3" t="s">
        <v>275</v>
      </c>
    </row>
    <row r="82" spans="1:10" ht="33" x14ac:dyDescent="0.3">
      <c r="A82" s="5">
        <v>79</v>
      </c>
      <c r="B82" s="6" t="s">
        <v>271</v>
      </c>
      <c r="C82" s="6">
        <v>26</v>
      </c>
      <c r="D82" s="3" t="s">
        <v>310</v>
      </c>
      <c r="E82" s="3" t="s">
        <v>51</v>
      </c>
      <c r="F82" s="3" t="s">
        <v>38</v>
      </c>
      <c r="G82" s="3" t="s">
        <v>311</v>
      </c>
      <c r="H82" s="3"/>
      <c r="I82" s="3" t="s">
        <v>312</v>
      </c>
      <c r="J82" s="3" t="s">
        <v>282</v>
      </c>
    </row>
    <row r="83" spans="1:10" ht="33" x14ac:dyDescent="0.3">
      <c r="A83" s="5">
        <v>80</v>
      </c>
      <c r="B83" s="6" t="s">
        <v>271</v>
      </c>
      <c r="C83" s="6">
        <v>27</v>
      </c>
      <c r="D83" s="3" t="s">
        <v>313</v>
      </c>
      <c r="E83" s="3" t="s">
        <v>37</v>
      </c>
      <c r="F83" s="3" t="s">
        <v>85</v>
      </c>
      <c r="G83" s="3" t="s">
        <v>314</v>
      </c>
      <c r="H83" s="3"/>
      <c r="I83" s="3" t="s">
        <v>315</v>
      </c>
      <c r="J83" s="3" t="s">
        <v>275</v>
      </c>
    </row>
    <row r="84" spans="1:10" ht="33" x14ac:dyDescent="0.3">
      <c r="A84" s="5">
        <v>81</v>
      </c>
      <c r="B84" s="6" t="s">
        <v>271</v>
      </c>
      <c r="C84" s="6">
        <v>31</v>
      </c>
      <c r="D84" s="3" t="s">
        <v>316</v>
      </c>
      <c r="E84" s="3" t="s">
        <v>37</v>
      </c>
      <c r="F84" s="3" t="s">
        <v>85</v>
      </c>
      <c r="G84" s="3" t="s">
        <v>317</v>
      </c>
      <c r="H84" s="3"/>
      <c r="I84" s="3" t="s">
        <v>318</v>
      </c>
      <c r="J84" s="3" t="s">
        <v>275</v>
      </c>
    </row>
    <row r="85" spans="1:10" ht="33" x14ac:dyDescent="0.3">
      <c r="A85" s="5">
        <v>82</v>
      </c>
      <c r="B85" s="6" t="s">
        <v>271</v>
      </c>
      <c r="C85" s="6">
        <v>32</v>
      </c>
      <c r="D85" s="3" t="s">
        <v>319</v>
      </c>
      <c r="E85" s="3" t="s">
        <v>51</v>
      </c>
      <c r="F85" s="3" t="s">
        <v>38</v>
      </c>
      <c r="G85" s="3" t="s">
        <v>320</v>
      </c>
      <c r="H85" s="3"/>
      <c r="I85" s="3" t="s">
        <v>321</v>
      </c>
      <c r="J85" s="3" t="s">
        <v>282</v>
      </c>
    </row>
    <row r="86" spans="1:10" ht="33" x14ac:dyDescent="0.3">
      <c r="A86" s="5">
        <v>83</v>
      </c>
      <c r="B86" s="6" t="s">
        <v>271</v>
      </c>
      <c r="C86" s="6">
        <v>36</v>
      </c>
      <c r="D86" s="3" t="s">
        <v>322</v>
      </c>
      <c r="E86" s="3" t="s">
        <v>44</v>
      </c>
      <c r="F86" s="3" t="s">
        <v>277</v>
      </c>
      <c r="G86" s="3" t="s">
        <v>322</v>
      </c>
      <c r="H86" s="3"/>
      <c r="I86" s="3" t="s">
        <v>323</v>
      </c>
      <c r="J86" s="3" t="s">
        <v>275</v>
      </c>
    </row>
    <row r="87" spans="1:10" ht="33" x14ac:dyDescent="0.3">
      <c r="A87" s="5">
        <v>84</v>
      </c>
      <c r="B87" s="6" t="s">
        <v>271</v>
      </c>
      <c r="C87" s="6">
        <v>38</v>
      </c>
      <c r="D87" s="3" t="s">
        <v>324</v>
      </c>
      <c r="E87" s="3" t="s">
        <v>37</v>
      </c>
      <c r="F87" s="3" t="s">
        <v>38</v>
      </c>
      <c r="G87" s="3" t="s">
        <v>325</v>
      </c>
      <c r="H87" s="3"/>
      <c r="I87" s="3" t="s">
        <v>326</v>
      </c>
      <c r="J87" s="3" t="s">
        <v>282</v>
      </c>
    </row>
    <row r="88" spans="1:10" ht="33" x14ac:dyDescent="0.3">
      <c r="A88" s="5">
        <v>85</v>
      </c>
      <c r="B88" s="6" t="s">
        <v>271</v>
      </c>
      <c r="C88" s="6">
        <v>40</v>
      </c>
      <c r="D88" s="3" t="s">
        <v>327</v>
      </c>
      <c r="E88" s="3" t="s">
        <v>167</v>
      </c>
      <c r="F88" s="3" t="s">
        <v>45</v>
      </c>
      <c r="G88" s="3" t="s">
        <v>328</v>
      </c>
      <c r="H88" s="3"/>
      <c r="I88" s="3" t="s">
        <v>329</v>
      </c>
      <c r="J88" s="3" t="s">
        <v>275</v>
      </c>
    </row>
    <row r="89" spans="1:10" ht="33" x14ac:dyDescent="0.3">
      <c r="A89" s="5">
        <v>86</v>
      </c>
      <c r="B89" s="6" t="s">
        <v>271</v>
      </c>
      <c r="C89" s="6">
        <v>44</v>
      </c>
      <c r="D89" s="3" t="s">
        <v>330</v>
      </c>
      <c r="E89" s="3" t="s">
        <v>167</v>
      </c>
      <c r="F89" s="3" t="s">
        <v>45</v>
      </c>
      <c r="G89" s="3" t="s">
        <v>331</v>
      </c>
      <c r="H89" s="3"/>
      <c r="I89" s="3" t="s">
        <v>332</v>
      </c>
      <c r="J89" s="3" t="s">
        <v>275</v>
      </c>
    </row>
    <row r="90" spans="1:10" ht="33" x14ac:dyDescent="0.3">
      <c r="A90" s="5">
        <v>87</v>
      </c>
      <c r="B90" s="6" t="s">
        <v>271</v>
      </c>
      <c r="C90" s="6">
        <v>45</v>
      </c>
      <c r="D90" s="3" t="s">
        <v>333</v>
      </c>
      <c r="E90" s="3" t="s">
        <v>37</v>
      </c>
      <c r="F90" s="3" t="s">
        <v>207</v>
      </c>
      <c r="G90" s="3" t="s">
        <v>334</v>
      </c>
      <c r="H90" s="3"/>
      <c r="I90" s="3" t="s">
        <v>335</v>
      </c>
      <c r="J90" s="3" t="s">
        <v>275</v>
      </c>
    </row>
    <row r="91" spans="1:10" ht="33" x14ac:dyDescent="0.3">
      <c r="A91" s="5">
        <v>88</v>
      </c>
      <c r="B91" s="6" t="s">
        <v>271</v>
      </c>
      <c r="C91" s="6">
        <v>51</v>
      </c>
      <c r="D91" s="3" t="s">
        <v>336</v>
      </c>
      <c r="E91" s="3" t="s">
        <v>44</v>
      </c>
      <c r="F91" s="3" t="s">
        <v>207</v>
      </c>
      <c r="G91" s="3" t="s">
        <v>337</v>
      </c>
      <c r="H91" s="3"/>
      <c r="I91" s="3" t="s">
        <v>338</v>
      </c>
      <c r="J91" s="3" t="s">
        <v>275</v>
      </c>
    </row>
    <row r="92" spans="1:10" ht="33" x14ac:dyDescent="0.3">
      <c r="A92" s="5">
        <v>89</v>
      </c>
      <c r="B92" s="6" t="s">
        <v>271</v>
      </c>
      <c r="C92" s="6">
        <v>58</v>
      </c>
      <c r="D92" s="3" t="s">
        <v>339</v>
      </c>
      <c r="E92" s="3" t="s">
        <v>37</v>
      </c>
      <c r="F92" s="3" t="s">
        <v>277</v>
      </c>
      <c r="G92" s="3" t="s">
        <v>339</v>
      </c>
      <c r="H92" s="3"/>
      <c r="I92" s="3" t="s">
        <v>340</v>
      </c>
      <c r="J92" s="3" t="s">
        <v>275</v>
      </c>
    </row>
    <row r="93" spans="1:10" ht="33" x14ac:dyDescent="0.3">
      <c r="A93" s="5">
        <v>90</v>
      </c>
      <c r="B93" s="6" t="s">
        <v>271</v>
      </c>
      <c r="C93" s="6">
        <v>67</v>
      </c>
      <c r="D93" s="3" t="s">
        <v>341</v>
      </c>
      <c r="E93" s="3" t="s">
        <v>37</v>
      </c>
      <c r="F93" s="3" t="s">
        <v>38</v>
      </c>
      <c r="G93" s="3" t="s">
        <v>325</v>
      </c>
      <c r="H93" s="3"/>
      <c r="I93" s="3" t="s">
        <v>342</v>
      </c>
      <c r="J93" s="3" t="s">
        <v>282</v>
      </c>
    </row>
    <row r="94" spans="1:10" ht="33" x14ac:dyDescent="0.3">
      <c r="A94" s="5">
        <v>91</v>
      </c>
      <c r="B94" s="6" t="s">
        <v>271</v>
      </c>
      <c r="C94" s="6">
        <v>67</v>
      </c>
      <c r="D94" s="3" t="s">
        <v>343</v>
      </c>
      <c r="E94" s="3" t="s">
        <v>37</v>
      </c>
      <c r="F94" s="3" t="s">
        <v>85</v>
      </c>
      <c r="G94" s="3" t="s">
        <v>344</v>
      </c>
      <c r="H94" s="3"/>
      <c r="I94" s="3" t="s">
        <v>345</v>
      </c>
      <c r="J94" s="3" t="s">
        <v>275</v>
      </c>
    </row>
    <row r="95" spans="1:10" ht="33" x14ac:dyDescent="0.3">
      <c r="A95" s="5">
        <v>92</v>
      </c>
      <c r="B95" s="6" t="s">
        <v>271</v>
      </c>
      <c r="C95" s="6">
        <v>78</v>
      </c>
      <c r="D95" s="3" t="s">
        <v>346</v>
      </c>
      <c r="E95" s="3" t="s">
        <v>51</v>
      </c>
      <c r="F95" s="3" t="s">
        <v>52</v>
      </c>
      <c r="G95" s="3" t="s">
        <v>347</v>
      </c>
      <c r="H95" s="3"/>
      <c r="I95" s="3" t="s">
        <v>348</v>
      </c>
      <c r="J95" s="3" t="s">
        <v>275</v>
      </c>
    </row>
    <row r="96" spans="1:10" ht="33" x14ac:dyDescent="0.3">
      <c r="A96" s="5">
        <v>93</v>
      </c>
      <c r="B96" s="6" t="s">
        <v>271</v>
      </c>
      <c r="C96" s="6">
        <v>79</v>
      </c>
      <c r="D96" s="3" t="s">
        <v>349</v>
      </c>
      <c r="E96" s="3" t="s">
        <v>37</v>
      </c>
      <c r="F96" s="3" t="s">
        <v>85</v>
      </c>
      <c r="G96" s="3" t="s">
        <v>350</v>
      </c>
      <c r="H96" s="3"/>
      <c r="I96" s="3" t="s">
        <v>351</v>
      </c>
      <c r="J96" s="3" t="s">
        <v>275</v>
      </c>
    </row>
    <row r="97" spans="1:10" ht="33" x14ac:dyDescent="0.3">
      <c r="A97" s="5">
        <v>94</v>
      </c>
      <c r="B97" s="6" t="s">
        <v>271</v>
      </c>
      <c r="C97" s="6">
        <v>80</v>
      </c>
      <c r="D97" s="3" t="s">
        <v>352</v>
      </c>
      <c r="E97" s="3" t="s">
        <v>51</v>
      </c>
      <c r="F97" s="3" t="s">
        <v>52</v>
      </c>
      <c r="G97" s="3" t="s">
        <v>353</v>
      </c>
      <c r="H97" s="3"/>
      <c r="I97" s="3" t="s">
        <v>354</v>
      </c>
      <c r="J97" s="3" t="s">
        <v>275</v>
      </c>
    </row>
    <row r="98" spans="1:10" ht="33" x14ac:dyDescent="0.3">
      <c r="A98" s="5">
        <v>95</v>
      </c>
      <c r="B98" s="6" t="s">
        <v>271</v>
      </c>
      <c r="C98" s="6">
        <v>127</v>
      </c>
      <c r="D98" s="3" t="s">
        <v>355</v>
      </c>
      <c r="E98" s="3" t="s">
        <v>51</v>
      </c>
      <c r="F98" s="3" t="s">
        <v>38</v>
      </c>
      <c r="G98" s="3" t="s">
        <v>356</v>
      </c>
      <c r="H98" s="3"/>
      <c r="I98" s="3" t="s">
        <v>357</v>
      </c>
      <c r="J98" s="3" t="s">
        <v>282</v>
      </c>
    </row>
    <row r="99" spans="1:10" ht="33" x14ac:dyDescent="0.3">
      <c r="A99" s="5">
        <v>96</v>
      </c>
      <c r="B99" s="6" t="s">
        <v>358</v>
      </c>
      <c r="C99" s="6">
        <v>13</v>
      </c>
      <c r="D99" s="3" t="s">
        <v>359</v>
      </c>
      <c r="E99" s="3" t="s">
        <v>37</v>
      </c>
      <c r="F99" s="3" t="s">
        <v>38</v>
      </c>
      <c r="G99" s="3" t="s">
        <v>360</v>
      </c>
      <c r="H99" s="3"/>
      <c r="I99" s="3" t="s">
        <v>361</v>
      </c>
      <c r="J99" s="3" t="s">
        <v>282</v>
      </c>
    </row>
    <row r="100" spans="1:10" ht="33" x14ac:dyDescent="0.3">
      <c r="A100" s="5">
        <v>97</v>
      </c>
      <c r="B100" s="6" t="s">
        <v>358</v>
      </c>
      <c r="C100" s="6">
        <v>15</v>
      </c>
      <c r="D100" s="3" t="s">
        <v>362</v>
      </c>
      <c r="E100" s="3" t="s">
        <v>44</v>
      </c>
      <c r="F100" s="3" t="s">
        <v>207</v>
      </c>
      <c r="G100" s="3" t="s">
        <v>363</v>
      </c>
      <c r="H100" s="3"/>
      <c r="I100" s="3" t="s">
        <v>364</v>
      </c>
      <c r="J100" s="3" t="s">
        <v>275</v>
      </c>
    </row>
    <row r="101" spans="1:10" ht="33" x14ac:dyDescent="0.3">
      <c r="A101" s="5">
        <v>98</v>
      </c>
      <c r="B101" s="6" t="s">
        <v>358</v>
      </c>
      <c r="C101" s="6">
        <v>16</v>
      </c>
      <c r="D101" s="3" t="s">
        <v>365</v>
      </c>
      <c r="E101" s="3" t="s">
        <v>37</v>
      </c>
      <c r="F101" s="3" t="s">
        <v>277</v>
      </c>
      <c r="G101" s="3" t="s">
        <v>365</v>
      </c>
      <c r="H101" s="3"/>
      <c r="I101" s="3" t="s">
        <v>366</v>
      </c>
      <c r="J101" s="3" t="s">
        <v>275</v>
      </c>
    </row>
    <row r="102" spans="1:10" ht="33" x14ac:dyDescent="0.3">
      <c r="A102" s="5">
        <v>99</v>
      </c>
      <c r="B102" s="6" t="s">
        <v>358</v>
      </c>
      <c r="C102" s="6">
        <v>17</v>
      </c>
      <c r="D102" s="3" t="s">
        <v>367</v>
      </c>
      <c r="E102" s="3" t="s">
        <v>44</v>
      </c>
      <c r="F102" s="3" t="s">
        <v>277</v>
      </c>
      <c r="G102" s="3" t="s">
        <v>367</v>
      </c>
      <c r="H102" s="3"/>
      <c r="I102" s="3" t="s">
        <v>368</v>
      </c>
      <c r="J102" s="3" t="s">
        <v>275</v>
      </c>
    </row>
    <row r="103" spans="1:10" ht="33" x14ac:dyDescent="0.3">
      <c r="A103" s="5">
        <v>100</v>
      </c>
      <c r="B103" s="6" t="s">
        <v>358</v>
      </c>
      <c r="C103" s="6">
        <v>23</v>
      </c>
      <c r="D103" s="3" t="s">
        <v>369</v>
      </c>
      <c r="E103" s="3" t="s">
        <v>58</v>
      </c>
      <c r="F103" s="3" t="s">
        <v>38</v>
      </c>
      <c r="G103" s="3" t="s">
        <v>370</v>
      </c>
      <c r="H103" s="3"/>
      <c r="I103" s="3" t="s">
        <v>371</v>
      </c>
      <c r="J103" s="3" t="s">
        <v>282</v>
      </c>
    </row>
    <row r="104" spans="1:10" ht="33" x14ac:dyDescent="0.3">
      <c r="A104" s="5">
        <v>101</v>
      </c>
      <c r="B104" s="6" t="s">
        <v>358</v>
      </c>
      <c r="C104" s="6">
        <v>33</v>
      </c>
      <c r="D104" s="3" t="s">
        <v>372</v>
      </c>
      <c r="E104" s="3" t="s">
        <v>37</v>
      </c>
      <c r="F104" s="3" t="s">
        <v>277</v>
      </c>
      <c r="G104" s="3" t="s">
        <v>373</v>
      </c>
      <c r="H104" s="3"/>
      <c r="I104" s="3" t="s">
        <v>374</v>
      </c>
      <c r="J104" s="3" t="s">
        <v>275</v>
      </c>
    </row>
    <row r="105" spans="1:10" ht="33" x14ac:dyDescent="0.3">
      <c r="A105" s="5">
        <v>102</v>
      </c>
      <c r="B105" s="6" t="s">
        <v>358</v>
      </c>
      <c r="C105" s="6">
        <v>36</v>
      </c>
      <c r="D105" s="3" t="s">
        <v>375</v>
      </c>
      <c r="E105" s="3" t="s">
        <v>167</v>
      </c>
      <c r="F105" s="3" t="s">
        <v>207</v>
      </c>
      <c r="G105" s="3" t="s">
        <v>376</v>
      </c>
      <c r="H105" s="3"/>
      <c r="I105" s="3" t="s">
        <v>377</v>
      </c>
      <c r="J105" s="3" t="s">
        <v>275</v>
      </c>
    </row>
    <row r="106" spans="1:10" ht="33" x14ac:dyDescent="0.3">
      <c r="A106" s="5">
        <v>103</v>
      </c>
      <c r="B106" s="6" t="s">
        <v>358</v>
      </c>
      <c r="C106" s="6">
        <v>37</v>
      </c>
      <c r="D106" s="3" t="s">
        <v>378</v>
      </c>
      <c r="E106" s="3" t="s">
        <v>167</v>
      </c>
      <c r="F106" s="3" t="s">
        <v>52</v>
      </c>
      <c r="G106" s="3" t="s">
        <v>379</v>
      </c>
      <c r="H106" s="3"/>
      <c r="I106" s="3" t="s">
        <v>380</v>
      </c>
      <c r="J106" s="3" t="s">
        <v>275</v>
      </c>
    </row>
    <row r="107" spans="1:10" ht="33" x14ac:dyDescent="0.3">
      <c r="A107" s="5">
        <v>104</v>
      </c>
      <c r="B107" s="6" t="s">
        <v>358</v>
      </c>
      <c r="C107" s="6">
        <v>61</v>
      </c>
      <c r="D107" s="3" t="s">
        <v>381</v>
      </c>
      <c r="E107" s="3" t="s">
        <v>44</v>
      </c>
      <c r="F107" s="3" t="s">
        <v>38</v>
      </c>
      <c r="G107" s="3" t="s">
        <v>382</v>
      </c>
      <c r="H107" s="3"/>
      <c r="I107" s="3" t="s">
        <v>383</v>
      </c>
      <c r="J107" s="3" t="s">
        <v>282</v>
      </c>
    </row>
    <row r="108" spans="1:10" ht="33" x14ac:dyDescent="0.3">
      <c r="A108" s="5">
        <v>105</v>
      </c>
      <c r="B108" s="6" t="s">
        <v>358</v>
      </c>
      <c r="C108" s="6">
        <v>85</v>
      </c>
      <c r="D108" s="3" t="s">
        <v>384</v>
      </c>
      <c r="E108" s="3" t="s">
        <v>167</v>
      </c>
      <c r="F108" s="3" t="s">
        <v>38</v>
      </c>
      <c r="G108" s="3" t="s">
        <v>385</v>
      </c>
      <c r="H108" s="3"/>
      <c r="I108" s="3" t="s">
        <v>386</v>
      </c>
      <c r="J108" s="3" t="s">
        <v>282</v>
      </c>
    </row>
    <row r="109" spans="1:10" ht="33" x14ac:dyDescent="0.3">
      <c r="A109" s="5">
        <v>106</v>
      </c>
      <c r="B109" s="6" t="s">
        <v>358</v>
      </c>
      <c r="C109" s="6">
        <v>148</v>
      </c>
      <c r="D109" s="3" t="s">
        <v>387</v>
      </c>
      <c r="E109" s="3" t="s">
        <v>37</v>
      </c>
      <c r="F109" s="3" t="s">
        <v>38</v>
      </c>
      <c r="G109" s="3" t="s">
        <v>388</v>
      </c>
      <c r="H109" s="3"/>
      <c r="I109" s="3" t="s">
        <v>389</v>
      </c>
      <c r="J109" s="3" t="s">
        <v>282</v>
      </c>
    </row>
    <row r="110" spans="1:10" ht="33" x14ac:dyDescent="0.3">
      <c r="A110" s="5">
        <v>107</v>
      </c>
      <c r="B110" s="6" t="s">
        <v>358</v>
      </c>
      <c r="C110" s="6">
        <v>153</v>
      </c>
      <c r="D110" s="3" t="s">
        <v>388</v>
      </c>
      <c r="E110" s="3" t="s">
        <v>37</v>
      </c>
      <c r="F110" s="3" t="s">
        <v>38</v>
      </c>
      <c r="G110" s="3" t="s">
        <v>388</v>
      </c>
      <c r="H110" s="3"/>
      <c r="I110" s="3" t="s">
        <v>390</v>
      </c>
      <c r="J110" s="3" t="s">
        <v>282</v>
      </c>
    </row>
    <row r="111" spans="1:10" ht="33" x14ac:dyDescent="0.3">
      <c r="A111" s="5">
        <v>108</v>
      </c>
      <c r="B111" s="6" t="s">
        <v>358</v>
      </c>
      <c r="C111" s="6">
        <v>194</v>
      </c>
      <c r="D111" s="3" t="s">
        <v>391</v>
      </c>
      <c r="E111" s="3" t="s">
        <v>44</v>
      </c>
      <c r="F111" s="3" t="s">
        <v>52</v>
      </c>
      <c r="G111" s="3" t="s">
        <v>392</v>
      </c>
      <c r="H111" s="3"/>
      <c r="I111" s="3" t="s">
        <v>393</v>
      </c>
      <c r="J111" s="3" t="s">
        <v>275</v>
      </c>
    </row>
    <row r="112" spans="1:10" ht="33" x14ac:dyDescent="0.3">
      <c r="A112" s="5">
        <v>109</v>
      </c>
      <c r="B112" s="6" t="s">
        <v>358</v>
      </c>
      <c r="C112" s="6">
        <v>195</v>
      </c>
      <c r="D112" s="3" t="s">
        <v>394</v>
      </c>
      <c r="E112" s="3" t="s">
        <v>37</v>
      </c>
      <c r="F112" s="3" t="s">
        <v>38</v>
      </c>
      <c r="G112" s="3" t="s">
        <v>395</v>
      </c>
      <c r="H112" s="3"/>
      <c r="I112" s="3" t="s">
        <v>396</v>
      </c>
      <c r="J112" s="3" t="s">
        <v>282</v>
      </c>
    </row>
    <row r="113" spans="1:10" ht="33" x14ac:dyDescent="0.3">
      <c r="A113" s="5">
        <v>110</v>
      </c>
      <c r="B113" s="6" t="s">
        <v>358</v>
      </c>
      <c r="C113" s="6">
        <v>197</v>
      </c>
      <c r="D113" s="3" t="s">
        <v>397</v>
      </c>
      <c r="E113" s="3" t="s">
        <v>51</v>
      </c>
      <c r="F113" s="3" t="s">
        <v>38</v>
      </c>
      <c r="G113" s="3" t="s">
        <v>398</v>
      </c>
      <c r="H113" s="3"/>
      <c r="I113" s="3" t="s">
        <v>399</v>
      </c>
      <c r="J113" s="3" t="s">
        <v>282</v>
      </c>
    </row>
    <row r="114" spans="1:10" ht="33" x14ac:dyDescent="0.3">
      <c r="A114" s="5">
        <v>111</v>
      </c>
      <c r="B114" s="6" t="s">
        <v>358</v>
      </c>
      <c r="C114" s="6">
        <v>198</v>
      </c>
      <c r="D114" s="3" t="s">
        <v>400</v>
      </c>
      <c r="E114" s="3" t="s">
        <v>167</v>
      </c>
      <c r="F114" s="3" t="s">
        <v>38</v>
      </c>
      <c r="G114" s="3" t="s">
        <v>400</v>
      </c>
      <c r="H114" s="3"/>
      <c r="I114" s="3" t="s">
        <v>401</v>
      </c>
      <c r="J114" s="3" t="s">
        <v>282</v>
      </c>
    </row>
    <row r="115" spans="1:10" ht="33" x14ac:dyDescent="0.3">
      <c r="A115" s="5">
        <v>112</v>
      </c>
      <c r="B115" s="6" t="s">
        <v>358</v>
      </c>
      <c r="C115" s="6">
        <v>218</v>
      </c>
      <c r="D115" s="3" t="s">
        <v>402</v>
      </c>
      <c r="E115" s="3" t="s">
        <v>37</v>
      </c>
      <c r="F115" s="3" t="s">
        <v>403</v>
      </c>
      <c r="G115" s="3" t="s">
        <v>404</v>
      </c>
      <c r="H115" s="3"/>
      <c r="I115" s="3" t="s">
        <v>405</v>
      </c>
      <c r="J115" s="3" t="s">
        <v>275</v>
      </c>
    </row>
    <row r="116" spans="1:10" ht="33" x14ac:dyDescent="0.3">
      <c r="A116" s="5">
        <v>113</v>
      </c>
      <c r="B116" s="6" t="s">
        <v>358</v>
      </c>
      <c r="C116" s="6">
        <v>219</v>
      </c>
      <c r="D116" s="3" t="s">
        <v>406</v>
      </c>
      <c r="E116" s="3" t="s">
        <v>37</v>
      </c>
      <c r="F116" s="3" t="s">
        <v>85</v>
      </c>
      <c r="G116" s="3" t="s">
        <v>407</v>
      </c>
      <c r="H116" s="3"/>
      <c r="I116" s="3" t="s">
        <v>408</v>
      </c>
      <c r="J116" s="3" t="s">
        <v>275</v>
      </c>
    </row>
    <row r="117" spans="1:10" ht="33" x14ac:dyDescent="0.3">
      <c r="A117" s="5">
        <v>114</v>
      </c>
      <c r="B117" s="6" t="s">
        <v>358</v>
      </c>
      <c r="C117" s="6">
        <v>255</v>
      </c>
      <c r="D117" s="3" t="s">
        <v>409</v>
      </c>
      <c r="E117" s="3" t="s">
        <v>51</v>
      </c>
      <c r="F117" s="3" t="s">
        <v>38</v>
      </c>
      <c r="G117" s="3" t="s">
        <v>311</v>
      </c>
      <c r="H117" s="3"/>
      <c r="I117" s="3" t="s">
        <v>410</v>
      </c>
      <c r="J117" s="3" t="s">
        <v>282</v>
      </c>
    </row>
    <row r="118" spans="1:10" ht="33" x14ac:dyDescent="0.3">
      <c r="A118" s="5">
        <v>115</v>
      </c>
      <c r="B118" s="6" t="s">
        <v>358</v>
      </c>
      <c r="C118" s="6">
        <v>259</v>
      </c>
      <c r="D118" s="3" t="s">
        <v>411</v>
      </c>
      <c r="E118" s="3" t="s">
        <v>37</v>
      </c>
      <c r="F118" s="3" t="s">
        <v>52</v>
      </c>
      <c r="G118" s="3" t="s">
        <v>412</v>
      </c>
      <c r="H118" s="3"/>
      <c r="I118" s="3" t="s">
        <v>413</v>
      </c>
      <c r="J118" s="3" t="s">
        <v>275</v>
      </c>
    </row>
    <row r="119" spans="1:10" ht="33" x14ac:dyDescent="0.3">
      <c r="A119" s="5">
        <v>116</v>
      </c>
      <c r="B119" s="6" t="s">
        <v>358</v>
      </c>
      <c r="C119" s="6">
        <v>283</v>
      </c>
      <c r="D119" s="3" t="s">
        <v>414</v>
      </c>
      <c r="E119" s="3" t="s">
        <v>37</v>
      </c>
      <c r="F119" s="3" t="s">
        <v>85</v>
      </c>
      <c r="G119" s="3" t="s">
        <v>415</v>
      </c>
      <c r="H119" s="3"/>
      <c r="I119" s="3" t="s">
        <v>416</v>
      </c>
      <c r="J119" s="3" t="s">
        <v>275</v>
      </c>
    </row>
    <row r="120" spans="1:10" ht="33" x14ac:dyDescent="0.3">
      <c r="A120" s="5">
        <v>117</v>
      </c>
      <c r="B120" s="6" t="s">
        <v>358</v>
      </c>
      <c r="C120" s="6">
        <v>284</v>
      </c>
      <c r="D120" s="3" t="s">
        <v>417</v>
      </c>
      <c r="E120" s="3" t="s">
        <v>51</v>
      </c>
      <c r="F120" s="3" t="s">
        <v>403</v>
      </c>
      <c r="G120" s="3" t="s">
        <v>418</v>
      </c>
      <c r="H120" s="3"/>
      <c r="I120" s="3" t="s">
        <v>419</v>
      </c>
      <c r="J120" s="3" t="s">
        <v>275</v>
      </c>
    </row>
    <row r="121" spans="1:10" ht="33" x14ac:dyDescent="0.3">
      <c r="A121" s="5">
        <v>118</v>
      </c>
      <c r="B121" s="6" t="s">
        <v>358</v>
      </c>
      <c r="C121" s="6">
        <v>285</v>
      </c>
      <c r="D121" s="3" t="s">
        <v>420</v>
      </c>
      <c r="E121" s="3" t="s">
        <v>37</v>
      </c>
      <c r="F121" s="3" t="s">
        <v>85</v>
      </c>
      <c r="G121" s="3" t="s">
        <v>420</v>
      </c>
      <c r="H121" s="3"/>
      <c r="I121" s="3" t="s">
        <v>421</v>
      </c>
      <c r="J121" s="3" t="s">
        <v>275</v>
      </c>
    </row>
    <row r="122" spans="1:10" ht="33" x14ac:dyDescent="0.3">
      <c r="A122" s="5">
        <v>119</v>
      </c>
      <c r="B122" s="6" t="s">
        <v>422</v>
      </c>
      <c r="C122" s="6">
        <v>17</v>
      </c>
      <c r="D122" s="3" t="s">
        <v>423</v>
      </c>
      <c r="E122" s="3" t="s">
        <v>44</v>
      </c>
      <c r="F122" s="3" t="s">
        <v>38</v>
      </c>
      <c r="G122" s="3" t="s">
        <v>424</v>
      </c>
      <c r="H122" s="3"/>
      <c r="I122" s="3" t="s">
        <v>425</v>
      </c>
      <c r="J122" s="3" t="s">
        <v>282</v>
      </c>
    </row>
    <row r="123" spans="1:10" ht="33" x14ac:dyDescent="0.3">
      <c r="A123" s="5">
        <v>120</v>
      </c>
      <c r="B123" s="6" t="s">
        <v>422</v>
      </c>
      <c r="C123" s="6">
        <v>21</v>
      </c>
      <c r="D123" s="3" t="s">
        <v>426</v>
      </c>
      <c r="E123" s="3" t="s">
        <v>37</v>
      </c>
      <c r="F123" s="3" t="s">
        <v>38</v>
      </c>
      <c r="G123" s="3" t="s">
        <v>427</v>
      </c>
      <c r="H123" s="3"/>
      <c r="I123" s="3" t="s">
        <v>428</v>
      </c>
      <c r="J123" s="3" t="s">
        <v>282</v>
      </c>
    </row>
    <row r="124" spans="1:10" ht="33" x14ac:dyDescent="0.3">
      <c r="A124" s="5">
        <v>121</v>
      </c>
      <c r="B124" s="6" t="s">
        <v>422</v>
      </c>
      <c r="C124" s="6">
        <v>22</v>
      </c>
      <c r="D124" s="3" t="s">
        <v>429</v>
      </c>
      <c r="E124" s="3" t="s">
        <v>37</v>
      </c>
      <c r="F124" s="3" t="s">
        <v>38</v>
      </c>
      <c r="G124" s="3" t="s">
        <v>430</v>
      </c>
      <c r="H124" s="3"/>
      <c r="I124" s="3" t="s">
        <v>431</v>
      </c>
      <c r="J124" s="3" t="s">
        <v>282</v>
      </c>
    </row>
    <row r="125" spans="1:10" ht="33" x14ac:dyDescent="0.3">
      <c r="A125" s="5">
        <v>122</v>
      </c>
      <c r="B125" s="6" t="s">
        <v>422</v>
      </c>
      <c r="C125" s="6">
        <v>23</v>
      </c>
      <c r="D125" s="3" t="s">
        <v>432</v>
      </c>
      <c r="E125" s="3" t="s">
        <v>167</v>
      </c>
      <c r="F125" s="3" t="s">
        <v>38</v>
      </c>
      <c r="G125" s="3" t="s">
        <v>432</v>
      </c>
      <c r="H125" s="3"/>
      <c r="I125" s="3" t="s">
        <v>433</v>
      </c>
      <c r="J125" s="3" t="s">
        <v>282</v>
      </c>
    </row>
    <row r="126" spans="1:10" ht="33" x14ac:dyDescent="0.3">
      <c r="A126" s="5">
        <v>123</v>
      </c>
      <c r="B126" s="6" t="s">
        <v>422</v>
      </c>
      <c r="C126" s="6">
        <v>30</v>
      </c>
      <c r="D126" s="3" t="s">
        <v>434</v>
      </c>
      <c r="E126" s="3" t="s">
        <v>37</v>
      </c>
      <c r="F126" s="3" t="s">
        <v>277</v>
      </c>
      <c r="G126" s="3" t="s">
        <v>434</v>
      </c>
      <c r="H126" s="3"/>
      <c r="I126" s="3" t="s">
        <v>435</v>
      </c>
      <c r="J126" s="3" t="s">
        <v>275</v>
      </c>
    </row>
    <row r="127" spans="1:10" ht="33" x14ac:dyDescent="0.3">
      <c r="A127" s="5">
        <v>124</v>
      </c>
      <c r="B127" s="6" t="s">
        <v>422</v>
      </c>
      <c r="C127" s="6">
        <v>36</v>
      </c>
      <c r="D127" s="3" t="s">
        <v>436</v>
      </c>
      <c r="E127" s="3" t="s">
        <v>37</v>
      </c>
      <c r="F127" s="3" t="s">
        <v>277</v>
      </c>
      <c r="G127" s="3" t="s">
        <v>436</v>
      </c>
      <c r="H127" s="3"/>
      <c r="I127" s="3" t="s">
        <v>437</v>
      </c>
      <c r="J127" s="3" t="s">
        <v>275</v>
      </c>
    </row>
    <row r="128" spans="1:10" ht="33" x14ac:dyDescent="0.3">
      <c r="A128" s="5">
        <v>125</v>
      </c>
      <c r="B128" s="6" t="s">
        <v>422</v>
      </c>
      <c r="C128" s="6">
        <v>37</v>
      </c>
      <c r="D128" s="3" t="s">
        <v>438</v>
      </c>
      <c r="E128" s="3" t="s">
        <v>44</v>
      </c>
      <c r="F128" s="3" t="s">
        <v>277</v>
      </c>
      <c r="G128" s="3" t="s">
        <v>439</v>
      </c>
      <c r="H128" s="3"/>
      <c r="I128" s="3" t="s">
        <v>440</v>
      </c>
      <c r="J128" s="3" t="s">
        <v>275</v>
      </c>
    </row>
    <row r="129" spans="1:10" ht="33" x14ac:dyDescent="0.3">
      <c r="A129" s="5">
        <v>126</v>
      </c>
      <c r="B129" s="6" t="s">
        <v>422</v>
      </c>
      <c r="C129" s="6">
        <v>38</v>
      </c>
      <c r="D129" s="3" t="s">
        <v>441</v>
      </c>
      <c r="E129" s="3" t="s">
        <v>51</v>
      </c>
      <c r="F129" s="3" t="s">
        <v>403</v>
      </c>
      <c r="G129" s="3" t="s">
        <v>442</v>
      </c>
      <c r="H129" s="3"/>
      <c r="I129" s="3" t="s">
        <v>443</v>
      </c>
      <c r="J129" s="3" t="s">
        <v>275</v>
      </c>
    </row>
    <row r="130" spans="1:10" ht="33" x14ac:dyDescent="0.3">
      <c r="A130" s="5">
        <v>127</v>
      </c>
      <c r="B130" s="6" t="s">
        <v>422</v>
      </c>
      <c r="C130" s="6">
        <v>54</v>
      </c>
      <c r="D130" s="3" t="s">
        <v>444</v>
      </c>
      <c r="E130" s="3" t="s">
        <v>167</v>
      </c>
      <c r="F130" s="3" t="s">
        <v>207</v>
      </c>
      <c r="G130" s="3" t="s">
        <v>445</v>
      </c>
      <c r="H130" s="3"/>
      <c r="I130" s="3" t="s">
        <v>446</v>
      </c>
      <c r="J130" s="3" t="s">
        <v>275</v>
      </c>
    </row>
    <row r="131" spans="1:10" ht="33" x14ac:dyDescent="0.3">
      <c r="A131" s="5">
        <v>128</v>
      </c>
      <c r="B131" s="6" t="s">
        <v>422</v>
      </c>
      <c r="C131" s="6">
        <v>61</v>
      </c>
      <c r="D131" s="3" t="s">
        <v>447</v>
      </c>
      <c r="E131" s="3" t="s">
        <v>80</v>
      </c>
      <c r="F131" s="3" t="s">
        <v>45</v>
      </c>
      <c r="G131" s="3" t="s">
        <v>448</v>
      </c>
      <c r="H131" s="3"/>
      <c r="I131" s="3" t="s">
        <v>449</v>
      </c>
      <c r="J131" s="3" t="s">
        <v>275</v>
      </c>
    </row>
    <row r="132" spans="1:10" ht="33" x14ac:dyDescent="0.3">
      <c r="A132" s="5">
        <v>129</v>
      </c>
      <c r="B132" s="6" t="s">
        <v>422</v>
      </c>
      <c r="C132" s="6">
        <v>69</v>
      </c>
      <c r="D132" s="3" t="s">
        <v>450</v>
      </c>
      <c r="E132" s="3" t="s">
        <v>51</v>
      </c>
      <c r="F132" s="3" t="s">
        <v>38</v>
      </c>
      <c r="G132" s="3" t="s">
        <v>451</v>
      </c>
      <c r="H132" s="3"/>
      <c r="I132" s="3" t="s">
        <v>452</v>
      </c>
      <c r="J132" s="3" t="s">
        <v>282</v>
      </c>
    </row>
    <row r="133" spans="1:10" ht="33" x14ac:dyDescent="0.3">
      <c r="A133" s="5">
        <v>130</v>
      </c>
      <c r="B133" s="6" t="s">
        <v>422</v>
      </c>
      <c r="C133" s="6">
        <v>76</v>
      </c>
      <c r="D133" s="3" t="s">
        <v>453</v>
      </c>
      <c r="E133" s="3" t="s">
        <v>37</v>
      </c>
      <c r="F133" s="3" t="s">
        <v>38</v>
      </c>
      <c r="G133" s="3" t="s">
        <v>453</v>
      </c>
      <c r="H133" s="3"/>
      <c r="I133" s="3" t="s">
        <v>454</v>
      </c>
      <c r="J133" s="3" t="s">
        <v>282</v>
      </c>
    </row>
    <row r="134" spans="1:10" ht="33" x14ac:dyDescent="0.3">
      <c r="A134" s="5">
        <v>131</v>
      </c>
      <c r="B134" s="6" t="s">
        <v>422</v>
      </c>
      <c r="C134" s="6">
        <v>83</v>
      </c>
      <c r="D134" s="3" t="s">
        <v>455</v>
      </c>
      <c r="E134" s="3" t="s">
        <v>37</v>
      </c>
      <c r="F134" s="3" t="s">
        <v>85</v>
      </c>
      <c r="G134" s="3" t="s">
        <v>313</v>
      </c>
      <c r="H134" s="3"/>
      <c r="I134" s="3" t="s">
        <v>456</v>
      </c>
      <c r="J134" s="3" t="s">
        <v>275</v>
      </c>
    </row>
    <row r="135" spans="1:10" ht="33" x14ac:dyDescent="0.3">
      <c r="A135" s="5">
        <v>132</v>
      </c>
      <c r="B135" s="6" t="s">
        <v>422</v>
      </c>
      <c r="C135" s="6">
        <v>84</v>
      </c>
      <c r="D135" s="3" t="s">
        <v>457</v>
      </c>
      <c r="E135" s="3" t="s">
        <v>37</v>
      </c>
      <c r="F135" s="3" t="s">
        <v>38</v>
      </c>
      <c r="G135" s="3" t="s">
        <v>457</v>
      </c>
      <c r="H135" s="3"/>
      <c r="I135" s="3" t="s">
        <v>458</v>
      </c>
      <c r="J135" s="3" t="s">
        <v>282</v>
      </c>
    </row>
    <row r="136" spans="1:10" ht="33" x14ac:dyDescent="0.3">
      <c r="A136" s="5">
        <v>133</v>
      </c>
      <c r="B136" s="6" t="s">
        <v>422</v>
      </c>
      <c r="C136" s="6">
        <v>87</v>
      </c>
      <c r="D136" s="3" t="s">
        <v>459</v>
      </c>
      <c r="E136" s="3" t="s">
        <v>37</v>
      </c>
      <c r="F136" s="3" t="s">
        <v>38</v>
      </c>
      <c r="G136" s="3" t="s">
        <v>459</v>
      </c>
      <c r="H136" s="3"/>
      <c r="I136" s="3" t="s">
        <v>460</v>
      </c>
      <c r="J136" s="3" t="s">
        <v>282</v>
      </c>
    </row>
    <row r="137" spans="1:10" ht="33" x14ac:dyDescent="0.3">
      <c r="A137" s="5">
        <v>134</v>
      </c>
      <c r="B137" s="6" t="s">
        <v>422</v>
      </c>
      <c r="C137" s="6">
        <v>94</v>
      </c>
      <c r="D137" s="3" t="s">
        <v>461</v>
      </c>
      <c r="E137" s="3" t="s">
        <v>37</v>
      </c>
      <c r="F137" s="3" t="s">
        <v>85</v>
      </c>
      <c r="G137" s="3" t="s">
        <v>462</v>
      </c>
      <c r="H137" s="3"/>
      <c r="I137" s="3" t="s">
        <v>463</v>
      </c>
      <c r="J137" s="3" t="s">
        <v>275</v>
      </c>
    </row>
    <row r="138" spans="1:10" ht="33" x14ac:dyDescent="0.3">
      <c r="A138" s="5">
        <v>135</v>
      </c>
      <c r="B138" s="6" t="s">
        <v>422</v>
      </c>
      <c r="C138" s="6">
        <v>95</v>
      </c>
      <c r="D138" s="3" t="s">
        <v>464</v>
      </c>
      <c r="E138" s="3" t="s">
        <v>58</v>
      </c>
      <c r="F138" s="3" t="s">
        <v>45</v>
      </c>
      <c r="G138" s="3" t="s">
        <v>465</v>
      </c>
      <c r="H138" s="3"/>
      <c r="I138" s="3" t="s">
        <v>466</v>
      </c>
      <c r="J138" s="3" t="s">
        <v>275</v>
      </c>
    </row>
    <row r="139" spans="1:10" ht="33" x14ac:dyDescent="0.3">
      <c r="A139" s="5">
        <v>136</v>
      </c>
      <c r="B139" s="6" t="s">
        <v>422</v>
      </c>
      <c r="C139" s="6">
        <v>103</v>
      </c>
      <c r="D139" s="3" t="s">
        <v>467</v>
      </c>
      <c r="E139" s="3" t="s">
        <v>37</v>
      </c>
      <c r="F139" s="3" t="s">
        <v>38</v>
      </c>
      <c r="G139" s="3" t="s">
        <v>467</v>
      </c>
      <c r="H139" s="3"/>
      <c r="I139" s="3" t="s">
        <v>468</v>
      </c>
      <c r="J139" s="3" t="s">
        <v>282</v>
      </c>
    </row>
    <row r="140" spans="1:10" ht="33" x14ac:dyDescent="0.3">
      <c r="A140" s="5">
        <v>137</v>
      </c>
      <c r="B140" s="6" t="s">
        <v>422</v>
      </c>
      <c r="C140" s="6">
        <v>104</v>
      </c>
      <c r="D140" s="3" t="s">
        <v>469</v>
      </c>
      <c r="E140" s="3" t="s">
        <v>44</v>
      </c>
      <c r="F140" s="3" t="s">
        <v>277</v>
      </c>
      <c r="G140" s="3" t="s">
        <v>470</v>
      </c>
      <c r="H140" s="3"/>
      <c r="I140" s="3" t="s">
        <v>471</v>
      </c>
      <c r="J140" s="3" t="s">
        <v>275</v>
      </c>
    </row>
    <row r="141" spans="1:10" ht="33" x14ac:dyDescent="0.3">
      <c r="A141" s="5">
        <v>138</v>
      </c>
      <c r="B141" s="6" t="s">
        <v>422</v>
      </c>
      <c r="C141" s="6">
        <v>113</v>
      </c>
      <c r="D141" s="3" t="s">
        <v>472</v>
      </c>
      <c r="E141" s="3" t="s">
        <v>37</v>
      </c>
      <c r="F141" s="3" t="s">
        <v>52</v>
      </c>
      <c r="G141" s="3" t="s">
        <v>473</v>
      </c>
      <c r="H141" s="3"/>
      <c r="I141" s="3" t="s">
        <v>474</v>
      </c>
      <c r="J141" s="3" t="s">
        <v>275</v>
      </c>
    </row>
    <row r="142" spans="1:10" ht="33" x14ac:dyDescent="0.3">
      <c r="A142" s="5">
        <v>139</v>
      </c>
      <c r="B142" s="6" t="s">
        <v>422</v>
      </c>
      <c r="C142" s="6">
        <v>120</v>
      </c>
      <c r="D142" s="3" t="s">
        <v>475</v>
      </c>
      <c r="E142" s="3" t="s">
        <v>37</v>
      </c>
      <c r="F142" s="3" t="s">
        <v>85</v>
      </c>
      <c r="G142" s="3" t="s">
        <v>476</v>
      </c>
      <c r="H142" s="3"/>
      <c r="I142" s="3" t="s">
        <v>477</v>
      </c>
      <c r="J142" s="3" t="s">
        <v>275</v>
      </c>
    </row>
    <row r="143" spans="1:10" ht="33" x14ac:dyDescent="0.3">
      <c r="A143" s="5">
        <v>140</v>
      </c>
      <c r="B143" s="6" t="s">
        <v>422</v>
      </c>
      <c r="C143" s="6">
        <v>137</v>
      </c>
      <c r="D143" s="3" t="s">
        <v>478</v>
      </c>
      <c r="E143" s="3" t="s">
        <v>37</v>
      </c>
      <c r="F143" s="3" t="s">
        <v>85</v>
      </c>
      <c r="G143" s="3" t="s">
        <v>350</v>
      </c>
      <c r="H143" s="3"/>
      <c r="I143" s="3" t="s">
        <v>479</v>
      </c>
      <c r="J143" s="3" t="s">
        <v>275</v>
      </c>
    </row>
    <row r="144" spans="1:10" ht="33" x14ac:dyDescent="0.3">
      <c r="A144" s="5">
        <v>141</v>
      </c>
      <c r="B144" s="6" t="s">
        <v>422</v>
      </c>
      <c r="C144" s="6">
        <v>152</v>
      </c>
      <c r="D144" s="3" t="s">
        <v>480</v>
      </c>
      <c r="E144" s="3" t="s">
        <v>51</v>
      </c>
      <c r="F144" s="3" t="s">
        <v>45</v>
      </c>
      <c r="G144" s="3" t="s">
        <v>481</v>
      </c>
      <c r="H144" s="3"/>
      <c r="I144" s="3" t="s">
        <v>482</v>
      </c>
      <c r="J144" s="3" t="s">
        <v>275</v>
      </c>
    </row>
    <row r="145" spans="1:10" ht="33" x14ac:dyDescent="0.3">
      <c r="A145" s="5">
        <v>142</v>
      </c>
      <c r="B145" s="6" t="s">
        <v>422</v>
      </c>
      <c r="C145" s="6">
        <v>159</v>
      </c>
      <c r="D145" s="3" t="s">
        <v>483</v>
      </c>
      <c r="E145" s="3" t="s">
        <v>37</v>
      </c>
      <c r="F145" s="3" t="s">
        <v>38</v>
      </c>
      <c r="G145" s="3" t="s">
        <v>484</v>
      </c>
      <c r="H145" s="3"/>
      <c r="I145" s="3" t="s">
        <v>485</v>
      </c>
      <c r="J145" s="3" t="s">
        <v>282</v>
      </c>
    </row>
    <row r="146" spans="1:10" ht="33" x14ac:dyDescent="0.3">
      <c r="A146" s="5">
        <v>143</v>
      </c>
      <c r="B146" s="6" t="s">
        <v>486</v>
      </c>
      <c r="C146" s="6">
        <v>28</v>
      </c>
      <c r="D146" s="3" t="s">
        <v>487</v>
      </c>
      <c r="E146" s="3" t="s">
        <v>44</v>
      </c>
      <c r="F146" s="3" t="s">
        <v>38</v>
      </c>
      <c r="G146" s="3" t="s">
        <v>487</v>
      </c>
      <c r="H146" s="3"/>
      <c r="I146" s="3" t="s">
        <v>488</v>
      </c>
      <c r="J146" s="3" t="s">
        <v>282</v>
      </c>
    </row>
    <row r="147" spans="1:10" ht="33" x14ac:dyDescent="0.3">
      <c r="A147" s="5">
        <v>144</v>
      </c>
      <c r="B147" s="6" t="s">
        <v>486</v>
      </c>
      <c r="C147" s="6">
        <v>56</v>
      </c>
      <c r="D147" s="3" t="s">
        <v>489</v>
      </c>
      <c r="E147" s="3" t="s">
        <v>37</v>
      </c>
      <c r="F147" s="3" t="s">
        <v>38</v>
      </c>
      <c r="G147" s="3" t="s">
        <v>427</v>
      </c>
      <c r="H147" s="3"/>
      <c r="I147" s="3" t="s">
        <v>490</v>
      </c>
      <c r="J147" s="3" t="s">
        <v>282</v>
      </c>
    </row>
    <row r="148" spans="1:10" ht="33" x14ac:dyDescent="0.3">
      <c r="A148" s="5">
        <v>145</v>
      </c>
      <c r="B148" s="6" t="s">
        <v>486</v>
      </c>
      <c r="C148" s="6">
        <v>61</v>
      </c>
      <c r="D148" s="3" t="s">
        <v>491</v>
      </c>
      <c r="E148" s="3" t="s">
        <v>37</v>
      </c>
      <c r="F148" s="3" t="s">
        <v>85</v>
      </c>
      <c r="G148" s="3" t="s">
        <v>492</v>
      </c>
      <c r="H148" s="3"/>
      <c r="I148" s="3" t="s">
        <v>493</v>
      </c>
      <c r="J148" s="3" t="s">
        <v>275</v>
      </c>
    </row>
    <row r="149" spans="1:10" ht="33" x14ac:dyDescent="0.3">
      <c r="A149" s="5">
        <v>146</v>
      </c>
      <c r="B149" s="6" t="s">
        <v>486</v>
      </c>
      <c r="C149" s="6">
        <v>62</v>
      </c>
      <c r="D149" s="3" t="s">
        <v>494</v>
      </c>
      <c r="E149" s="3" t="s">
        <v>37</v>
      </c>
      <c r="F149" s="3" t="s">
        <v>277</v>
      </c>
      <c r="G149" s="3" t="s">
        <v>495</v>
      </c>
      <c r="H149" s="3"/>
      <c r="I149" s="3" t="s">
        <v>496</v>
      </c>
      <c r="J149" s="3" t="s">
        <v>275</v>
      </c>
    </row>
    <row r="150" spans="1:10" ht="33" x14ac:dyDescent="0.3">
      <c r="A150" s="5">
        <v>147</v>
      </c>
      <c r="B150" s="6" t="s">
        <v>486</v>
      </c>
      <c r="C150" s="6">
        <v>63</v>
      </c>
      <c r="D150" s="3" t="s">
        <v>497</v>
      </c>
      <c r="E150" s="3" t="s">
        <v>37</v>
      </c>
      <c r="F150" s="3" t="s">
        <v>277</v>
      </c>
      <c r="G150" s="3" t="s">
        <v>497</v>
      </c>
      <c r="H150" s="3"/>
      <c r="I150" s="3" t="s">
        <v>498</v>
      </c>
      <c r="J150" s="3" t="s">
        <v>275</v>
      </c>
    </row>
    <row r="151" spans="1:10" ht="33" x14ac:dyDescent="0.3">
      <c r="A151" s="5">
        <v>148</v>
      </c>
      <c r="B151" s="6" t="s">
        <v>486</v>
      </c>
      <c r="C151" s="6">
        <v>72</v>
      </c>
      <c r="D151" s="3" t="s">
        <v>499</v>
      </c>
      <c r="E151" s="3" t="s">
        <v>51</v>
      </c>
      <c r="F151" s="3" t="s">
        <v>38</v>
      </c>
      <c r="G151" s="3" t="s">
        <v>356</v>
      </c>
      <c r="H151" s="3"/>
      <c r="I151" s="3" t="s">
        <v>500</v>
      </c>
      <c r="J151" s="3" t="s">
        <v>282</v>
      </c>
    </row>
    <row r="152" spans="1:10" ht="33" x14ac:dyDescent="0.3">
      <c r="A152" s="5">
        <v>149</v>
      </c>
      <c r="B152" s="6" t="s">
        <v>486</v>
      </c>
      <c r="C152" s="6">
        <v>88</v>
      </c>
      <c r="D152" s="3" t="s">
        <v>501</v>
      </c>
      <c r="E152" s="3" t="s">
        <v>37</v>
      </c>
      <c r="F152" s="3" t="s">
        <v>38</v>
      </c>
      <c r="G152" s="3" t="s">
        <v>502</v>
      </c>
      <c r="H152" s="3"/>
      <c r="I152" s="3" t="s">
        <v>503</v>
      </c>
      <c r="J152" s="3" t="s">
        <v>282</v>
      </c>
    </row>
    <row r="153" spans="1:10" ht="33" x14ac:dyDescent="0.3">
      <c r="A153" s="5">
        <v>150</v>
      </c>
      <c r="B153" s="6" t="s">
        <v>486</v>
      </c>
      <c r="C153" s="6">
        <v>98</v>
      </c>
      <c r="D153" s="3" t="s">
        <v>504</v>
      </c>
      <c r="E153" s="3" t="s">
        <v>37</v>
      </c>
      <c r="F153" s="3" t="s">
        <v>277</v>
      </c>
      <c r="G153" s="3" t="s">
        <v>505</v>
      </c>
      <c r="H153" s="3"/>
      <c r="I153" s="3" t="s">
        <v>506</v>
      </c>
      <c r="J153" s="3" t="s">
        <v>275</v>
      </c>
    </row>
    <row r="154" spans="1:10" ht="33" x14ac:dyDescent="0.3">
      <c r="A154" s="5">
        <v>151</v>
      </c>
      <c r="B154" s="6" t="s">
        <v>486</v>
      </c>
      <c r="C154" s="6">
        <v>109</v>
      </c>
      <c r="D154" s="3" t="s">
        <v>507</v>
      </c>
      <c r="E154" s="3" t="s">
        <v>51</v>
      </c>
      <c r="F154" s="3" t="s">
        <v>277</v>
      </c>
      <c r="G154" s="3" t="s">
        <v>507</v>
      </c>
      <c r="H154" s="3"/>
      <c r="I154" s="3" t="s">
        <v>508</v>
      </c>
      <c r="J154" s="3" t="s">
        <v>275</v>
      </c>
    </row>
    <row r="155" spans="1:10" ht="33" x14ac:dyDescent="0.3">
      <c r="A155" s="5">
        <v>152</v>
      </c>
      <c r="B155" s="6" t="s">
        <v>486</v>
      </c>
      <c r="C155" s="6">
        <v>172</v>
      </c>
      <c r="D155" s="3" t="s">
        <v>509</v>
      </c>
      <c r="E155" s="3" t="s">
        <v>44</v>
      </c>
      <c r="F155" s="3" t="s">
        <v>38</v>
      </c>
      <c r="G155" s="3" t="s">
        <v>510</v>
      </c>
      <c r="H155" s="3"/>
      <c r="I155" s="3" t="s">
        <v>511</v>
      </c>
      <c r="J155" s="3" t="s">
        <v>282</v>
      </c>
    </row>
    <row r="156" spans="1:10" ht="33" x14ac:dyDescent="0.3">
      <c r="A156" s="5">
        <v>153</v>
      </c>
      <c r="B156" s="6" t="s">
        <v>486</v>
      </c>
      <c r="C156" s="6">
        <v>226</v>
      </c>
      <c r="D156" s="3" t="s">
        <v>512</v>
      </c>
      <c r="E156" s="3" t="s">
        <v>37</v>
      </c>
      <c r="F156" s="3" t="s">
        <v>85</v>
      </c>
      <c r="G156" s="3" t="s">
        <v>513</v>
      </c>
      <c r="H156" s="3"/>
      <c r="I156" s="3" t="s">
        <v>514</v>
      </c>
      <c r="J156" s="3" t="s">
        <v>275</v>
      </c>
    </row>
    <row r="157" spans="1:10" ht="33" x14ac:dyDescent="0.3">
      <c r="A157" s="5">
        <v>154</v>
      </c>
      <c r="B157" s="6" t="s">
        <v>486</v>
      </c>
      <c r="C157" s="6">
        <v>264</v>
      </c>
      <c r="D157" s="3" t="s">
        <v>515</v>
      </c>
      <c r="E157" s="3" t="s">
        <v>167</v>
      </c>
      <c r="F157" s="3" t="s">
        <v>52</v>
      </c>
      <c r="G157" s="3" t="s">
        <v>515</v>
      </c>
      <c r="H157" s="3"/>
      <c r="I157" s="3" t="s">
        <v>516</v>
      </c>
      <c r="J157" s="3" t="s">
        <v>275</v>
      </c>
    </row>
    <row r="158" spans="1:10" ht="33" x14ac:dyDescent="0.3">
      <c r="A158" s="5">
        <v>155</v>
      </c>
      <c r="B158" s="6" t="s">
        <v>486</v>
      </c>
      <c r="C158" s="6">
        <v>290</v>
      </c>
      <c r="D158" s="3" t="s">
        <v>517</v>
      </c>
      <c r="E158" s="3" t="s">
        <v>37</v>
      </c>
      <c r="F158" s="3" t="s">
        <v>52</v>
      </c>
      <c r="G158" s="3" t="s">
        <v>518</v>
      </c>
      <c r="H158" s="3"/>
      <c r="I158" s="3" t="s">
        <v>519</v>
      </c>
      <c r="J158" s="3" t="s">
        <v>275</v>
      </c>
    </row>
    <row r="159" spans="1:10" ht="33" x14ac:dyDescent="0.3">
      <c r="A159" s="5">
        <v>156</v>
      </c>
      <c r="B159" s="6" t="s">
        <v>486</v>
      </c>
      <c r="C159" s="6">
        <v>291</v>
      </c>
      <c r="D159" s="3" t="s">
        <v>520</v>
      </c>
      <c r="E159" s="3" t="s">
        <v>167</v>
      </c>
      <c r="F159" s="3" t="s">
        <v>52</v>
      </c>
      <c r="G159" s="3" t="s">
        <v>521</v>
      </c>
      <c r="H159" s="3"/>
      <c r="I159" s="3" t="s">
        <v>522</v>
      </c>
      <c r="J159" s="3" t="s">
        <v>275</v>
      </c>
    </row>
    <row r="160" spans="1:10" ht="33" x14ac:dyDescent="0.3">
      <c r="A160" s="5">
        <v>157</v>
      </c>
      <c r="B160" s="6" t="s">
        <v>486</v>
      </c>
      <c r="C160" s="6">
        <v>304</v>
      </c>
      <c r="D160" s="3" t="s">
        <v>523</v>
      </c>
      <c r="E160" s="3" t="s">
        <v>37</v>
      </c>
      <c r="F160" s="3" t="s">
        <v>277</v>
      </c>
      <c r="G160" s="3" t="s">
        <v>524</v>
      </c>
      <c r="H160" s="3"/>
      <c r="I160" s="3" t="s">
        <v>525</v>
      </c>
      <c r="J160" s="3" t="s">
        <v>275</v>
      </c>
    </row>
    <row r="161" spans="1:10" ht="33" x14ac:dyDescent="0.3">
      <c r="A161" s="5">
        <v>158</v>
      </c>
      <c r="B161" s="6" t="s">
        <v>486</v>
      </c>
      <c r="C161" s="6">
        <v>321</v>
      </c>
      <c r="D161" s="3" t="s">
        <v>526</v>
      </c>
      <c r="E161" s="3" t="s">
        <v>80</v>
      </c>
      <c r="F161" s="3" t="s">
        <v>52</v>
      </c>
      <c r="G161" s="3" t="s">
        <v>527</v>
      </c>
      <c r="H161" s="3"/>
      <c r="I161" s="3" t="s">
        <v>528</v>
      </c>
      <c r="J161" s="3" t="s">
        <v>275</v>
      </c>
    </row>
    <row r="162" spans="1:10" ht="33" x14ac:dyDescent="0.3">
      <c r="A162" s="5">
        <v>159</v>
      </c>
      <c r="B162" s="6" t="s">
        <v>486</v>
      </c>
      <c r="C162" s="6">
        <v>328</v>
      </c>
      <c r="D162" s="3" t="s">
        <v>529</v>
      </c>
      <c r="E162" s="3" t="s">
        <v>44</v>
      </c>
      <c r="F162" s="3" t="s">
        <v>45</v>
      </c>
      <c r="G162" s="3" t="s">
        <v>530</v>
      </c>
      <c r="H162" s="3"/>
      <c r="I162" s="3" t="s">
        <v>531</v>
      </c>
      <c r="J162" s="3" t="s">
        <v>275</v>
      </c>
    </row>
    <row r="163" spans="1:10" ht="33" x14ac:dyDescent="0.3">
      <c r="A163" s="5">
        <v>160</v>
      </c>
      <c r="B163" s="6" t="s">
        <v>486</v>
      </c>
      <c r="C163" s="6">
        <v>378</v>
      </c>
      <c r="D163" s="3" t="s">
        <v>532</v>
      </c>
      <c r="E163" s="3" t="s">
        <v>44</v>
      </c>
      <c r="F163" s="3" t="s">
        <v>45</v>
      </c>
      <c r="G163" s="3" t="s">
        <v>532</v>
      </c>
      <c r="H163" s="3"/>
      <c r="I163" s="3" t="s">
        <v>533</v>
      </c>
      <c r="J163" s="3" t="s">
        <v>275</v>
      </c>
    </row>
    <row r="164" spans="1:10" ht="33" x14ac:dyDescent="0.3">
      <c r="A164" s="5">
        <v>161</v>
      </c>
      <c r="B164" s="6" t="s">
        <v>486</v>
      </c>
      <c r="C164" s="6">
        <v>387</v>
      </c>
      <c r="D164" s="3" t="s">
        <v>534</v>
      </c>
      <c r="E164" s="3" t="s">
        <v>37</v>
      </c>
      <c r="F164" s="3" t="s">
        <v>52</v>
      </c>
      <c r="G164" s="3" t="s">
        <v>535</v>
      </c>
      <c r="H164" s="3"/>
      <c r="I164" s="3" t="s">
        <v>536</v>
      </c>
      <c r="J164" s="3" t="s">
        <v>275</v>
      </c>
    </row>
    <row r="165" spans="1:10" ht="33" x14ac:dyDescent="0.3">
      <c r="A165" s="5">
        <v>162</v>
      </c>
      <c r="B165" s="6" t="s">
        <v>486</v>
      </c>
      <c r="C165" s="6">
        <v>388</v>
      </c>
      <c r="D165" s="3" t="s">
        <v>537</v>
      </c>
      <c r="E165" s="3" t="s">
        <v>37</v>
      </c>
      <c r="F165" s="3" t="s">
        <v>52</v>
      </c>
      <c r="G165" s="3" t="s">
        <v>538</v>
      </c>
      <c r="H165" s="3"/>
      <c r="I165" s="3" t="s">
        <v>539</v>
      </c>
      <c r="J165" s="3" t="s">
        <v>275</v>
      </c>
    </row>
    <row r="166" spans="1:10" ht="33" x14ac:dyDescent="0.3">
      <c r="A166" s="5">
        <v>163</v>
      </c>
      <c r="B166" s="6" t="s">
        <v>486</v>
      </c>
      <c r="C166" s="6">
        <v>390</v>
      </c>
      <c r="D166" s="3" t="s">
        <v>540</v>
      </c>
      <c r="E166" s="3" t="s">
        <v>37</v>
      </c>
      <c r="F166" s="3" t="s">
        <v>85</v>
      </c>
      <c r="G166" s="3" t="s">
        <v>541</v>
      </c>
      <c r="H166" s="3"/>
      <c r="I166" s="3" t="s">
        <v>542</v>
      </c>
      <c r="J166" s="3" t="s">
        <v>275</v>
      </c>
    </row>
    <row r="167" spans="1:10" ht="33" x14ac:dyDescent="0.3">
      <c r="A167" s="5">
        <v>164</v>
      </c>
      <c r="B167" s="6" t="s">
        <v>486</v>
      </c>
      <c r="C167" s="6">
        <v>460</v>
      </c>
      <c r="D167" s="3" t="s">
        <v>543</v>
      </c>
      <c r="E167" s="3" t="s">
        <v>167</v>
      </c>
      <c r="F167" s="3" t="s">
        <v>207</v>
      </c>
      <c r="G167" s="3" t="s">
        <v>544</v>
      </c>
      <c r="H167" s="3"/>
      <c r="I167" s="3" t="s">
        <v>545</v>
      </c>
      <c r="J167" s="3" t="s">
        <v>275</v>
      </c>
    </row>
    <row r="168" spans="1:10" ht="33" x14ac:dyDescent="0.3">
      <c r="A168" s="5">
        <v>165</v>
      </c>
      <c r="B168" s="6" t="s">
        <v>486</v>
      </c>
      <c r="C168" s="6">
        <v>471</v>
      </c>
      <c r="D168" s="3" t="s">
        <v>546</v>
      </c>
      <c r="E168" s="3" t="s">
        <v>51</v>
      </c>
      <c r="F168" s="3" t="s">
        <v>45</v>
      </c>
      <c r="G168" s="3" t="s">
        <v>547</v>
      </c>
      <c r="H168" s="3"/>
      <c r="I168" s="3" t="s">
        <v>548</v>
      </c>
      <c r="J168" s="3" t="s">
        <v>275</v>
      </c>
    </row>
    <row r="169" spans="1:10" ht="33" x14ac:dyDescent="0.3">
      <c r="A169" s="5">
        <v>166</v>
      </c>
      <c r="B169" s="6" t="s">
        <v>486</v>
      </c>
      <c r="C169" s="6">
        <v>493</v>
      </c>
      <c r="D169" s="3" t="s">
        <v>549</v>
      </c>
      <c r="E169" s="3" t="s">
        <v>44</v>
      </c>
      <c r="F169" s="3" t="s">
        <v>277</v>
      </c>
      <c r="G169" s="3" t="s">
        <v>550</v>
      </c>
      <c r="H169" s="3"/>
      <c r="I169" s="3" t="s">
        <v>551</v>
      </c>
      <c r="J169" s="3" t="s">
        <v>275</v>
      </c>
    </row>
    <row r="170" spans="1:10" ht="33" x14ac:dyDescent="0.3">
      <c r="A170" s="5">
        <v>167</v>
      </c>
      <c r="B170" s="6" t="s">
        <v>486</v>
      </c>
      <c r="C170" s="6">
        <v>507</v>
      </c>
      <c r="D170" s="3" t="s">
        <v>552</v>
      </c>
      <c r="E170" s="3" t="s">
        <v>37</v>
      </c>
      <c r="F170" s="3" t="s">
        <v>52</v>
      </c>
      <c r="G170" s="3" t="s">
        <v>553</v>
      </c>
      <c r="H170" s="3"/>
      <c r="I170" s="3" t="s">
        <v>554</v>
      </c>
      <c r="J170" s="3" t="s">
        <v>275</v>
      </c>
    </row>
    <row r="171" spans="1:10" ht="33" x14ac:dyDescent="0.3">
      <c r="A171" s="5">
        <v>168</v>
      </c>
      <c r="B171" s="6" t="s">
        <v>486</v>
      </c>
      <c r="C171" s="6">
        <v>509</v>
      </c>
      <c r="D171" s="3" t="s">
        <v>555</v>
      </c>
      <c r="E171" s="3" t="s">
        <v>51</v>
      </c>
      <c r="F171" s="3" t="s">
        <v>403</v>
      </c>
      <c r="G171" s="3" t="s">
        <v>556</v>
      </c>
      <c r="H171" s="3"/>
      <c r="I171" s="3" t="s">
        <v>557</v>
      </c>
      <c r="J171" s="3" t="s">
        <v>275</v>
      </c>
    </row>
    <row r="172" spans="1:10" ht="33" x14ac:dyDescent="0.3">
      <c r="A172" s="5">
        <v>169</v>
      </c>
      <c r="B172" s="6" t="s">
        <v>558</v>
      </c>
      <c r="C172" s="6">
        <v>1</v>
      </c>
      <c r="D172" s="3" t="s">
        <v>559</v>
      </c>
      <c r="E172" s="3" t="s">
        <v>37</v>
      </c>
      <c r="F172" s="3" t="s">
        <v>38</v>
      </c>
      <c r="G172" s="3" t="s">
        <v>560</v>
      </c>
      <c r="H172" s="3"/>
      <c r="I172" s="3" t="s">
        <v>561</v>
      </c>
      <c r="J172" s="3" t="s">
        <v>282</v>
      </c>
    </row>
    <row r="173" spans="1:10" ht="33" x14ac:dyDescent="0.3">
      <c r="A173" s="5">
        <v>170</v>
      </c>
      <c r="B173" s="6" t="s">
        <v>558</v>
      </c>
      <c r="C173" s="6">
        <v>2</v>
      </c>
      <c r="D173" s="3" t="s">
        <v>562</v>
      </c>
      <c r="E173" s="3" t="s">
        <v>37</v>
      </c>
      <c r="F173" s="3" t="s">
        <v>38</v>
      </c>
      <c r="G173" s="3" t="s">
        <v>563</v>
      </c>
      <c r="H173" s="3"/>
      <c r="I173" s="3" t="s">
        <v>564</v>
      </c>
      <c r="J173" s="3" t="s">
        <v>282</v>
      </c>
    </row>
    <row r="174" spans="1:10" ht="33" x14ac:dyDescent="0.3">
      <c r="A174" s="5">
        <v>171</v>
      </c>
      <c r="B174" s="6" t="s">
        <v>558</v>
      </c>
      <c r="C174" s="6">
        <v>2</v>
      </c>
      <c r="D174" s="3" t="s">
        <v>565</v>
      </c>
      <c r="E174" s="3" t="s">
        <v>167</v>
      </c>
      <c r="F174" s="3" t="s">
        <v>38</v>
      </c>
      <c r="G174" s="3" t="s">
        <v>566</v>
      </c>
      <c r="H174" s="3"/>
      <c r="I174" s="3" t="s">
        <v>567</v>
      </c>
      <c r="J174" s="3" t="s">
        <v>282</v>
      </c>
    </row>
    <row r="175" spans="1:10" ht="33" x14ac:dyDescent="0.3">
      <c r="A175" s="5">
        <v>172</v>
      </c>
      <c r="B175" s="6" t="s">
        <v>558</v>
      </c>
      <c r="C175" s="6">
        <v>3</v>
      </c>
      <c r="D175" s="3" t="s">
        <v>568</v>
      </c>
      <c r="E175" s="3" t="s">
        <v>80</v>
      </c>
      <c r="F175" s="3" t="s">
        <v>38</v>
      </c>
      <c r="G175" s="3" t="s">
        <v>569</v>
      </c>
      <c r="H175" s="3"/>
      <c r="I175" s="3" t="s">
        <v>570</v>
      </c>
      <c r="J175" s="3" t="s">
        <v>282</v>
      </c>
    </row>
    <row r="176" spans="1:10" ht="33" x14ac:dyDescent="0.3">
      <c r="A176" s="5">
        <v>173</v>
      </c>
      <c r="B176" s="6" t="s">
        <v>558</v>
      </c>
      <c r="C176" s="6">
        <v>3</v>
      </c>
      <c r="D176" s="3" t="s">
        <v>571</v>
      </c>
      <c r="E176" s="3" t="s">
        <v>37</v>
      </c>
      <c r="F176" s="3" t="s">
        <v>85</v>
      </c>
      <c r="G176" s="3" t="s">
        <v>572</v>
      </c>
      <c r="H176" s="3"/>
      <c r="I176" s="3" t="s">
        <v>573</v>
      </c>
      <c r="J176" s="3" t="s">
        <v>275</v>
      </c>
    </row>
    <row r="177" spans="1:10" ht="33" x14ac:dyDescent="0.3">
      <c r="A177" s="5">
        <v>174</v>
      </c>
      <c r="B177" s="6" t="s">
        <v>558</v>
      </c>
      <c r="C177" s="6">
        <v>4</v>
      </c>
      <c r="D177" s="3" t="s">
        <v>574</v>
      </c>
      <c r="E177" s="3" t="s">
        <v>167</v>
      </c>
      <c r="F177" s="3" t="s">
        <v>38</v>
      </c>
      <c r="G177" s="3" t="s">
        <v>566</v>
      </c>
      <c r="H177" s="3"/>
      <c r="I177" s="3" t="s">
        <v>575</v>
      </c>
      <c r="J177" s="3" t="s">
        <v>282</v>
      </c>
    </row>
    <row r="178" spans="1:10" ht="33" x14ac:dyDescent="0.3">
      <c r="A178" s="5">
        <v>175</v>
      </c>
      <c r="B178" s="6" t="s">
        <v>558</v>
      </c>
      <c r="C178" s="6">
        <v>5</v>
      </c>
      <c r="D178" s="3" t="s">
        <v>576</v>
      </c>
      <c r="E178" s="3" t="s">
        <v>37</v>
      </c>
      <c r="F178" s="3" t="s">
        <v>38</v>
      </c>
      <c r="G178" s="3" t="s">
        <v>577</v>
      </c>
      <c r="H178" s="3"/>
      <c r="I178" s="3" t="s">
        <v>578</v>
      </c>
      <c r="J178" s="3" t="s">
        <v>282</v>
      </c>
    </row>
    <row r="179" spans="1:10" ht="33" x14ac:dyDescent="0.3">
      <c r="A179" s="5">
        <v>176</v>
      </c>
      <c r="B179" s="6" t="s">
        <v>558</v>
      </c>
      <c r="C179" s="6">
        <v>6</v>
      </c>
      <c r="D179" s="3" t="s">
        <v>579</v>
      </c>
      <c r="E179" s="3" t="s">
        <v>37</v>
      </c>
      <c r="F179" s="3" t="s">
        <v>85</v>
      </c>
      <c r="G179" s="3" t="s">
        <v>580</v>
      </c>
      <c r="H179" s="3"/>
      <c r="I179" s="3" t="s">
        <v>581</v>
      </c>
      <c r="J179" s="3" t="s">
        <v>275</v>
      </c>
    </row>
    <row r="180" spans="1:10" ht="33" x14ac:dyDescent="0.3">
      <c r="A180" s="5">
        <v>177</v>
      </c>
      <c r="B180" s="6" t="s">
        <v>558</v>
      </c>
      <c r="C180" s="6">
        <v>12</v>
      </c>
      <c r="D180" s="3" t="s">
        <v>582</v>
      </c>
      <c r="E180" s="3" t="s">
        <v>51</v>
      </c>
      <c r="F180" s="3" t="s">
        <v>38</v>
      </c>
      <c r="G180" s="3" t="s">
        <v>311</v>
      </c>
      <c r="H180" s="3"/>
      <c r="I180" s="3" t="s">
        <v>583</v>
      </c>
      <c r="J180" s="3" t="s">
        <v>282</v>
      </c>
    </row>
    <row r="181" spans="1:10" ht="33" x14ac:dyDescent="0.3">
      <c r="A181" s="5">
        <v>178</v>
      </c>
      <c r="B181" s="6" t="s">
        <v>558</v>
      </c>
      <c r="C181" s="6">
        <v>20</v>
      </c>
      <c r="D181" s="3" t="s">
        <v>584</v>
      </c>
      <c r="E181" s="3" t="s">
        <v>167</v>
      </c>
      <c r="F181" s="3" t="s">
        <v>85</v>
      </c>
      <c r="G181" s="3" t="s">
        <v>585</v>
      </c>
      <c r="H181" s="3"/>
      <c r="I181" s="3" t="s">
        <v>586</v>
      </c>
      <c r="J181" s="3" t="s">
        <v>275</v>
      </c>
    </row>
    <row r="182" spans="1:10" ht="33" x14ac:dyDescent="0.3">
      <c r="A182" s="5">
        <v>179</v>
      </c>
      <c r="B182" s="6" t="s">
        <v>558</v>
      </c>
      <c r="C182" s="6">
        <v>23</v>
      </c>
      <c r="D182" s="3" t="s">
        <v>587</v>
      </c>
      <c r="E182" s="3" t="s">
        <v>37</v>
      </c>
      <c r="F182" s="3" t="s">
        <v>38</v>
      </c>
      <c r="G182" s="3" t="s">
        <v>588</v>
      </c>
      <c r="H182" s="3"/>
      <c r="I182" s="3" t="s">
        <v>589</v>
      </c>
      <c r="J182" s="3" t="s">
        <v>282</v>
      </c>
    </row>
    <row r="183" spans="1:10" ht="33" x14ac:dyDescent="0.3">
      <c r="A183" s="5">
        <v>180</v>
      </c>
      <c r="B183" s="6" t="s">
        <v>558</v>
      </c>
      <c r="C183" s="6">
        <v>25</v>
      </c>
      <c r="D183" s="3" t="s">
        <v>590</v>
      </c>
      <c r="E183" s="3" t="s">
        <v>37</v>
      </c>
      <c r="F183" s="3" t="s">
        <v>38</v>
      </c>
      <c r="G183" s="3" t="s">
        <v>591</v>
      </c>
      <c r="H183" s="3"/>
      <c r="I183" s="3" t="s">
        <v>592</v>
      </c>
      <c r="J183" s="3" t="s">
        <v>282</v>
      </c>
    </row>
    <row r="184" spans="1:10" ht="33" x14ac:dyDescent="0.3">
      <c r="A184" s="5">
        <v>181</v>
      </c>
      <c r="B184" s="6" t="s">
        <v>558</v>
      </c>
      <c r="C184" s="6">
        <v>27</v>
      </c>
      <c r="D184" s="3" t="s">
        <v>593</v>
      </c>
      <c r="E184" s="3" t="s">
        <v>37</v>
      </c>
      <c r="F184" s="3" t="s">
        <v>85</v>
      </c>
      <c r="G184" s="3" t="s">
        <v>594</v>
      </c>
      <c r="H184" s="3"/>
      <c r="I184" s="3" t="s">
        <v>595</v>
      </c>
      <c r="J184" s="3" t="s">
        <v>275</v>
      </c>
    </row>
    <row r="185" spans="1:10" ht="33" x14ac:dyDescent="0.3">
      <c r="A185" s="5">
        <v>182</v>
      </c>
      <c r="B185" s="6" t="s">
        <v>558</v>
      </c>
      <c r="C185" s="6">
        <v>35</v>
      </c>
      <c r="D185" s="3" t="s">
        <v>596</v>
      </c>
      <c r="E185" s="3" t="s">
        <v>37</v>
      </c>
      <c r="F185" s="3" t="s">
        <v>38</v>
      </c>
      <c r="G185" s="3" t="s">
        <v>597</v>
      </c>
      <c r="H185" s="3"/>
      <c r="I185" s="3" t="s">
        <v>598</v>
      </c>
      <c r="J185" s="3" t="s">
        <v>282</v>
      </c>
    </row>
    <row r="186" spans="1:10" ht="33" x14ac:dyDescent="0.3">
      <c r="A186" s="5">
        <v>183</v>
      </c>
      <c r="B186" s="6" t="s">
        <v>558</v>
      </c>
      <c r="C186" s="6">
        <v>37</v>
      </c>
      <c r="D186" s="3" t="s">
        <v>599</v>
      </c>
      <c r="E186" s="3" t="s">
        <v>37</v>
      </c>
      <c r="F186" s="3" t="s">
        <v>38</v>
      </c>
      <c r="G186" s="3" t="s">
        <v>600</v>
      </c>
      <c r="H186" s="3"/>
      <c r="I186" s="3" t="s">
        <v>601</v>
      </c>
      <c r="J186" s="3" t="s">
        <v>282</v>
      </c>
    </row>
    <row r="187" spans="1:10" ht="33" x14ac:dyDescent="0.3">
      <c r="A187" s="5">
        <v>184</v>
      </c>
      <c r="B187" s="6" t="s">
        <v>558</v>
      </c>
      <c r="C187" s="6">
        <v>41</v>
      </c>
      <c r="D187" s="3" t="s">
        <v>602</v>
      </c>
      <c r="E187" s="3" t="s">
        <v>167</v>
      </c>
      <c r="F187" s="3" t="s">
        <v>403</v>
      </c>
      <c r="G187" s="3" t="s">
        <v>603</v>
      </c>
      <c r="H187" s="3"/>
      <c r="I187" s="3" t="s">
        <v>604</v>
      </c>
      <c r="J187" s="3" t="s">
        <v>275</v>
      </c>
    </row>
    <row r="188" spans="1:10" ht="33" x14ac:dyDescent="0.3">
      <c r="A188" s="5">
        <v>185</v>
      </c>
      <c r="B188" s="6" t="s">
        <v>558</v>
      </c>
      <c r="C188" s="6">
        <v>62</v>
      </c>
      <c r="D188" s="3" t="s">
        <v>605</v>
      </c>
      <c r="E188" s="3" t="s">
        <v>37</v>
      </c>
      <c r="F188" s="3" t="s">
        <v>38</v>
      </c>
      <c r="G188" s="3" t="s">
        <v>606</v>
      </c>
      <c r="H188" s="3"/>
      <c r="I188" s="3" t="s">
        <v>607</v>
      </c>
      <c r="J188" s="3" t="s">
        <v>282</v>
      </c>
    </row>
    <row r="189" spans="1:10" ht="33" x14ac:dyDescent="0.3">
      <c r="A189" s="5">
        <v>186</v>
      </c>
      <c r="B189" s="6" t="s">
        <v>558</v>
      </c>
      <c r="C189" s="6">
        <v>88</v>
      </c>
      <c r="D189" s="3" t="s">
        <v>608</v>
      </c>
      <c r="E189" s="3" t="s">
        <v>51</v>
      </c>
      <c r="F189" s="3" t="s">
        <v>38</v>
      </c>
      <c r="G189" s="3" t="s">
        <v>609</v>
      </c>
      <c r="H189" s="3"/>
      <c r="I189" s="3" t="s">
        <v>610</v>
      </c>
      <c r="J189" s="3" t="s">
        <v>282</v>
      </c>
    </row>
    <row r="190" spans="1:10" ht="33" x14ac:dyDescent="0.3">
      <c r="A190" s="5">
        <v>187</v>
      </c>
      <c r="B190" s="6" t="s">
        <v>558</v>
      </c>
      <c r="C190" s="6">
        <v>89</v>
      </c>
      <c r="D190" s="3" t="s">
        <v>611</v>
      </c>
      <c r="E190" s="3" t="s">
        <v>51</v>
      </c>
      <c r="F190" s="3" t="s">
        <v>38</v>
      </c>
      <c r="G190" s="3" t="s">
        <v>612</v>
      </c>
      <c r="H190" s="3"/>
      <c r="I190" s="3" t="s">
        <v>613</v>
      </c>
      <c r="J190" s="3" t="s">
        <v>282</v>
      </c>
    </row>
    <row r="191" spans="1:10" ht="33" x14ac:dyDescent="0.3">
      <c r="A191" s="5">
        <v>188</v>
      </c>
      <c r="B191" s="6" t="s">
        <v>558</v>
      </c>
      <c r="C191" s="6">
        <v>95</v>
      </c>
      <c r="D191" s="3" t="s">
        <v>614</v>
      </c>
      <c r="E191" s="3" t="s">
        <v>51</v>
      </c>
      <c r="F191" s="3" t="s">
        <v>38</v>
      </c>
      <c r="G191" s="3" t="s">
        <v>615</v>
      </c>
      <c r="H191" s="3"/>
      <c r="I191" s="3" t="s">
        <v>616</v>
      </c>
      <c r="J191" s="3" t="s">
        <v>282</v>
      </c>
    </row>
    <row r="192" spans="1:10" ht="33" x14ac:dyDescent="0.3">
      <c r="A192" s="5">
        <v>189</v>
      </c>
      <c r="B192" s="6" t="s">
        <v>558</v>
      </c>
      <c r="C192" s="6">
        <v>96</v>
      </c>
      <c r="D192" s="3" t="s">
        <v>617</v>
      </c>
      <c r="E192" s="3" t="s">
        <v>51</v>
      </c>
      <c r="F192" s="3" t="s">
        <v>403</v>
      </c>
      <c r="G192" s="3" t="s">
        <v>618</v>
      </c>
      <c r="H192" s="3"/>
      <c r="I192" s="3" t="s">
        <v>619</v>
      </c>
      <c r="J192" s="3" t="s">
        <v>275</v>
      </c>
    </row>
    <row r="193" spans="1:10" ht="33" x14ac:dyDescent="0.3">
      <c r="A193" s="5">
        <v>190</v>
      </c>
      <c r="B193" s="6" t="s">
        <v>558</v>
      </c>
      <c r="C193" s="6">
        <v>263</v>
      </c>
      <c r="D193" s="3" t="s">
        <v>620</v>
      </c>
      <c r="E193" s="3" t="s">
        <v>58</v>
      </c>
      <c r="F193" s="3" t="s">
        <v>38</v>
      </c>
      <c r="G193" s="3" t="s">
        <v>621</v>
      </c>
      <c r="H193" s="3"/>
      <c r="I193" s="3" t="s">
        <v>622</v>
      </c>
      <c r="J193" s="3" t="s">
        <v>282</v>
      </c>
    </row>
    <row r="194" spans="1:10" ht="33" x14ac:dyDescent="0.3">
      <c r="A194" s="5">
        <v>191</v>
      </c>
      <c r="B194" s="6" t="s">
        <v>558</v>
      </c>
      <c r="C194" s="6">
        <v>265</v>
      </c>
      <c r="D194" s="3" t="s">
        <v>623</v>
      </c>
      <c r="E194" s="3" t="s">
        <v>44</v>
      </c>
      <c r="F194" s="3" t="s">
        <v>52</v>
      </c>
      <c r="G194" s="3" t="s">
        <v>624</v>
      </c>
      <c r="H194" s="3"/>
      <c r="I194" s="3" t="s">
        <v>625</v>
      </c>
      <c r="J194" s="3" t="s">
        <v>275</v>
      </c>
    </row>
    <row r="195" spans="1:10" ht="33" x14ac:dyDescent="0.3">
      <c r="A195" s="5">
        <v>192</v>
      </c>
      <c r="B195" s="6" t="s">
        <v>558</v>
      </c>
      <c r="C195" s="6">
        <v>267</v>
      </c>
      <c r="D195" s="3" t="s">
        <v>626</v>
      </c>
      <c r="E195" s="3" t="s">
        <v>44</v>
      </c>
      <c r="F195" s="3" t="s">
        <v>52</v>
      </c>
      <c r="G195" s="3" t="s">
        <v>627</v>
      </c>
      <c r="H195" s="3"/>
      <c r="I195" s="3" t="s">
        <v>628</v>
      </c>
      <c r="J195" s="3" t="s">
        <v>275</v>
      </c>
    </row>
    <row r="196" spans="1:10" ht="33" x14ac:dyDescent="0.3">
      <c r="A196" s="5">
        <v>193</v>
      </c>
      <c r="B196" s="6" t="s">
        <v>558</v>
      </c>
      <c r="C196" s="6">
        <v>278</v>
      </c>
      <c r="D196" s="3" t="s">
        <v>629</v>
      </c>
      <c r="E196" s="3" t="s">
        <v>167</v>
      </c>
      <c r="F196" s="3" t="s">
        <v>85</v>
      </c>
      <c r="G196" s="3" t="s">
        <v>630</v>
      </c>
      <c r="H196" s="3"/>
      <c r="I196" s="3" t="s">
        <v>631</v>
      </c>
      <c r="J196" s="3" t="s">
        <v>275</v>
      </c>
    </row>
    <row r="197" spans="1:10" ht="33" x14ac:dyDescent="0.3">
      <c r="A197" s="5">
        <v>194</v>
      </c>
      <c r="B197" s="6" t="s">
        <v>558</v>
      </c>
      <c r="C197" s="6">
        <v>333</v>
      </c>
      <c r="D197" s="3" t="s">
        <v>632</v>
      </c>
      <c r="E197" s="3" t="s">
        <v>167</v>
      </c>
      <c r="F197" s="3" t="s">
        <v>38</v>
      </c>
      <c r="G197" s="3" t="s">
        <v>633</v>
      </c>
      <c r="H197" s="3"/>
      <c r="I197" s="3" t="s">
        <v>634</v>
      </c>
      <c r="J197" s="3" t="s">
        <v>282</v>
      </c>
    </row>
    <row r="198" spans="1:10" ht="33" x14ac:dyDescent="0.3">
      <c r="A198" s="5">
        <v>195</v>
      </c>
      <c r="B198" s="6" t="s">
        <v>558</v>
      </c>
      <c r="C198" s="6">
        <v>334</v>
      </c>
      <c r="D198" s="3" t="s">
        <v>635</v>
      </c>
      <c r="E198" s="3" t="s">
        <v>44</v>
      </c>
      <c r="F198" s="3" t="s">
        <v>38</v>
      </c>
      <c r="G198" s="3" t="s">
        <v>636</v>
      </c>
      <c r="H198" s="3"/>
      <c r="I198" s="3" t="s">
        <v>637</v>
      </c>
      <c r="J198" s="3" t="s">
        <v>282</v>
      </c>
    </row>
    <row r="199" spans="1:10" ht="33" x14ac:dyDescent="0.3">
      <c r="A199" s="5">
        <v>196</v>
      </c>
      <c r="B199" s="6" t="s">
        <v>558</v>
      </c>
      <c r="C199" s="6">
        <v>335</v>
      </c>
      <c r="D199" s="3" t="s">
        <v>638</v>
      </c>
      <c r="E199" s="3" t="s">
        <v>51</v>
      </c>
      <c r="F199" s="3" t="s">
        <v>38</v>
      </c>
      <c r="G199" s="3" t="s">
        <v>639</v>
      </c>
      <c r="H199" s="3"/>
      <c r="I199" s="3" t="s">
        <v>640</v>
      </c>
      <c r="J199" s="3" t="s">
        <v>282</v>
      </c>
    </row>
    <row r="200" spans="1:10" ht="33" x14ac:dyDescent="0.3">
      <c r="A200" s="5">
        <v>197</v>
      </c>
      <c r="B200" s="6" t="s">
        <v>558</v>
      </c>
      <c r="C200" s="6">
        <v>350</v>
      </c>
      <c r="D200" s="3" t="s">
        <v>641</v>
      </c>
      <c r="E200" s="3" t="s">
        <v>37</v>
      </c>
      <c r="F200" s="3" t="s">
        <v>38</v>
      </c>
      <c r="G200" s="3" t="s">
        <v>642</v>
      </c>
      <c r="H200" s="3"/>
      <c r="I200" s="3" t="s">
        <v>643</v>
      </c>
      <c r="J200" s="3" t="s">
        <v>282</v>
      </c>
    </row>
    <row r="201" spans="1:10" ht="33" x14ac:dyDescent="0.3">
      <c r="A201" s="5">
        <v>198</v>
      </c>
      <c r="B201" s="6" t="s">
        <v>558</v>
      </c>
      <c r="C201" s="6">
        <v>351</v>
      </c>
      <c r="D201" s="3" t="s">
        <v>644</v>
      </c>
      <c r="E201" s="3" t="s">
        <v>51</v>
      </c>
      <c r="F201" s="3" t="s">
        <v>52</v>
      </c>
      <c r="G201" s="3" t="s">
        <v>639</v>
      </c>
      <c r="H201" s="3"/>
      <c r="I201" s="3" t="s">
        <v>645</v>
      </c>
      <c r="J201" s="3" t="s">
        <v>275</v>
      </c>
    </row>
    <row r="202" spans="1:10" ht="33" x14ac:dyDescent="0.3">
      <c r="A202" s="5">
        <v>199</v>
      </c>
      <c r="B202" s="6" t="s">
        <v>558</v>
      </c>
      <c r="C202" s="6">
        <v>395</v>
      </c>
      <c r="D202" s="3" t="s">
        <v>646</v>
      </c>
      <c r="E202" s="3" t="s">
        <v>167</v>
      </c>
      <c r="F202" s="3" t="s">
        <v>45</v>
      </c>
      <c r="G202" s="3" t="s">
        <v>647</v>
      </c>
      <c r="H202" s="3"/>
      <c r="I202" s="3" t="s">
        <v>648</v>
      </c>
      <c r="J202" s="3" t="s">
        <v>275</v>
      </c>
    </row>
    <row r="203" spans="1:10" ht="33" x14ac:dyDescent="0.3">
      <c r="A203" s="5">
        <v>200</v>
      </c>
      <c r="B203" s="6" t="s">
        <v>558</v>
      </c>
      <c r="C203" s="6">
        <v>489</v>
      </c>
      <c r="D203" s="3" t="s">
        <v>649</v>
      </c>
      <c r="E203" s="3" t="s">
        <v>51</v>
      </c>
      <c r="F203" s="3" t="s">
        <v>403</v>
      </c>
      <c r="G203" s="3" t="s">
        <v>650</v>
      </c>
      <c r="H203" s="3"/>
      <c r="I203" s="3" t="s">
        <v>651</v>
      </c>
      <c r="J203" s="3" t="s">
        <v>275</v>
      </c>
    </row>
    <row r="204" spans="1:10" ht="33" x14ac:dyDescent="0.3">
      <c r="A204" s="5">
        <v>201</v>
      </c>
      <c r="B204" s="6" t="s">
        <v>652</v>
      </c>
      <c r="C204" s="6">
        <v>2</v>
      </c>
      <c r="D204" s="3" t="s">
        <v>653</v>
      </c>
      <c r="E204" s="3" t="s">
        <v>51</v>
      </c>
      <c r="F204" s="3" t="s">
        <v>403</v>
      </c>
      <c r="G204" s="3" t="s">
        <v>654</v>
      </c>
      <c r="H204" s="3"/>
      <c r="I204" s="3" t="s">
        <v>655</v>
      </c>
      <c r="J204" s="3" t="s">
        <v>275</v>
      </c>
    </row>
    <row r="205" spans="1:10" ht="33" x14ac:dyDescent="0.3">
      <c r="A205" s="5">
        <v>202</v>
      </c>
      <c r="B205" s="6" t="s">
        <v>652</v>
      </c>
      <c r="C205" s="6">
        <v>4</v>
      </c>
      <c r="D205" s="3" t="s">
        <v>656</v>
      </c>
      <c r="E205" s="3" t="s">
        <v>37</v>
      </c>
      <c r="F205" s="3" t="s">
        <v>403</v>
      </c>
      <c r="G205" s="3" t="s">
        <v>657</v>
      </c>
      <c r="H205" s="3"/>
      <c r="I205" s="3" t="s">
        <v>658</v>
      </c>
      <c r="J205" s="3" t="s">
        <v>275</v>
      </c>
    </row>
    <row r="206" spans="1:10" ht="33" x14ac:dyDescent="0.3">
      <c r="A206" s="5">
        <v>203</v>
      </c>
      <c r="B206" s="6" t="s">
        <v>652</v>
      </c>
      <c r="C206" s="6">
        <v>12</v>
      </c>
      <c r="D206" s="3" t="s">
        <v>659</v>
      </c>
      <c r="E206" s="3" t="s">
        <v>167</v>
      </c>
      <c r="F206" s="3" t="s">
        <v>52</v>
      </c>
      <c r="G206" s="3" t="s">
        <v>660</v>
      </c>
      <c r="H206" s="3"/>
      <c r="I206" s="3" t="s">
        <v>661</v>
      </c>
      <c r="J206" s="3" t="s">
        <v>275</v>
      </c>
    </row>
    <row r="207" spans="1:10" ht="33" x14ac:dyDescent="0.3">
      <c r="A207" s="5">
        <v>204</v>
      </c>
      <c r="B207" s="6" t="s">
        <v>652</v>
      </c>
      <c r="C207" s="6">
        <v>18</v>
      </c>
      <c r="D207" s="3" t="s">
        <v>662</v>
      </c>
      <c r="E207" s="3" t="s">
        <v>37</v>
      </c>
      <c r="F207" s="3" t="s">
        <v>45</v>
      </c>
      <c r="G207" s="3" t="s">
        <v>662</v>
      </c>
      <c r="H207" s="3"/>
      <c r="I207" s="3" t="s">
        <v>663</v>
      </c>
      <c r="J207" s="3" t="s">
        <v>275</v>
      </c>
    </row>
    <row r="208" spans="1:10" ht="33" x14ac:dyDescent="0.3">
      <c r="A208" s="5">
        <v>205</v>
      </c>
      <c r="B208" s="6" t="s">
        <v>652</v>
      </c>
      <c r="C208" s="6">
        <v>18</v>
      </c>
      <c r="D208" s="3" t="s">
        <v>664</v>
      </c>
      <c r="E208" s="3" t="s">
        <v>37</v>
      </c>
      <c r="F208" s="3" t="s">
        <v>52</v>
      </c>
      <c r="G208" s="3" t="s">
        <v>665</v>
      </c>
      <c r="H208" s="3"/>
      <c r="I208" s="3" t="s">
        <v>666</v>
      </c>
      <c r="J208" s="3" t="s">
        <v>275</v>
      </c>
    </row>
    <row r="209" spans="1:10" ht="33" x14ac:dyDescent="0.3">
      <c r="A209" s="5">
        <v>206</v>
      </c>
      <c r="B209" s="6" t="s">
        <v>652</v>
      </c>
      <c r="C209" s="6">
        <v>34</v>
      </c>
      <c r="D209" s="3" t="s">
        <v>667</v>
      </c>
      <c r="E209" s="3" t="s">
        <v>44</v>
      </c>
      <c r="F209" s="3" t="s">
        <v>52</v>
      </c>
      <c r="G209" s="3" t="s">
        <v>668</v>
      </c>
      <c r="H209" s="3"/>
      <c r="I209" s="3" t="s">
        <v>669</v>
      </c>
      <c r="J209" s="3" t="s">
        <v>275</v>
      </c>
    </row>
    <row r="210" spans="1:10" ht="33" x14ac:dyDescent="0.3">
      <c r="A210" s="5">
        <v>207</v>
      </c>
      <c r="B210" s="6" t="s">
        <v>652</v>
      </c>
      <c r="C210" s="6">
        <v>36</v>
      </c>
      <c r="D210" s="3" t="s">
        <v>670</v>
      </c>
      <c r="E210" s="3" t="s">
        <v>44</v>
      </c>
      <c r="F210" s="3" t="s">
        <v>45</v>
      </c>
      <c r="G210" s="3" t="s">
        <v>671</v>
      </c>
      <c r="H210" s="3"/>
      <c r="I210" s="3" t="s">
        <v>672</v>
      </c>
      <c r="J210" s="3" t="s">
        <v>275</v>
      </c>
    </row>
    <row r="211" spans="1:10" ht="33" x14ac:dyDescent="0.3">
      <c r="A211" s="5">
        <v>208</v>
      </c>
      <c r="B211" s="6" t="s">
        <v>652</v>
      </c>
      <c r="C211" s="6">
        <v>37</v>
      </c>
      <c r="D211" s="3" t="s">
        <v>673</v>
      </c>
      <c r="E211" s="3" t="s">
        <v>37</v>
      </c>
      <c r="F211" s="3" t="s">
        <v>38</v>
      </c>
      <c r="G211" s="3" t="s">
        <v>674</v>
      </c>
      <c r="H211" s="3"/>
      <c r="I211" s="3" t="s">
        <v>675</v>
      </c>
      <c r="J211" s="3" t="s">
        <v>282</v>
      </c>
    </row>
    <row r="212" spans="1:10" ht="33" x14ac:dyDescent="0.3">
      <c r="A212" s="5">
        <v>209</v>
      </c>
      <c r="B212" s="6" t="s">
        <v>652</v>
      </c>
      <c r="C212" s="6">
        <v>50</v>
      </c>
      <c r="D212" s="3" t="s">
        <v>676</v>
      </c>
      <c r="E212" s="3" t="s">
        <v>37</v>
      </c>
      <c r="F212" s="3" t="s">
        <v>85</v>
      </c>
      <c r="G212" s="3" t="s">
        <v>677</v>
      </c>
      <c r="H212" s="3"/>
      <c r="I212" s="3" t="s">
        <v>678</v>
      </c>
      <c r="J212" s="3" t="s">
        <v>275</v>
      </c>
    </row>
    <row r="213" spans="1:10" ht="33" x14ac:dyDescent="0.3">
      <c r="A213" s="5">
        <v>210</v>
      </c>
      <c r="B213" s="6" t="s">
        <v>652</v>
      </c>
      <c r="C213" s="6">
        <v>84</v>
      </c>
      <c r="D213" s="3" t="s">
        <v>679</v>
      </c>
      <c r="E213" s="3" t="s">
        <v>44</v>
      </c>
      <c r="F213" s="3" t="s">
        <v>45</v>
      </c>
      <c r="G213" s="3" t="s">
        <v>680</v>
      </c>
      <c r="H213" s="3"/>
      <c r="I213" s="3" t="s">
        <v>681</v>
      </c>
      <c r="J213" s="3" t="s">
        <v>275</v>
      </c>
    </row>
    <row r="214" spans="1:10" ht="33" x14ac:dyDescent="0.3">
      <c r="A214" s="5">
        <v>211</v>
      </c>
      <c r="B214" s="6" t="s">
        <v>682</v>
      </c>
      <c r="C214" s="6">
        <v>111</v>
      </c>
      <c r="D214" s="3" t="s">
        <v>683</v>
      </c>
      <c r="E214" s="3" t="s">
        <v>51</v>
      </c>
      <c r="F214" s="3" t="s">
        <v>85</v>
      </c>
      <c r="G214" s="3" t="s">
        <v>684</v>
      </c>
      <c r="H214" s="3"/>
      <c r="I214" s="3" t="s">
        <v>685</v>
      </c>
      <c r="J214" s="3" t="s">
        <v>275</v>
      </c>
    </row>
    <row r="215" spans="1:10" ht="33" x14ac:dyDescent="0.3">
      <c r="A215" s="5">
        <v>212</v>
      </c>
      <c r="B215" s="6" t="s">
        <v>682</v>
      </c>
      <c r="C215" s="6">
        <v>132</v>
      </c>
      <c r="D215" s="3" t="s">
        <v>686</v>
      </c>
      <c r="E215" s="3" t="s">
        <v>167</v>
      </c>
      <c r="F215" s="3" t="s">
        <v>403</v>
      </c>
      <c r="G215" s="3" t="s">
        <v>687</v>
      </c>
      <c r="H215" s="3"/>
      <c r="I215" s="3" t="s">
        <v>688</v>
      </c>
      <c r="J215" s="3" t="s">
        <v>275</v>
      </c>
    </row>
    <row r="216" spans="1:10" ht="33" x14ac:dyDescent="0.3">
      <c r="A216" s="5">
        <v>213</v>
      </c>
      <c r="B216" s="6" t="s">
        <v>682</v>
      </c>
      <c r="C216" s="6">
        <v>133</v>
      </c>
      <c r="D216" s="3" t="s">
        <v>689</v>
      </c>
      <c r="E216" s="3" t="s">
        <v>167</v>
      </c>
      <c r="F216" s="3" t="s">
        <v>403</v>
      </c>
      <c r="G216" s="3" t="s">
        <v>689</v>
      </c>
      <c r="H216" s="3"/>
      <c r="I216" s="3" t="s">
        <v>690</v>
      </c>
      <c r="J216" s="3" t="s">
        <v>275</v>
      </c>
    </row>
    <row r="217" spans="1:10" ht="33" x14ac:dyDescent="0.3">
      <c r="A217" s="5">
        <v>214</v>
      </c>
      <c r="B217" s="6" t="s">
        <v>682</v>
      </c>
      <c r="C217" s="6">
        <v>289</v>
      </c>
      <c r="D217" s="3" t="s">
        <v>691</v>
      </c>
      <c r="E217" s="3" t="s">
        <v>51</v>
      </c>
      <c r="F217" s="3" t="s">
        <v>45</v>
      </c>
      <c r="G217" s="3" t="s">
        <v>692</v>
      </c>
      <c r="H217" s="3"/>
      <c r="I217" s="3" t="s">
        <v>693</v>
      </c>
      <c r="J217" s="3" t="s">
        <v>275</v>
      </c>
    </row>
    <row r="218" spans="1:10" ht="33" x14ac:dyDescent="0.3">
      <c r="A218" s="5">
        <v>215</v>
      </c>
      <c r="B218" s="6" t="s">
        <v>682</v>
      </c>
      <c r="C218" s="6">
        <v>298</v>
      </c>
      <c r="D218" s="3" t="s">
        <v>694</v>
      </c>
      <c r="E218" s="3" t="s">
        <v>37</v>
      </c>
      <c r="F218" s="3" t="s">
        <v>45</v>
      </c>
      <c r="G218" s="3" t="s">
        <v>695</v>
      </c>
      <c r="H218" s="3"/>
      <c r="I218" s="3" t="s">
        <v>696</v>
      </c>
      <c r="J218" s="3" t="s">
        <v>275</v>
      </c>
    </row>
    <row r="219" spans="1:10" ht="33" x14ac:dyDescent="0.3">
      <c r="A219" s="5">
        <v>216</v>
      </c>
      <c r="B219" s="6" t="s">
        <v>682</v>
      </c>
      <c r="C219" s="6">
        <v>329</v>
      </c>
      <c r="D219" s="3" t="s">
        <v>697</v>
      </c>
      <c r="E219" s="3" t="s">
        <v>37</v>
      </c>
      <c r="F219" s="3" t="s">
        <v>45</v>
      </c>
      <c r="G219" s="3" t="s">
        <v>698</v>
      </c>
      <c r="H219" s="3"/>
      <c r="I219" s="3" t="s">
        <v>699</v>
      </c>
      <c r="J219" s="3" t="s">
        <v>275</v>
      </c>
    </row>
    <row r="220" spans="1:10" ht="33" x14ac:dyDescent="0.3">
      <c r="A220" s="5">
        <v>217</v>
      </c>
      <c r="B220" s="6" t="s">
        <v>682</v>
      </c>
      <c r="C220" s="6">
        <v>330</v>
      </c>
      <c r="D220" s="3" t="s">
        <v>700</v>
      </c>
      <c r="E220" s="3" t="s">
        <v>167</v>
      </c>
      <c r="F220" s="3" t="s">
        <v>403</v>
      </c>
      <c r="G220" s="3" t="s">
        <v>701</v>
      </c>
      <c r="H220" s="3"/>
      <c r="I220" s="3" t="s">
        <v>702</v>
      </c>
      <c r="J220" s="3" t="s">
        <v>275</v>
      </c>
    </row>
  </sheetData>
  <autoFilter ref="A3:J220" xr:uid="{00000000-0009-0000-0000-000001000000}"/>
  <mergeCells count="1">
    <mergeCell ref="A1:J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/>
  </sheetViews>
  <sheetFormatPr defaultRowHeight="16.5" x14ac:dyDescent="0.3"/>
  <cols>
    <col min="1" max="1" width="14" customWidth="1"/>
    <col min="2" max="3" width="16" customWidth="1"/>
    <col min="4" max="5" width="12" customWidth="1"/>
    <col min="6" max="6" width="14" customWidth="1"/>
  </cols>
  <sheetData>
    <row r="1" spans="1:6" ht="24" customHeight="1" x14ac:dyDescent="0.3">
      <c r="A1" s="22" t="s">
        <v>703</v>
      </c>
      <c r="B1" s="21"/>
      <c r="C1" s="21"/>
      <c r="D1" s="21"/>
      <c r="E1" s="21"/>
      <c r="F1" s="21"/>
    </row>
    <row r="2" spans="1:6" x14ac:dyDescent="0.3">
      <c r="A2" s="8"/>
      <c r="B2" s="7"/>
      <c r="C2" s="7"/>
      <c r="D2" s="7"/>
      <c r="E2" s="7"/>
      <c r="F2" s="7"/>
    </row>
    <row r="3" spans="1:6" x14ac:dyDescent="0.3">
      <c r="A3" s="9" t="s">
        <v>704</v>
      </c>
      <c r="B3" s="4" t="s">
        <v>705</v>
      </c>
      <c r="C3" s="4" t="s">
        <v>706</v>
      </c>
      <c r="D3" s="4" t="s">
        <v>707</v>
      </c>
      <c r="E3" s="4" t="s">
        <v>708</v>
      </c>
      <c r="F3" s="4" t="s">
        <v>709</v>
      </c>
    </row>
    <row r="4" spans="1:6" x14ac:dyDescent="0.3">
      <c r="A4" s="10" t="s">
        <v>710</v>
      </c>
      <c r="B4" s="11" t="s">
        <v>34</v>
      </c>
      <c r="C4" s="11">
        <v>394</v>
      </c>
      <c r="D4" s="12">
        <f>COUNTIF(판정_217건!$B$4:$B$220,B4)</f>
        <v>66</v>
      </c>
      <c r="E4" s="12">
        <f t="shared" ref="E4:E11" si="0">C4-D4</f>
        <v>328</v>
      </c>
      <c r="F4" s="13">
        <f t="shared" ref="F4:F12" si="1">D4/C4*100</f>
        <v>16.751269035532996</v>
      </c>
    </row>
    <row r="5" spans="1:6" x14ac:dyDescent="0.3">
      <c r="A5" s="10" t="s">
        <v>711</v>
      </c>
      <c r="B5" s="11" t="s">
        <v>271</v>
      </c>
      <c r="C5" s="11">
        <v>324</v>
      </c>
      <c r="D5" s="12">
        <f>COUNTIF(판정_217건!$B$4:$B$220,B5)</f>
        <v>29</v>
      </c>
      <c r="E5" s="12">
        <f t="shared" si="0"/>
        <v>295</v>
      </c>
      <c r="F5" s="13">
        <f t="shared" si="1"/>
        <v>8.9506172839506171</v>
      </c>
    </row>
    <row r="6" spans="1:6" x14ac:dyDescent="0.3">
      <c r="A6" s="10" t="s">
        <v>711</v>
      </c>
      <c r="B6" s="11" t="s">
        <v>358</v>
      </c>
      <c r="C6" s="11">
        <v>295</v>
      </c>
      <c r="D6" s="12">
        <f>COUNTIF(판정_217건!$B$4:$B$220,B6)</f>
        <v>23</v>
      </c>
      <c r="E6" s="12">
        <f t="shared" si="0"/>
        <v>272</v>
      </c>
      <c r="F6" s="13">
        <f t="shared" si="1"/>
        <v>7.796610169491526</v>
      </c>
    </row>
    <row r="7" spans="1:6" x14ac:dyDescent="0.3">
      <c r="A7" s="10" t="s">
        <v>711</v>
      </c>
      <c r="B7" s="11" t="s">
        <v>422</v>
      </c>
      <c r="C7" s="11">
        <v>273</v>
      </c>
      <c r="D7" s="12">
        <f>COUNTIF(판정_217건!$B$4:$B$220,B7)</f>
        <v>24</v>
      </c>
      <c r="E7" s="12">
        <f t="shared" si="0"/>
        <v>249</v>
      </c>
      <c r="F7" s="13">
        <f t="shared" si="1"/>
        <v>8.791208791208792</v>
      </c>
    </row>
    <row r="8" spans="1:6" x14ac:dyDescent="0.3">
      <c r="A8" s="10" t="s">
        <v>711</v>
      </c>
      <c r="B8" s="11" t="s">
        <v>486</v>
      </c>
      <c r="C8" s="11">
        <v>254</v>
      </c>
      <c r="D8" s="12">
        <f>COUNTIF(판정_217건!$B$4:$B$220,B8)</f>
        <v>26</v>
      </c>
      <c r="E8" s="12">
        <f t="shared" si="0"/>
        <v>228</v>
      </c>
      <c r="F8" s="13">
        <f t="shared" si="1"/>
        <v>10.236220472440944</v>
      </c>
    </row>
    <row r="9" spans="1:6" x14ac:dyDescent="0.3">
      <c r="A9" s="10" t="s">
        <v>711</v>
      </c>
      <c r="B9" s="11" t="s">
        <v>558</v>
      </c>
      <c r="C9" s="11">
        <v>254</v>
      </c>
      <c r="D9" s="12">
        <f>COUNTIF(판정_217건!$B$4:$B$220,B9)</f>
        <v>32</v>
      </c>
      <c r="E9" s="12">
        <f t="shared" si="0"/>
        <v>222</v>
      </c>
      <c r="F9" s="13">
        <f t="shared" si="1"/>
        <v>12.598425196850393</v>
      </c>
    </row>
    <row r="10" spans="1:6" x14ac:dyDescent="0.3">
      <c r="A10" s="10" t="s">
        <v>711</v>
      </c>
      <c r="B10" s="11" t="s">
        <v>652</v>
      </c>
      <c r="C10" s="11">
        <v>65</v>
      </c>
      <c r="D10" s="12">
        <f>COUNTIF(판정_217건!$B$4:$B$220,B10)</f>
        <v>10</v>
      </c>
      <c r="E10" s="12">
        <f t="shared" si="0"/>
        <v>55</v>
      </c>
      <c r="F10" s="13">
        <f t="shared" si="1"/>
        <v>15.384615384615385</v>
      </c>
    </row>
    <row r="11" spans="1:6" x14ac:dyDescent="0.3">
      <c r="A11" s="10" t="s">
        <v>711</v>
      </c>
      <c r="B11" s="11" t="s">
        <v>682</v>
      </c>
      <c r="C11" s="11">
        <v>21</v>
      </c>
      <c r="D11" s="12">
        <f>COUNTIF(판정_217건!$B$4:$B$220,B11)</f>
        <v>7</v>
      </c>
      <c r="E11" s="12">
        <f t="shared" si="0"/>
        <v>14</v>
      </c>
      <c r="F11" s="13">
        <f t="shared" si="1"/>
        <v>33.333333333333329</v>
      </c>
    </row>
    <row r="12" spans="1:6" x14ac:dyDescent="0.3">
      <c r="A12" s="14" t="s">
        <v>712</v>
      </c>
      <c r="B12" s="15"/>
      <c r="C12" s="16">
        <f>SUM(C4:C11)</f>
        <v>1880</v>
      </c>
      <c r="D12" s="16">
        <f>SUM(D4:D11)</f>
        <v>217</v>
      </c>
      <c r="E12" s="16">
        <f>SUM(E4:E11)</f>
        <v>1663</v>
      </c>
      <c r="F12" s="17">
        <f t="shared" si="1"/>
        <v>11.542553191489361</v>
      </c>
    </row>
  </sheetData>
  <mergeCells count="1">
    <mergeCell ref="A1:F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workbookViewId="0"/>
  </sheetViews>
  <sheetFormatPr defaultRowHeight="16.5" x14ac:dyDescent="0.3"/>
  <cols>
    <col min="1" max="1" width="22" customWidth="1"/>
    <col min="2" max="9" width="14" customWidth="1"/>
    <col min="10" max="10" width="12" customWidth="1"/>
  </cols>
  <sheetData>
    <row r="1" spans="1:10" ht="24" customHeight="1" x14ac:dyDescent="0.3">
      <c r="A1" s="22" t="s">
        <v>713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8"/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9" t="s">
        <v>28</v>
      </c>
      <c r="B3" s="4" t="s">
        <v>34</v>
      </c>
      <c r="C3" s="4" t="s">
        <v>271</v>
      </c>
      <c r="D3" s="4" t="s">
        <v>358</v>
      </c>
      <c r="E3" s="4" t="s">
        <v>422</v>
      </c>
      <c r="F3" s="4" t="s">
        <v>486</v>
      </c>
      <c r="G3" s="4" t="s">
        <v>558</v>
      </c>
      <c r="H3" s="4" t="s">
        <v>652</v>
      </c>
      <c r="I3" s="4" t="s">
        <v>682</v>
      </c>
      <c r="J3" s="4" t="s">
        <v>712</v>
      </c>
    </row>
    <row r="4" spans="1:10" x14ac:dyDescent="0.3">
      <c r="A4" s="8" t="s">
        <v>37</v>
      </c>
      <c r="B4" s="12">
        <f>COUNTIFS(판정_217건!$E$4:$E$220,$A4,판정_217건!$B$4:$B$220,B$3)</f>
        <v>30</v>
      </c>
      <c r="C4" s="12">
        <f>COUNTIFS(판정_217건!$E$4:$E$220,$A4,판정_217건!$B$4:$B$220,C$3)</f>
        <v>10</v>
      </c>
      <c r="D4" s="12">
        <f>COUNTIFS(판정_217건!$E$4:$E$220,$A4,판정_217건!$B$4:$B$220,D$3)</f>
        <v>11</v>
      </c>
      <c r="E4" s="12">
        <f>COUNTIFS(판정_217건!$E$4:$E$220,$A4,판정_217건!$B$4:$B$220,E$3)</f>
        <v>14</v>
      </c>
      <c r="F4" s="12">
        <f>COUNTIFS(판정_217건!$E$4:$E$220,$A4,판정_217건!$B$4:$B$220,F$3)</f>
        <v>13</v>
      </c>
      <c r="G4" s="12">
        <f>COUNTIFS(판정_217건!$E$4:$E$220,$A4,판정_217건!$B$4:$B$220,G$3)</f>
        <v>12</v>
      </c>
      <c r="H4" s="12">
        <f>COUNTIFS(판정_217건!$E$4:$E$220,$A4,판정_217건!$B$4:$B$220,H$3)</f>
        <v>5</v>
      </c>
      <c r="I4" s="12">
        <f>COUNTIFS(판정_217건!$E$4:$E$220,$A4,판정_217건!$B$4:$B$220,I$3)</f>
        <v>2</v>
      </c>
      <c r="J4" s="12">
        <f t="shared" ref="J4:J9" si="0">SUM(B4:I4)</f>
        <v>97</v>
      </c>
    </row>
    <row r="5" spans="1:10" x14ac:dyDescent="0.3">
      <c r="A5" s="8" t="s">
        <v>44</v>
      </c>
      <c r="B5" s="12">
        <f>COUNTIFS(판정_217건!$E$4:$E$220,$A5,판정_217건!$B$4:$B$220,B$3)</f>
        <v>10</v>
      </c>
      <c r="C5" s="12">
        <f>COUNTIFS(판정_217건!$E$4:$E$220,$A5,판정_217건!$B$4:$B$220,C$3)</f>
        <v>6</v>
      </c>
      <c r="D5" s="12">
        <f>COUNTIFS(판정_217건!$E$4:$E$220,$A5,판정_217건!$B$4:$B$220,D$3)</f>
        <v>4</v>
      </c>
      <c r="E5" s="12">
        <f>COUNTIFS(판정_217건!$E$4:$E$220,$A5,판정_217건!$B$4:$B$220,E$3)</f>
        <v>3</v>
      </c>
      <c r="F5" s="12">
        <f>COUNTIFS(판정_217건!$E$4:$E$220,$A5,판정_217건!$B$4:$B$220,F$3)</f>
        <v>5</v>
      </c>
      <c r="G5" s="12">
        <f>COUNTIFS(판정_217건!$E$4:$E$220,$A5,판정_217건!$B$4:$B$220,G$3)</f>
        <v>3</v>
      </c>
      <c r="H5" s="12">
        <f>COUNTIFS(판정_217건!$E$4:$E$220,$A5,판정_217건!$B$4:$B$220,H$3)</f>
        <v>3</v>
      </c>
      <c r="I5" s="12">
        <f>COUNTIFS(판정_217건!$E$4:$E$220,$A5,판정_217건!$B$4:$B$220,I$3)</f>
        <v>0</v>
      </c>
      <c r="J5" s="12">
        <f t="shared" si="0"/>
        <v>34</v>
      </c>
    </row>
    <row r="6" spans="1:10" x14ac:dyDescent="0.3">
      <c r="A6" s="8" t="s">
        <v>51</v>
      </c>
      <c r="B6" s="12">
        <f>COUNTIFS(판정_217건!$E$4:$E$220,$A6,판정_217건!$B$4:$B$220,B$3)</f>
        <v>11</v>
      </c>
      <c r="C6" s="12">
        <f>COUNTIFS(판정_217건!$E$4:$E$220,$A6,판정_217건!$B$4:$B$220,C$3)</f>
        <v>9</v>
      </c>
      <c r="D6" s="12">
        <f>COUNTIFS(판정_217건!$E$4:$E$220,$A6,판정_217건!$B$4:$B$220,D$3)</f>
        <v>3</v>
      </c>
      <c r="E6" s="12">
        <f>COUNTIFS(판정_217건!$E$4:$E$220,$A6,판정_217건!$B$4:$B$220,E$3)</f>
        <v>3</v>
      </c>
      <c r="F6" s="12">
        <f>COUNTIFS(판정_217건!$E$4:$E$220,$A6,판정_217건!$B$4:$B$220,F$3)</f>
        <v>4</v>
      </c>
      <c r="G6" s="12">
        <f>COUNTIFS(판정_217건!$E$4:$E$220,$A6,판정_217건!$B$4:$B$220,G$3)</f>
        <v>8</v>
      </c>
      <c r="H6" s="12">
        <f>COUNTIFS(판정_217건!$E$4:$E$220,$A6,판정_217건!$B$4:$B$220,H$3)</f>
        <v>1</v>
      </c>
      <c r="I6" s="12">
        <f>COUNTIFS(판정_217건!$E$4:$E$220,$A6,판정_217건!$B$4:$B$220,I$3)</f>
        <v>2</v>
      </c>
      <c r="J6" s="12">
        <f t="shared" si="0"/>
        <v>41</v>
      </c>
    </row>
    <row r="7" spans="1:10" x14ac:dyDescent="0.3">
      <c r="A7" s="8" t="s">
        <v>58</v>
      </c>
      <c r="B7" s="12">
        <f>COUNTIFS(판정_217건!$E$4:$E$220,$A7,판정_217건!$B$4:$B$220,B$3)</f>
        <v>6</v>
      </c>
      <c r="C7" s="12">
        <f>COUNTIFS(판정_217건!$E$4:$E$220,$A7,판정_217건!$B$4:$B$220,C$3)</f>
        <v>0</v>
      </c>
      <c r="D7" s="12">
        <f>COUNTIFS(판정_217건!$E$4:$E$220,$A7,판정_217건!$B$4:$B$220,D$3)</f>
        <v>1</v>
      </c>
      <c r="E7" s="12">
        <f>COUNTIFS(판정_217건!$E$4:$E$220,$A7,판정_217건!$B$4:$B$220,E$3)</f>
        <v>1</v>
      </c>
      <c r="F7" s="12">
        <f>COUNTIFS(판정_217건!$E$4:$E$220,$A7,판정_217건!$B$4:$B$220,F$3)</f>
        <v>0</v>
      </c>
      <c r="G7" s="12">
        <f>COUNTIFS(판정_217건!$E$4:$E$220,$A7,판정_217건!$B$4:$B$220,G$3)</f>
        <v>1</v>
      </c>
      <c r="H7" s="12">
        <f>COUNTIFS(판정_217건!$E$4:$E$220,$A7,판정_217건!$B$4:$B$220,H$3)</f>
        <v>0</v>
      </c>
      <c r="I7" s="12">
        <f>COUNTIFS(판정_217건!$E$4:$E$220,$A7,판정_217건!$B$4:$B$220,I$3)</f>
        <v>0</v>
      </c>
      <c r="J7" s="12">
        <f t="shared" si="0"/>
        <v>9</v>
      </c>
    </row>
    <row r="8" spans="1:10" x14ac:dyDescent="0.3">
      <c r="A8" s="8" t="s">
        <v>80</v>
      </c>
      <c r="B8" s="12">
        <f>COUNTIFS(판정_217건!$E$4:$E$220,$A8,판정_217건!$B$4:$B$220,B$3)</f>
        <v>6</v>
      </c>
      <c r="C8" s="12">
        <f>COUNTIFS(판정_217건!$E$4:$E$220,$A8,판정_217건!$B$4:$B$220,C$3)</f>
        <v>0</v>
      </c>
      <c r="D8" s="12">
        <f>COUNTIFS(판정_217건!$E$4:$E$220,$A8,판정_217건!$B$4:$B$220,D$3)</f>
        <v>0</v>
      </c>
      <c r="E8" s="12">
        <f>COUNTIFS(판정_217건!$E$4:$E$220,$A8,판정_217건!$B$4:$B$220,E$3)</f>
        <v>1</v>
      </c>
      <c r="F8" s="12">
        <f>COUNTIFS(판정_217건!$E$4:$E$220,$A8,판정_217건!$B$4:$B$220,F$3)</f>
        <v>1</v>
      </c>
      <c r="G8" s="12">
        <f>COUNTIFS(판정_217건!$E$4:$E$220,$A8,판정_217건!$B$4:$B$220,G$3)</f>
        <v>1</v>
      </c>
      <c r="H8" s="12">
        <f>COUNTIFS(판정_217건!$E$4:$E$220,$A8,판정_217건!$B$4:$B$220,H$3)</f>
        <v>0</v>
      </c>
      <c r="I8" s="12">
        <f>COUNTIFS(판정_217건!$E$4:$E$220,$A8,판정_217건!$B$4:$B$220,I$3)</f>
        <v>0</v>
      </c>
      <c r="J8" s="12">
        <f t="shared" si="0"/>
        <v>9</v>
      </c>
    </row>
    <row r="9" spans="1:10" x14ac:dyDescent="0.3">
      <c r="A9" s="8" t="s">
        <v>167</v>
      </c>
      <c r="B9" s="12">
        <f>COUNTIFS(판정_217건!$E$4:$E$220,$A9,판정_217건!$B$4:$B$220,B$3)</f>
        <v>3</v>
      </c>
      <c r="C9" s="12">
        <f>COUNTIFS(판정_217건!$E$4:$E$220,$A9,판정_217건!$B$4:$B$220,C$3)</f>
        <v>4</v>
      </c>
      <c r="D9" s="12">
        <f>COUNTIFS(판정_217건!$E$4:$E$220,$A9,판정_217건!$B$4:$B$220,D$3)</f>
        <v>4</v>
      </c>
      <c r="E9" s="12">
        <f>COUNTIFS(판정_217건!$E$4:$E$220,$A9,판정_217건!$B$4:$B$220,E$3)</f>
        <v>2</v>
      </c>
      <c r="F9" s="12">
        <f>COUNTIFS(판정_217건!$E$4:$E$220,$A9,판정_217건!$B$4:$B$220,F$3)</f>
        <v>3</v>
      </c>
      <c r="G9" s="12">
        <f>COUNTIFS(판정_217건!$E$4:$E$220,$A9,판정_217건!$B$4:$B$220,G$3)</f>
        <v>7</v>
      </c>
      <c r="H9" s="12">
        <f>COUNTIFS(판정_217건!$E$4:$E$220,$A9,판정_217건!$B$4:$B$220,H$3)</f>
        <v>1</v>
      </c>
      <c r="I9" s="12">
        <f>COUNTIFS(판정_217건!$E$4:$E$220,$A9,판정_217건!$B$4:$B$220,I$3)</f>
        <v>3</v>
      </c>
      <c r="J9" s="12">
        <f t="shared" si="0"/>
        <v>27</v>
      </c>
    </row>
    <row r="10" spans="1:10" x14ac:dyDescent="0.3">
      <c r="A10" s="8" t="s">
        <v>712</v>
      </c>
      <c r="B10" s="12">
        <f t="shared" ref="B10:J10" si="1">SUM(B4:B9)</f>
        <v>66</v>
      </c>
      <c r="C10" s="12">
        <f t="shared" si="1"/>
        <v>29</v>
      </c>
      <c r="D10" s="12">
        <f t="shared" si="1"/>
        <v>23</v>
      </c>
      <c r="E10" s="12">
        <f t="shared" si="1"/>
        <v>24</v>
      </c>
      <c r="F10" s="12">
        <f t="shared" si="1"/>
        <v>26</v>
      </c>
      <c r="G10" s="12">
        <f t="shared" si="1"/>
        <v>32</v>
      </c>
      <c r="H10" s="12">
        <f t="shared" si="1"/>
        <v>10</v>
      </c>
      <c r="I10" s="12">
        <f t="shared" si="1"/>
        <v>7</v>
      </c>
      <c r="J10" s="12">
        <f t="shared" si="1"/>
        <v>217</v>
      </c>
    </row>
  </sheetData>
  <mergeCells count="1">
    <mergeCell ref="A1:J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showGridLines="0" workbookViewId="0"/>
  </sheetViews>
  <sheetFormatPr defaultRowHeight="16.5" x14ac:dyDescent="0.3"/>
  <cols>
    <col min="1" max="1" width="22" customWidth="1"/>
    <col min="2" max="9" width="14" customWidth="1"/>
    <col min="10" max="10" width="12" customWidth="1"/>
  </cols>
  <sheetData>
    <row r="1" spans="1:10" ht="24" customHeight="1" x14ac:dyDescent="0.3">
      <c r="A1" s="22" t="s">
        <v>714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8"/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9" t="s">
        <v>29</v>
      </c>
      <c r="B3" s="4" t="s">
        <v>34</v>
      </c>
      <c r="C3" s="4" t="s">
        <v>271</v>
      </c>
      <c r="D3" s="4" t="s">
        <v>358</v>
      </c>
      <c r="E3" s="4" t="s">
        <v>422</v>
      </c>
      <c r="F3" s="4" t="s">
        <v>486</v>
      </c>
      <c r="G3" s="4" t="s">
        <v>558</v>
      </c>
      <c r="H3" s="4" t="s">
        <v>652</v>
      </c>
      <c r="I3" s="4" t="s">
        <v>682</v>
      </c>
      <c r="J3" s="4" t="s">
        <v>712</v>
      </c>
    </row>
    <row r="4" spans="1:10" x14ac:dyDescent="0.3">
      <c r="A4" s="8" t="s">
        <v>38</v>
      </c>
      <c r="B4" s="12">
        <f>COUNTIFS(판정_217건!$F$4:$F$220,$A4,판정_217건!$B$4:$B$220,B$3)</f>
        <v>43</v>
      </c>
      <c r="C4" s="12">
        <f>COUNTIFS(판정_217건!$F$4:$F$220,$A4,판정_217건!$B$4:$B$220,C$3)</f>
        <v>8</v>
      </c>
      <c r="D4" s="12">
        <f>COUNTIFS(판정_217건!$F$4:$F$220,$A4,판정_217건!$B$4:$B$220,D$3)</f>
        <v>10</v>
      </c>
      <c r="E4" s="12">
        <f>COUNTIFS(판정_217건!$F$4:$F$220,$A4,판정_217건!$B$4:$B$220,E$3)</f>
        <v>10</v>
      </c>
      <c r="F4" s="12">
        <f>COUNTIFS(판정_217건!$F$4:$F$220,$A4,판정_217건!$B$4:$B$220,F$3)</f>
        <v>5</v>
      </c>
      <c r="G4" s="12">
        <f>COUNTIFS(판정_217건!$F$4:$F$220,$A4,판정_217건!$B$4:$B$220,G$3)</f>
        <v>20</v>
      </c>
      <c r="H4" s="12">
        <f>COUNTIFS(판정_217건!$F$4:$F$220,$A4,판정_217건!$B$4:$B$220,H$3)</f>
        <v>1</v>
      </c>
      <c r="I4" s="12">
        <f>COUNTIFS(판정_217건!$F$4:$F$220,$A4,판정_217건!$B$4:$B$220,I$3)</f>
        <v>0</v>
      </c>
      <c r="J4" s="12">
        <f t="shared" ref="J4:J10" si="0">SUM(B4:I4)</f>
        <v>97</v>
      </c>
    </row>
    <row r="5" spans="1:10" x14ac:dyDescent="0.3">
      <c r="A5" s="8" t="s">
        <v>45</v>
      </c>
      <c r="B5" s="12">
        <f>COUNTIFS(판정_217건!$F$4:$F$220,$A5,판정_217건!$B$4:$B$220,B$3)</f>
        <v>5</v>
      </c>
      <c r="C5" s="12">
        <f>COUNTIFS(판정_217건!$F$4:$F$220,$A5,판정_217건!$B$4:$B$220,C$3)</f>
        <v>3</v>
      </c>
      <c r="D5" s="12">
        <f>COUNTIFS(판정_217건!$F$4:$F$220,$A5,판정_217건!$B$4:$B$220,D$3)</f>
        <v>0</v>
      </c>
      <c r="E5" s="12">
        <f>COUNTIFS(판정_217건!$F$4:$F$220,$A5,판정_217건!$B$4:$B$220,E$3)</f>
        <v>3</v>
      </c>
      <c r="F5" s="12">
        <f>COUNTIFS(판정_217건!$F$4:$F$220,$A5,판정_217건!$B$4:$B$220,F$3)</f>
        <v>3</v>
      </c>
      <c r="G5" s="12">
        <f>COUNTIFS(판정_217건!$F$4:$F$220,$A5,판정_217건!$B$4:$B$220,G$3)</f>
        <v>1</v>
      </c>
      <c r="H5" s="12">
        <f>COUNTIFS(판정_217건!$F$4:$F$220,$A5,판정_217건!$B$4:$B$220,H$3)</f>
        <v>3</v>
      </c>
      <c r="I5" s="12">
        <f>COUNTIFS(판정_217건!$F$4:$F$220,$A5,판정_217건!$B$4:$B$220,I$3)</f>
        <v>3</v>
      </c>
      <c r="J5" s="12">
        <f t="shared" si="0"/>
        <v>21</v>
      </c>
    </row>
    <row r="6" spans="1:10" x14ac:dyDescent="0.3">
      <c r="A6" s="8" t="s">
        <v>403</v>
      </c>
      <c r="B6" s="12">
        <f>COUNTIFS(판정_217건!$F$4:$F$220,$A6,판정_217건!$B$4:$B$220,B$3)</f>
        <v>0</v>
      </c>
      <c r="C6" s="12">
        <f>COUNTIFS(판정_217건!$F$4:$F$220,$A6,판정_217건!$B$4:$B$220,C$3)</f>
        <v>0</v>
      </c>
      <c r="D6" s="12">
        <f>COUNTIFS(판정_217건!$F$4:$F$220,$A6,판정_217건!$B$4:$B$220,D$3)</f>
        <v>2</v>
      </c>
      <c r="E6" s="12">
        <f>COUNTIFS(판정_217건!$F$4:$F$220,$A6,판정_217건!$B$4:$B$220,E$3)</f>
        <v>1</v>
      </c>
      <c r="F6" s="12">
        <f>COUNTIFS(판정_217건!$F$4:$F$220,$A6,판정_217건!$B$4:$B$220,F$3)</f>
        <v>1</v>
      </c>
      <c r="G6" s="12">
        <f>COUNTIFS(판정_217건!$F$4:$F$220,$A6,판정_217건!$B$4:$B$220,G$3)</f>
        <v>3</v>
      </c>
      <c r="H6" s="12">
        <f>COUNTIFS(판정_217건!$F$4:$F$220,$A6,판정_217건!$B$4:$B$220,H$3)</f>
        <v>2</v>
      </c>
      <c r="I6" s="12">
        <f>COUNTIFS(판정_217건!$F$4:$F$220,$A6,판정_217건!$B$4:$B$220,I$3)</f>
        <v>3</v>
      </c>
      <c r="J6" s="12">
        <f t="shared" si="0"/>
        <v>12</v>
      </c>
    </row>
    <row r="7" spans="1:10" x14ac:dyDescent="0.3">
      <c r="A7" s="8" t="s">
        <v>52</v>
      </c>
      <c r="B7" s="12">
        <f>COUNTIFS(판정_217건!$F$4:$F$220,$A7,판정_217건!$B$4:$B$220,B$3)</f>
        <v>7</v>
      </c>
      <c r="C7" s="12">
        <f>COUNTIFS(판정_217건!$F$4:$F$220,$A7,판정_217건!$B$4:$B$220,C$3)</f>
        <v>3</v>
      </c>
      <c r="D7" s="12">
        <f>COUNTIFS(판정_217건!$F$4:$F$220,$A7,판정_217건!$B$4:$B$220,D$3)</f>
        <v>3</v>
      </c>
      <c r="E7" s="12">
        <f>COUNTIFS(판정_217건!$F$4:$F$220,$A7,판정_217건!$B$4:$B$220,E$3)</f>
        <v>1</v>
      </c>
      <c r="F7" s="12">
        <f>COUNTIFS(판정_217건!$F$4:$F$220,$A7,판정_217건!$B$4:$B$220,F$3)</f>
        <v>7</v>
      </c>
      <c r="G7" s="12">
        <f>COUNTIFS(판정_217건!$F$4:$F$220,$A7,판정_217건!$B$4:$B$220,G$3)</f>
        <v>3</v>
      </c>
      <c r="H7" s="12">
        <f>COUNTIFS(판정_217건!$F$4:$F$220,$A7,판정_217건!$B$4:$B$220,H$3)</f>
        <v>3</v>
      </c>
      <c r="I7" s="12">
        <f>COUNTIFS(판정_217건!$F$4:$F$220,$A7,판정_217건!$B$4:$B$220,I$3)</f>
        <v>0</v>
      </c>
      <c r="J7" s="12">
        <f t="shared" si="0"/>
        <v>27</v>
      </c>
    </row>
    <row r="8" spans="1:10" x14ac:dyDescent="0.3">
      <c r="A8" s="8" t="s">
        <v>85</v>
      </c>
      <c r="B8" s="12">
        <f>COUNTIFS(판정_217건!$F$4:$F$220,$A8,판정_217건!$B$4:$B$220,B$3)</f>
        <v>8</v>
      </c>
      <c r="C8" s="12">
        <f>COUNTIFS(판정_217건!$F$4:$F$220,$A8,판정_217건!$B$4:$B$220,C$3)</f>
        <v>5</v>
      </c>
      <c r="D8" s="12">
        <f>COUNTIFS(판정_217건!$F$4:$F$220,$A8,판정_217건!$B$4:$B$220,D$3)</f>
        <v>3</v>
      </c>
      <c r="E8" s="12">
        <f>COUNTIFS(판정_217건!$F$4:$F$220,$A8,판정_217건!$B$4:$B$220,E$3)</f>
        <v>4</v>
      </c>
      <c r="F8" s="12">
        <f>COUNTIFS(판정_217건!$F$4:$F$220,$A8,판정_217건!$B$4:$B$220,F$3)</f>
        <v>3</v>
      </c>
      <c r="G8" s="12">
        <f>COUNTIFS(판정_217건!$F$4:$F$220,$A8,판정_217건!$B$4:$B$220,G$3)</f>
        <v>5</v>
      </c>
      <c r="H8" s="12">
        <f>COUNTIFS(판정_217건!$F$4:$F$220,$A8,판정_217건!$B$4:$B$220,H$3)</f>
        <v>1</v>
      </c>
      <c r="I8" s="12">
        <f>COUNTIFS(판정_217건!$F$4:$F$220,$A8,판정_217건!$B$4:$B$220,I$3)</f>
        <v>1</v>
      </c>
      <c r="J8" s="12">
        <f t="shared" si="0"/>
        <v>30</v>
      </c>
    </row>
    <row r="9" spans="1:10" x14ac:dyDescent="0.3">
      <c r="A9" s="8" t="s">
        <v>207</v>
      </c>
      <c r="B9" s="12">
        <f>COUNTIFS(판정_217건!$F$4:$F$220,$A9,판정_217건!$B$4:$B$220,B$3)</f>
        <v>3</v>
      </c>
      <c r="C9" s="12">
        <f>COUNTIFS(판정_217건!$F$4:$F$220,$A9,판정_217건!$B$4:$B$220,C$3)</f>
        <v>5</v>
      </c>
      <c r="D9" s="12">
        <f>COUNTIFS(판정_217건!$F$4:$F$220,$A9,판정_217건!$B$4:$B$220,D$3)</f>
        <v>2</v>
      </c>
      <c r="E9" s="12">
        <f>COUNTIFS(판정_217건!$F$4:$F$220,$A9,판정_217건!$B$4:$B$220,E$3)</f>
        <v>1</v>
      </c>
      <c r="F9" s="12">
        <f>COUNTIFS(판정_217건!$F$4:$F$220,$A9,판정_217건!$B$4:$B$220,F$3)</f>
        <v>1</v>
      </c>
      <c r="G9" s="12">
        <f>COUNTIFS(판정_217건!$F$4:$F$220,$A9,판정_217건!$B$4:$B$220,G$3)</f>
        <v>0</v>
      </c>
      <c r="H9" s="12">
        <f>COUNTIFS(판정_217건!$F$4:$F$220,$A9,판정_217건!$B$4:$B$220,H$3)</f>
        <v>0</v>
      </c>
      <c r="I9" s="12">
        <f>COUNTIFS(판정_217건!$F$4:$F$220,$A9,판정_217건!$B$4:$B$220,I$3)</f>
        <v>0</v>
      </c>
      <c r="J9" s="12">
        <f t="shared" si="0"/>
        <v>12</v>
      </c>
    </row>
    <row r="10" spans="1:10" x14ac:dyDescent="0.3">
      <c r="A10" s="8" t="s">
        <v>277</v>
      </c>
      <c r="B10" s="12">
        <f>COUNTIFS(판정_217건!$F$4:$F$220,$A10,판정_217건!$B$4:$B$220,B$3)</f>
        <v>0</v>
      </c>
      <c r="C10" s="12">
        <f>COUNTIFS(판정_217건!$F$4:$F$220,$A10,판정_217건!$B$4:$B$220,C$3)</f>
        <v>5</v>
      </c>
      <c r="D10" s="12">
        <f>COUNTIFS(판정_217건!$F$4:$F$220,$A10,판정_217건!$B$4:$B$220,D$3)</f>
        <v>3</v>
      </c>
      <c r="E10" s="12">
        <f>COUNTIFS(판정_217건!$F$4:$F$220,$A10,판정_217건!$B$4:$B$220,E$3)</f>
        <v>4</v>
      </c>
      <c r="F10" s="12">
        <f>COUNTIFS(판정_217건!$F$4:$F$220,$A10,판정_217건!$B$4:$B$220,F$3)</f>
        <v>6</v>
      </c>
      <c r="G10" s="12">
        <f>COUNTIFS(판정_217건!$F$4:$F$220,$A10,판정_217건!$B$4:$B$220,G$3)</f>
        <v>0</v>
      </c>
      <c r="H10" s="12">
        <f>COUNTIFS(판정_217건!$F$4:$F$220,$A10,판정_217건!$B$4:$B$220,H$3)</f>
        <v>0</v>
      </c>
      <c r="I10" s="12">
        <f>COUNTIFS(판정_217건!$F$4:$F$220,$A10,판정_217건!$B$4:$B$220,I$3)</f>
        <v>0</v>
      </c>
      <c r="J10" s="12">
        <f t="shared" si="0"/>
        <v>18</v>
      </c>
    </row>
    <row r="11" spans="1:10" x14ac:dyDescent="0.3">
      <c r="A11" s="8" t="s">
        <v>712</v>
      </c>
      <c r="B11" s="12">
        <f t="shared" ref="B11:J11" si="1">SUM(B4:B10)</f>
        <v>66</v>
      </c>
      <c r="C11" s="12">
        <f t="shared" si="1"/>
        <v>29</v>
      </c>
      <c r="D11" s="12">
        <f t="shared" si="1"/>
        <v>23</v>
      </c>
      <c r="E11" s="12">
        <f t="shared" si="1"/>
        <v>24</v>
      </c>
      <c r="F11" s="12">
        <f t="shared" si="1"/>
        <v>26</v>
      </c>
      <c r="G11" s="12">
        <f t="shared" si="1"/>
        <v>32</v>
      </c>
      <c r="H11" s="12">
        <f t="shared" si="1"/>
        <v>10</v>
      </c>
      <c r="I11" s="12">
        <f t="shared" si="1"/>
        <v>7</v>
      </c>
      <c r="J11" s="12">
        <f t="shared" si="1"/>
        <v>217</v>
      </c>
    </row>
  </sheetData>
  <mergeCells count="1">
    <mergeCell ref="A1:J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workbookViewId="0"/>
  </sheetViews>
  <sheetFormatPr defaultRowHeight="16.5" x14ac:dyDescent="0.3"/>
  <cols>
    <col min="1" max="1" width="22" customWidth="1"/>
    <col min="2" max="8" width="18" customWidth="1"/>
    <col min="9" max="9" width="12" customWidth="1"/>
  </cols>
  <sheetData>
    <row r="1" spans="1:9" ht="24" customHeight="1" x14ac:dyDescent="0.3">
      <c r="A1" s="22" t="s">
        <v>715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8"/>
      <c r="B2" s="7"/>
      <c r="C2" s="7"/>
      <c r="D2" s="7"/>
      <c r="E2" s="7"/>
      <c r="F2" s="7"/>
      <c r="G2" s="7"/>
      <c r="H2" s="7"/>
      <c r="I2" s="7"/>
    </row>
    <row r="3" spans="1:9" x14ac:dyDescent="0.3">
      <c r="A3" s="9" t="s">
        <v>716</v>
      </c>
      <c r="B3" s="4" t="s">
        <v>38</v>
      </c>
      <c r="C3" s="4" t="s">
        <v>45</v>
      </c>
      <c r="D3" s="4" t="s">
        <v>403</v>
      </c>
      <c r="E3" s="4" t="s">
        <v>52</v>
      </c>
      <c r="F3" s="4" t="s">
        <v>85</v>
      </c>
      <c r="G3" s="4" t="s">
        <v>207</v>
      </c>
      <c r="H3" s="4" t="s">
        <v>277</v>
      </c>
      <c r="I3" s="4" t="s">
        <v>712</v>
      </c>
    </row>
    <row r="4" spans="1:9" x14ac:dyDescent="0.3">
      <c r="A4" s="8" t="s">
        <v>37</v>
      </c>
      <c r="B4" s="12">
        <f>COUNTIFS(판정_217건!$E$4:$E$220,$A4,판정_217건!$F$4:$F$220,B$3)</f>
        <v>49</v>
      </c>
      <c r="C4" s="12">
        <f>COUNTIFS(판정_217건!$E$4:$E$220,$A4,판정_217건!$F$4:$F$220,C$3)</f>
        <v>5</v>
      </c>
      <c r="D4" s="12">
        <f>COUNTIFS(판정_217건!$E$4:$E$220,$A4,판정_217건!$F$4:$F$220,D$3)</f>
        <v>2</v>
      </c>
      <c r="E4" s="12">
        <f>COUNTIFS(판정_217건!$E$4:$E$220,$A4,판정_217건!$F$4:$F$220,E$3)</f>
        <v>11</v>
      </c>
      <c r="F4" s="12">
        <f>COUNTIFS(판정_217건!$E$4:$E$220,$A4,판정_217건!$F$4:$F$220,F$3)</f>
        <v>20</v>
      </c>
      <c r="G4" s="12">
        <f>COUNTIFS(판정_217건!$E$4:$E$220,$A4,판정_217건!$F$4:$F$220,G$3)</f>
        <v>1</v>
      </c>
      <c r="H4" s="12">
        <f>COUNTIFS(판정_217건!$E$4:$E$220,$A4,판정_217건!$F$4:$F$220,H$3)</f>
        <v>9</v>
      </c>
      <c r="I4" s="12">
        <f t="shared" ref="I4:I9" si="0">SUM(B4:H4)</f>
        <v>97</v>
      </c>
    </row>
    <row r="5" spans="1:9" x14ac:dyDescent="0.3">
      <c r="A5" s="8" t="s">
        <v>44</v>
      </c>
      <c r="B5" s="12">
        <f>COUNTIFS(판정_217건!$E$4:$E$220,$A5,판정_217건!$F$4:$F$220,B$3)</f>
        <v>10</v>
      </c>
      <c r="C5" s="12">
        <f>COUNTIFS(판정_217건!$E$4:$E$220,$A5,판정_217건!$F$4:$F$220,C$3)</f>
        <v>6</v>
      </c>
      <c r="D5" s="12">
        <f>COUNTIFS(판정_217건!$E$4:$E$220,$A5,판정_217건!$F$4:$F$220,D$3)</f>
        <v>0</v>
      </c>
      <c r="E5" s="12">
        <f>COUNTIFS(판정_217건!$E$4:$E$220,$A5,판정_217건!$F$4:$F$220,E$3)</f>
        <v>4</v>
      </c>
      <c r="F5" s="12">
        <f>COUNTIFS(판정_217건!$E$4:$E$220,$A5,판정_217건!$F$4:$F$220,F$3)</f>
        <v>1</v>
      </c>
      <c r="G5" s="12">
        <f>COUNTIFS(판정_217건!$E$4:$E$220,$A5,판정_217건!$F$4:$F$220,G$3)</f>
        <v>7</v>
      </c>
      <c r="H5" s="12">
        <f>COUNTIFS(판정_217건!$E$4:$E$220,$A5,판정_217건!$F$4:$F$220,H$3)</f>
        <v>6</v>
      </c>
      <c r="I5" s="12">
        <f t="shared" si="0"/>
        <v>34</v>
      </c>
    </row>
    <row r="6" spans="1:9" x14ac:dyDescent="0.3">
      <c r="A6" s="8" t="s">
        <v>51</v>
      </c>
      <c r="B6" s="12">
        <f>COUNTIFS(판정_217건!$E$4:$E$220,$A6,판정_217건!$F$4:$F$220,B$3)</f>
        <v>18</v>
      </c>
      <c r="C6" s="12">
        <f>COUNTIFS(판정_217건!$E$4:$E$220,$A6,판정_217건!$F$4:$F$220,C$3)</f>
        <v>5</v>
      </c>
      <c r="D6" s="12">
        <f>COUNTIFS(판정_217건!$E$4:$E$220,$A6,판정_217건!$F$4:$F$220,D$3)</f>
        <v>6</v>
      </c>
      <c r="E6" s="12">
        <f>COUNTIFS(판정_217건!$E$4:$E$220,$A6,판정_217건!$F$4:$F$220,E$3)</f>
        <v>5</v>
      </c>
      <c r="F6" s="12">
        <f>COUNTIFS(판정_217건!$E$4:$E$220,$A6,판정_217건!$F$4:$F$220,F$3)</f>
        <v>5</v>
      </c>
      <c r="G6" s="12">
        <f>COUNTIFS(판정_217건!$E$4:$E$220,$A6,판정_217건!$F$4:$F$220,G$3)</f>
        <v>0</v>
      </c>
      <c r="H6" s="12">
        <f>COUNTIFS(판정_217건!$E$4:$E$220,$A6,판정_217건!$F$4:$F$220,H$3)</f>
        <v>2</v>
      </c>
      <c r="I6" s="12">
        <f t="shared" si="0"/>
        <v>41</v>
      </c>
    </row>
    <row r="7" spans="1:9" x14ac:dyDescent="0.3">
      <c r="A7" s="8" t="s">
        <v>58</v>
      </c>
      <c r="B7" s="12">
        <f>COUNTIFS(판정_217건!$E$4:$E$220,$A7,판정_217건!$F$4:$F$220,B$3)</f>
        <v>8</v>
      </c>
      <c r="C7" s="12">
        <f>COUNTIFS(판정_217건!$E$4:$E$220,$A7,판정_217건!$F$4:$F$220,C$3)</f>
        <v>1</v>
      </c>
      <c r="D7" s="12">
        <f>COUNTIFS(판정_217건!$E$4:$E$220,$A7,판정_217건!$F$4:$F$220,D$3)</f>
        <v>0</v>
      </c>
      <c r="E7" s="12">
        <f>COUNTIFS(판정_217건!$E$4:$E$220,$A7,판정_217건!$F$4:$F$220,E$3)</f>
        <v>0</v>
      </c>
      <c r="F7" s="12">
        <f>COUNTIFS(판정_217건!$E$4:$E$220,$A7,판정_217건!$F$4:$F$220,F$3)</f>
        <v>0</v>
      </c>
      <c r="G7" s="12">
        <f>COUNTIFS(판정_217건!$E$4:$E$220,$A7,판정_217건!$F$4:$F$220,G$3)</f>
        <v>0</v>
      </c>
      <c r="H7" s="12">
        <f>COUNTIFS(판정_217건!$E$4:$E$220,$A7,판정_217건!$F$4:$F$220,H$3)</f>
        <v>0</v>
      </c>
      <c r="I7" s="12">
        <f t="shared" si="0"/>
        <v>9</v>
      </c>
    </row>
    <row r="8" spans="1:9" x14ac:dyDescent="0.3">
      <c r="A8" s="8" t="s">
        <v>80</v>
      </c>
      <c r="B8" s="12">
        <f>COUNTIFS(판정_217건!$E$4:$E$220,$A8,판정_217건!$F$4:$F$220,B$3)</f>
        <v>5</v>
      </c>
      <c r="C8" s="12">
        <f>COUNTIFS(판정_217건!$E$4:$E$220,$A8,판정_217건!$F$4:$F$220,C$3)</f>
        <v>1</v>
      </c>
      <c r="D8" s="12">
        <f>COUNTIFS(판정_217건!$E$4:$E$220,$A8,판정_217건!$F$4:$F$220,D$3)</f>
        <v>0</v>
      </c>
      <c r="E8" s="12">
        <f>COUNTIFS(판정_217건!$E$4:$E$220,$A8,판정_217건!$F$4:$F$220,E$3)</f>
        <v>3</v>
      </c>
      <c r="F8" s="12">
        <f>COUNTIFS(판정_217건!$E$4:$E$220,$A8,판정_217건!$F$4:$F$220,F$3)</f>
        <v>0</v>
      </c>
      <c r="G8" s="12">
        <f>COUNTIFS(판정_217건!$E$4:$E$220,$A8,판정_217건!$F$4:$F$220,G$3)</f>
        <v>0</v>
      </c>
      <c r="H8" s="12">
        <f>COUNTIFS(판정_217건!$E$4:$E$220,$A8,판정_217건!$F$4:$F$220,H$3)</f>
        <v>0</v>
      </c>
      <c r="I8" s="12">
        <f t="shared" si="0"/>
        <v>9</v>
      </c>
    </row>
    <row r="9" spans="1:9" x14ac:dyDescent="0.3">
      <c r="A9" s="8" t="s">
        <v>167</v>
      </c>
      <c r="B9" s="12">
        <f>COUNTIFS(판정_217건!$E$4:$E$220,$A9,판정_217건!$F$4:$F$220,B$3)</f>
        <v>7</v>
      </c>
      <c r="C9" s="12">
        <f>COUNTIFS(판정_217건!$E$4:$E$220,$A9,판정_217건!$F$4:$F$220,C$3)</f>
        <v>3</v>
      </c>
      <c r="D9" s="12">
        <f>COUNTIFS(판정_217건!$E$4:$E$220,$A9,판정_217건!$F$4:$F$220,D$3)</f>
        <v>4</v>
      </c>
      <c r="E9" s="12">
        <f>COUNTIFS(판정_217건!$E$4:$E$220,$A9,판정_217건!$F$4:$F$220,E$3)</f>
        <v>4</v>
      </c>
      <c r="F9" s="12">
        <f>COUNTIFS(판정_217건!$E$4:$E$220,$A9,판정_217건!$F$4:$F$220,F$3)</f>
        <v>4</v>
      </c>
      <c r="G9" s="12">
        <f>COUNTIFS(판정_217건!$E$4:$E$220,$A9,판정_217건!$F$4:$F$220,G$3)</f>
        <v>4</v>
      </c>
      <c r="H9" s="12">
        <f>COUNTIFS(판정_217건!$E$4:$E$220,$A9,판정_217건!$F$4:$F$220,H$3)</f>
        <v>1</v>
      </c>
      <c r="I9" s="12">
        <f t="shared" si="0"/>
        <v>27</v>
      </c>
    </row>
    <row r="10" spans="1:9" x14ac:dyDescent="0.3">
      <c r="A10" s="8" t="s">
        <v>712</v>
      </c>
      <c r="B10" s="12">
        <f t="shared" ref="B10:I10" si="1">SUM(B4:B9)</f>
        <v>97</v>
      </c>
      <c r="C10" s="12">
        <f t="shared" si="1"/>
        <v>21</v>
      </c>
      <c r="D10" s="12">
        <f t="shared" si="1"/>
        <v>12</v>
      </c>
      <c r="E10" s="12">
        <f t="shared" si="1"/>
        <v>27</v>
      </c>
      <c r="F10" s="12">
        <f t="shared" si="1"/>
        <v>30</v>
      </c>
      <c r="G10" s="12">
        <f t="shared" si="1"/>
        <v>12</v>
      </c>
      <c r="H10" s="12">
        <f t="shared" si="1"/>
        <v>18</v>
      </c>
      <c r="I10" s="12">
        <f t="shared" si="1"/>
        <v>217</v>
      </c>
    </row>
  </sheetData>
  <mergeCells count="1">
    <mergeCell ref="A1:I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20" customWidth="1"/>
    <col min="3" max="3" width="18" customWidth="1"/>
    <col min="4" max="4" width="32" customWidth="1"/>
    <col min="5" max="5" width="20" customWidth="1"/>
    <col min="6" max="6" width="16" customWidth="1"/>
    <col min="7" max="7" width="18" customWidth="1"/>
    <col min="8" max="8" width="32" customWidth="1"/>
    <col min="9" max="9" width="20" customWidth="1"/>
  </cols>
  <sheetData>
    <row r="1" spans="1:9" ht="24" customHeight="1" x14ac:dyDescent="0.3">
      <c r="A1" s="20" t="s">
        <v>717</v>
      </c>
      <c r="B1" s="21"/>
      <c r="C1" s="21"/>
      <c r="D1" s="21"/>
      <c r="E1" s="21"/>
      <c r="F1" s="21"/>
      <c r="G1" s="21"/>
      <c r="H1" s="21"/>
      <c r="I1" s="21"/>
    </row>
    <row r="3" spans="1:9" x14ac:dyDescent="0.3">
      <c r="A3" s="4" t="s">
        <v>718</v>
      </c>
      <c r="B3" s="4" t="s">
        <v>28</v>
      </c>
      <c r="C3" s="4" t="s">
        <v>719</v>
      </c>
      <c r="D3" s="4" t="s">
        <v>720</v>
      </c>
      <c r="E3" s="4" t="s">
        <v>721</v>
      </c>
      <c r="F3" s="4" t="s">
        <v>722</v>
      </c>
      <c r="G3" s="4" t="s">
        <v>723</v>
      </c>
      <c r="H3" s="4" t="s">
        <v>724</v>
      </c>
      <c r="I3" s="4" t="s">
        <v>725</v>
      </c>
    </row>
    <row r="4" spans="1:9" x14ac:dyDescent="0.3">
      <c r="A4" s="3">
        <v>1</v>
      </c>
      <c r="B4" s="3" t="s">
        <v>37</v>
      </c>
      <c r="C4" s="3" t="s">
        <v>726</v>
      </c>
      <c r="D4" s="3" t="s">
        <v>258</v>
      </c>
      <c r="E4" s="3" t="s">
        <v>38</v>
      </c>
      <c r="F4" s="3" t="s">
        <v>358</v>
      </c>
      <c r="G4" s="3" t="s">
        <v>373</v>
      </c>
      <c r="H4" s="3" t="s">
        <v>372</v>
      </c>
      <c r="I4" s="3" t="s">
        <v>277</v>
      </c>
    </row>
    <row r="5" spans="1:9" x14ac:dyDescent="0.3">
      <c r="A5" s="3">
        <v>2</v>
      </c>
      <c r="B5" s="3" t="s">
        <v>37</v>
      </c>
      <c r="C5" s="3" t="s">
        <v>727</v>
      </c>
      <c r="D5" s="3" t="s">
        <v>265</v>
      </c>
      <c r="E5" s="3" t="s">
        <v>38</v>
      </c>
      <c r="F5" s="3" t="s">
        <v>358</v>
      </c>
      <c r="G5" s="3" t="s">
        <v>420</v>
      </c>
      <c r="H5" s="3" t="s">
        <v>420</v>
      </c>
      <c r="I5" s="3" t="s">
        <v>85</v>
      </c>
    </row>
    <row r="6" spans="1:9" x14ac:dyDescent="0.3">
      <c r="A6" s="3">
        <v>3</v>
      </c>
      <c r="B6" s="3" t="s">
        <v>37</v>
      </c>
      <c r="C6" s="3" t="s">
        <v>350</v>
      </c>
      <c r="D6" s="3" t="s">
        <v>261</v>
      </c>
      <c r="E6" s="3" t="s">
        <v>38</v>
      </c>
      <c r="F6" s="3" t="s">
        <v>271</v>
      </c>
      <c r="G6" s="3" t="s">
        <v>350</v>
      </c>
      <c r="H6" s="3" t="s">
        <v>349</v>
      </c>
      <c r="I6" s="3" t="s">
        <v>85</v>
      </c>
    </row>
    <row r="7" spans="1:9" x14ac:dyDescent="0.3">
      <c r="A7" s="3">
        <v>4</v>
      </c>
      <c r="B7" s="3" t="s">
        <v>37</v>
      </c>
      <c r="C7" s="3" t="s">
        <v>728</v>
      </c>
      <c r="D7" s="3" t="s">
        <v>182</v>
      </c>
      <c r="E7" s="3" t="s">
        <v>38</v>
      </c>
      <c r="F7" s="3" t="s">
        <v>422</v>
      </c>
      <c r="G7" s="3" t="s">
        <v>462</v>
      </c>
      <c r="H7" s="3" t="s">
        <v>461</v>
      </c>
      <c r="I7" s="3" t="s">
        <v>85</v>
      </c>
    </row>
    <row r="8" spans="1:9" x14ac:dyDescent="0.3">
      <c r="A8" s="3">
        <v>5</v>
      </c>
      <c r="B8" s="3" t="s">
        <v>44</v>
      </c>
      <c r="C8" s="3" t="s">
        <v>729</v>
      </c>
      <c r="D8" s="3" t="s">
        <v>184</v>
      </c>
      <c r="E8" s="3" t="s">
        <v>38</v>
      </c>
      <c r="F8" s="3" t="s">
        <v>558</v>
      </c>
      <c r="G8" s="3" t="s">
        <v>627</v>
      </c>
      <c r="H8" s="3" t="s">
        <v>626</v>
      </c>
      <c r="I8" s="3" t="s">
        <v>52</v>
      </c>
    </row>
    <row r="9" spans="1:9" x14ac:dyDescent="0.3">
      <c r="A9" s="3">
        <v>6</v>
      </c>
      <c r="B9" s="3" t="s">
        <v>44</v>
      </c>
      <c r="C9" s="3" t="s">
        <v>730</v>
      </c>
      <c r="D9" s="3" t="s">
        <v>74</v>
      </c>
      <c r="E9" s="3" t="s">
        <v>38</v>
      </c>
      <c r="F9" s="3" t="s">
        <v>358</v>
      </c>
      <c r="G9" s="3" t="s">
        <v>392</v>
      </c>
      <c r="H9" s="3" t="s">
        <v>391</v>
      </c>
      <c r="I9" s="3" t="s">
        <v>52</v>
      </c>
    </row>
    <row r="10" spans="1:9" x14ac:dyDescent="0.3">
      <c r="A10" s="3">
        <v>7</v>
      </c>
      <c r="B10" s="3" t="s">
        <v>44</v>
      </c>
      <c r="C10" s="3" t="s">
        <v>731</v>
      </c>
      <c r="D10" s="3" t="s">
        <v>116</v>
      </c>
      <c r="E10" s="3" t="s">
        <v>38</v>
      </c>
      <c r="F10" s="3" t="s">
        <v>652</v>
      </c>
      <c r="G10" s="3" t="s">
        <v>668</v>
      </c>
      <c r="H10" s="3" t="s">
        <v>667</v>
      </c>
      <c r="I10" s="3" t="s">
        <v>52</v>
      </c>
    </row>
    <row r="11" spans="1:9" x14ac:dyDescent="0.3">
      <c r="A11" s="3">
        <v>8</v>
      </c>
      <c r="B11" s="3" t="s">
        <v>51</v>
      </c>
      <c r="C11" s="3" t="s">
        <v>732</v>
      </c>
      <c r="D11" s="3" t="s">
        <v>269</v>
      </c>
      <c r="E11" s="3" t="s">
        <v>38</v>
      </c>
      <c r="F11" s="3" t="s">
        <v>358</v>
      </c>
      <c r="G11" s="3" t="s">
        <v>418</v>
      </c>
      <c r="H11" s="3" t="s">
        <v>417</v>
      </c>
      <c r="I11" s="3" t="s">
        <v>403</v>
      </c>
    </row>
    <row r="12" spans="1:9" x14ac:dyDescent="0.3">
      <c r="A12" s="3">
        <v>9</v>
      </c>
      <c r="B12" s="3" t="s">
        <v>51</v>
      </c>
      <c r="C12" s="3" t="s">
        <v>733</v>
      </c>
      <c r="D12" s="3" t="s">
        <v>233</v>
      </c>
      <c r="E12" s="3" t="s">
        <v>38</v>
      </c>
      <c r="F12" s="3" t="s">
        <v>486</v>
      </c>
      <c r="G12" s="3" t="s">
        <v>547</v>
      </c>
      <c r="H12" s="3" t="s">
        <v>546</v>
      </c>
      <c r="I12" s="3" t="s">
        <v>45</v>
      </c>
    </row>
    <row r="13" spans="1:9" x14ac:dyDescent="0.3">
      <c r="A13" s="3">
        <v>10</v>
      </c>
      <c r="B13" s="3" t="s">
        <v>58</v>
      </c>
      <c r="C13" s="3" t="s">
        <v>734</v>
      </c>
      <c r="D13" s="3" t="s">
        <v>57</v>
      </c>
      <c r="E13" s="3" t="s">
        <v>38</v>
      </c>
      <c r="F13" s="3" t="s">
        <v>422</v>
      </c>
      <c r="G13" s="3" t="s">
        <v>465</v>
      </c>
      <c r="H13" s="3" t="s">
        <v>735</v>
      </c>
      <c r="I13" s="3" t="s">
        <v>45</v>
      </c>
    </row>
    <row r="14" spans="1:9" x14ac:dyDescent="0.3">
      <c r="A14" s="3">
        <v>11</v>
      </c>
      <c r="B14" s="3" t="s">
        <v>80</v>
      </c>
      <c r="C14" s="3" t="s">
        <v>736</v>
      </c>
      <c r="D14" s="3" t="s">
        <v>737</v>
      </c>
      <c r="E14" s="3" t="s">
        <v>38</v>
      </c>
      <c r="F14" s="3" t="s">
        <v>422</v>
      </c>
      <c r="G14" s="3" t="s">
        <v>448</v>
      </c>
      <c r="H14" s="3" t="s">
        <v>447</v>
      </c>
      <c r="I14" s="3" t="s">
        <v>45</v>
      </c>
    </row>
    <row r="15" spans="1:9" x14ac:dyDescent="0.3">
      <c r="A15" s="3">
        <v>12</v>
      </c>
      <c r="B15" s="3" t="s">
        <v>167</v>
      </c>
      <c r="C15" s="3" t="s">
        <v>738</v>
      </c>
      <c r="D15" s="3" t="s">
        <v>247</v>
      </c>
      <c r="E15" s="3" t="s">
        <v>38</v>
      </c>
      <c r="F15" s="3" t="s">
        <v>271</v>
      </c>
      <c r="G15" s="3" t="s">
        <v>331</v>
      </c>
      <c r="H15" s="3" t="s">
        <v>330</v>
      </c>
      <c r="I15" s="3" t="s">
        <v>45</v>
      </c>
    </row>
  </sheetData>
  <autoFilter ref="A3:I15" xr:uid="{00000000-0009-0000-0000-000006000000}"/>
  <mergeCells count="1">
    <mergeCell ref="A1:I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22" customWidth="1"/>
    <col min="2" max="2" width="14" customWidth="1"/>
    <col min="3" max="3" width="10" customWidth="1"/>
    <col min="4" max="4" width="22" customWidth="1"/>
    <col min="5" max="5" width="34" customWidth="1"/>
    <col min="6" max="7" width="20" customWidth="1"/>
    <col min="8" max="8" width="55" customWidth="1"/>
  </cols>
  <sheetData>
    <row r="1" spans="1:8" ht="24" customHeight="1" x14ac:dyDescent="0.3">
      <c r="A1" s="20" t="s">
        <v>739</v>
      </c>
      <c r="B1" s="21"/>
      <c r="C1" s="21"/>
      <c r="D1" s="21"/>
      <c r="E1" s="21"/>
      <c r="F1" s="21"/>
      <c r="G1" s="21"/>
      <c r="H1" s="21"/>
    </row>
    <row r="3" spans="1:8" x14ac:dyDescent="0.3">
      <c r="A3" s="4" t="s">
        <v>740</v>
      </c>
      <c r="B3" s="4" t="s">
        <v>25</v>
      </c>
      <c r="C3" s="4" t="s">
        <v>26</v>
      </c>
      <c r="D3" s="4" t="s">
        <v>30</v>
      </c>
      <c r="E3" s="4" t="s">
        <v>741</v>
      </c>
      <c r="F3" s="4" t="s">
        <v>28</v>
      </c>
      <c r="G3" s="4" t="s">
        <v>29</v>
      </c>
      <c r="H3" s="4" t="s">
        <v>32</v>
      </c>
    </row>
    <row r="4" spans="1:8" ht="49.5" x14ac:dyDescent="0.3">
      <c r="A4" s="6" t="s">
        <v>742</v>
      </c>
      <c r="B4" s="6" t="s">
        <v>34</v>
      </c>
      <c r="C4" s="6" t="s">
        <v>35</v>
      </c>
      <c r="D4" s="3" t="s">
        <v>39</v>
      </c>
      <c r="E4" s="3" t="s">
        <v>36</v>
      </c>
      <c r="F4" s="3" t="s">
        <v>37</v>
      </c>
      <c r="G4" s="3" t="s">
        <v>38</v>
      </c>
      <c r="H4" s="3" t="s">
        <v>41</v>
      </c>
    </row>
    <row r="5" spans="1:8" ht="33" x14ac:dyDescent="0.3">
      <c r="A5" s="6" t="s">
        <v>742</v>
      </c>
      <c r="B5" s="6" t="s">
        <v>34</v>
      </c>
      <c r="C5" s="6" t="s">
        <v>56</v>
      </c>
      <c r="D5" s="3" t="s">
        <v>59</v>
      </c>
      <c r="E5" s="3" t="s">
        <v>57</v>
      </c>
      <c r="F5" s="3" t="s">
        <v>58</v>
      </c>
      <c r="G5" s="3" t="s">
        <v>38</v>
      </c>
      <c r="H5" s="3" t="s">
        <v>61</v>
      </c>
    </row>
    <row r="6" spans="1:8" ht="49.5" x14ac:dyDescent="0.3">
      <c r="A6" s="6" t="s">
        <v>742</v>
      </c>
      <c r="B6" s="6" t="s">
        <v>34</v>
      </c>
      <c r="C6" s="6" t="s">
        <v>62</v>
      </c>
      <c r="D6" s="3" t="s">
        <v>64</v>
      </c>
      <c r="E6" s="3" t="s">
        <v>63</v>
      </c>
      <c r="F6" s="3" t="s">
        <v>37</v>
      </c>
      <c r="G6" s="3" t="s">
        <v>38</v>
      </c>
      <c r="H6" s="3" t="s">
        <v>41</v>
      </c>
    </row>
    <row r="7" spans="1:8" ht="33" x14ac:dyDescent="0.3">
      <c r="A7" s="6" t="s">
        <v>742</v>
      </c>
      <c r="B7" s="6" t="s">
        <v>34</v>
      </c>
      <c r="C7" s="6" t="s">
        <v>62</v>
      </c>
      <c r="D7" s="3" t="s">
        <v>75</v>
      </c>
      <c r="E7" s="3" t="s">
        <v>74</v>
      </c>
      <c r="F7" s="3" t="s">
        <v>44</v>
      </c>
      <c r="G7" s="3" t="s">
        <v>38</v>
      </c>
      <c r="H7" s="3" t="s">
        <v>77</v>
      </c>
    </row>
    <row r="8" spans="1:8" ht="33" x14ac:dyDescent="0.3">
      <c r="A8" s="6" t="s">
        <v>742</v>
      </c>
      <c r="B8" s="6" t="s">
        <v>34</v>
      </c>
      <c r="C8" s="6" t="s">
        <v>78</v>
      </c>
      <c r="D8" s="3" t="s">
        <v>81</v>
      </c>
      <c r="E8" s="3" t="s">
        <v>79</v>
      </c>
      <c r="F8" s="3" t="s">
        <v>80</v>
      </c>
      <c r="G8" s="3" t="s">
        <v>38</v>
      </c>
      <c r="H8" s="3" t="s">
        <v>83</v>
      </c>
    </row>
    <row r="9" spans="1:8" ht="33" x14ac:dyDescent="0.3">
      <c r="A9" s="6" t="s">
        <v>742</v>
      </c>
      <c r="B9" s="6" t="s">
        <v>34</v>
      </c>
      <c r="C9" s="6" t="s">
        <v>88</v>
      </c>
      <c r="D9" s="3" t="s">
        <v>90</v>
      </c>
      <c r="E9" s="3" t="s">
        <v>89</v>
      </c>
      <c r="F9" s="3" t="s">
        <v>51</v>
      </c>
      <c r="G9" s="3" t="s">
        <v>38</v>
      </c>
      <c r="H9" s="3" t="s">
        <v>92</v>
      </c>
    </row>
    <row r="10" spans="1:8" ht="49.5" x14ac:dyDescent="0.3">
      <c r="A10" s="6" t="s">
        <v>742</v>
      </c>
      <c r="B10" s="6" t="s">
        <v>34</v>
      </c>
      <c r="C10" s="6" t="s">
        <v>88</v>
      </c>
      <c r="D10" s="3" t="s">
        <v>94</v>
      </c>
      <c r="E10" s="3" t="s">
        <v>93</v>
      </c>
      <c r="F10" s="3" t="s">
        <v>37</v>
      </c>
      <c r="G10" s="3" t="s">
        <v>38</v>
      </c>
      <c r="H10" s="3" t="s">
        <v>41</v>
      </c>
    </row>
    <row r="11" spans="1:8" ht="33" x14ac:dyDescent="0.3">
      <c r="A11" s="6" t="s">
        <v>742</v>
      </c>
      <c r="B11" s="6" t="s">
        <v>34</v>
      </c>
      <c r="C11" s="6" t="s">
        <v>88</v>
      </c>
      <c r="D11" s="3" t="s">
        <v>97</v>
      </c>
      <c r="E11" s="3" t="s">
        <v>96</v>
      </c>
      <c r="F11" s="3" t="s">
        <v>58</v>
      </c>
      <c r="G11" s="3" t="s">
        <v>38</v>
      </c>
      <c r="H11" s="3" t="s">
        <v>99</v>
      </c>
    </row>
    <row r="12" spans="1:8" ht="49.5" x14ac:dyDescent="0.3">
      <c r="A12" s="6" t="s">
        <v>742</v>
      </c>
      <c r="B12" s="6" t="s">
        <v>34</v>
      </c>
      <c r="C12" s="6" t="s">
        <v>104</v>
      </c>
      <c r="D12" s="3" t="s">
        <v>106</v>
      </c>
      <c r="E12" s="3" t="s">
        <v>105</v>
      </c>
      <c r="F12" s="3" t="s">
        <v>37</v>
      </c>
      <c r="G12" s="3" t="s">
        <v>38</v>
      </c>
      <c r="H12" s="3" t="s">
        <v>41</v>
      </c>
    </row>
    <row r="13" spans="1:8" ht="33" x14ac:dyDescent="0.3">
      <c r="A13" s="6" t="s">
        <v>742</v>
      </c>
      <c r="B13" s="6" t="s">
        <v>34</v>
      </c>
      <c r="C13" s="6" t="s">
        <v>108</v>
      </c>
      <c r="D13" s="3" t="s">
        <v>81</v>
      </c>
      <c r="E13" s="3" t="s">
        <v>109</v>
      </c>
      <c r="F13" s="3" t="s">
        <v>80</v>
      </c>
      <c r="G13" s="3" t="s">
        <v>38</v>
      </c>
      <c r="H13" s="3" t="s">
        <v>83</v>
      </c>
    </row>
    <row r="14" spans="1:8" ht="33" x14ac:dyDescent="0.3">
      <c r="A14" s="6" t="s">
        <v>742</v>
      </c>
      <c r="B14" s="6" t="s">
        <v>34</v>
      </c>
      <c r="C14" s="6" t="s">
        <v>108</v>
      </c>
      <c r="D14" s="3" t="s">
        <v>81</v>
      </c>
      <c r="E14" s="3" t="s">
        <v>110</v>
      </c>
      <c r="F14" s="3" t="s">
        <v>80</v>
      </c>
      <c r="G14" s="3" t="s">
        <v>38</v>
      </c>
      <c r="H14" s="3" t="s">
        <v>83</v>
      </c>
    </row>
    <row r="15" spans="1:8" ht="49.5" x14ac:dyDescent="0.3">
      <c r="A15" s="6" t="s">
        <v>742</v>
      </c>
      <c r="B15" s="6" t="s">
        <v>34</v>
      </c>
      <c r="C15" s="6" t="s">
        <v>108</v>
      </c>
      <c r="D15" s="3" t="s">
        <v>113</v>
      </c>
      <c r="E15" s="3" t="s">
        <v>112</v>
      </c>
      <c r="F15" s="3" t="s">
        <v>37</v>
      </c>
      <c r="G15" s="3" t="s">
        <v>38</v>
      </c>
      <c r="H15" s="3" t="s">
        <v>41</v>
      </c>
    </row>
    <row r="16" spans="1:8" ht="33" x14ac:dyDescent="0.3">
      <c r="A16" s="6" t="s">
        <v>742</v>
      </c>
      <c r="B16" s="6" t="s">
        <v>34</v>
      </c>
      <c r="C16" s="6" t="s">
        <v>115</v>
      </c>
      <c r="D16" s="3" t="s">
        <v>46</v>
      </c>
      <c r="E16" s="3" t="s">
        <v>116</v>
      </c>
      <c r="F16" s="3" t="s">
        <v>44</v>
      </c>
      <c r="G16" s="3" t="s">
        <v>38</v>
      </c>
      <c r="H16" s="3" t="s">
        <v>77</v>
      </c>
    </row>
    <row r="17" spans="1:8" ht="49.5" x14ac:dyDescent="0.3">
      <c r="A17" s="6" t="s">
        <v>742</v>
      </c>
      <c r="B17" s="6" t="s">
        <v>34</v>
      </c>
      <c r="C17" s="6" t="s">
        <v>118</v>
      </c>
      <c r="D17" s="3" t="s">
        <v>120</v>
      </c>
      <c r="E17" s="3" t="s">
        <v>119</v>
      </c>
      <c r="F17" s="3" t="s">
        <v>37</v>
      </c>
      <c r="G17" s="3" t="s">
        <v>38</v>
      </c>
      <c r="H17" s="3" t="s">
        <v>41</v>
      </c>
    </row>
    <row r="18" spans="1:8" ht="33" x14ac:dyDescent="0.3">
      <c r="A18" s="6" t="s">
        <v>742</v>
      </c>
      <c r="B18" s="6" t="s">
        <v>34</v>
      </c>
      <c r="C18" s="6" t="s">
        <v>118</v>
      </c>
      <c r="D18" s="3" t="s">
        <v>126</v>
      </c>
      <c r="E18" s="3" t="s">
        <v>125</v>
      </c>
      <c r="F18" s="3" t="s">
        <v>80</v>
      </c>
      <c r="G18" s="3" t="s">
        <v>38</v>
      </c>
      <c r="H18" s="3" t="s">
        <v>83</v>
      </c>
    </row>
    <row r="19" spans="1:8" ht="33" x14ac:dyDescent="0.3">
      <c r="A19" s="6" t="s">
        <v>742</v>
      </c>
      <c r="B19" s="6" t="s">
        <v>34</v>
      </c>
      <c r="C19" s="6" t="s">
        <v>149</v>
      </c>
      <c r="D19" s="3" t="s">
        <v>147</v>
      </c>
      <c r="E19" s="3" t="s">
        <v>150</v>
      </c>
      <c r="F19" s="3" t="s">
        <v>51</v>
      </c>
      <c r="G19" s="3" t="s">
        <v>38</v>
      </c>
      <c r="H19" s="3" t="s">
        <v>92</v>
      </c>
    </row>
    <row r="20" spans="1:8" ht="49.5" x14ac:dyDescent="0.3">
      <c r="A20" s="6" t="s">
        <v>742</v>
      </c>
      <c r="B20" s="6" t="s">
        <v>34</v>
      </c>
      <c r="C20" s="6" t="s">
        <v>149</v>
      </c>
      <c r="D20" s="3" t="s">
        <v>39</v>
      </c>
      <c r="E20" s="3" t="s">
        <v>152</v>
      </c>
      <c r="F20" s="3" t="s">
        <v>37</v>
      </c>
      <c r="G20" s="3" t="s">
        <v>38</v>
      </c>
      <c r="H20" s="3" t="s">
        <v>41</v>
      </c>
    </row>
    <row r="21" spans="1:8" ht="49.5" x14ac:dyDescent="0.3">
      <c r="A21" s="6" t="s">
        <v>742</v>
      </c>
      <c r="B21" s="6" t="s">
        <v>34</v>
      </c>
      <c r="C21" s="6" t="s">
        <v>149</v>
      </c>
      <c r="D21" s="3" t="s">
        <v>160</v>
      </c>
      <c r="E21" s="3" t="s">
        <v>159</v>
      </c>
      <c r="F21" s="3" t="s">
        <v>37</v>
      </c>
      <c r="G21" s="3" t="s">
        <v>38</v>
      </c>
      <c r="H21" s="3" t="s">
        <v>41</v>
      </c>
    </row>
    <row r="22" spans="1:8" ht="33" x14ac:dyDescent="0.3">
      <c r="A22" s="6" t="s">
        <v>742</v>
      </c>
      <c r="B22" s="6" t="s">
        <v>34</v>
      </c>
      <c r="C22" s="6" t="s">
        <v>162</v>
      </c>
      <c r="D22" s="3" t="s">
        <v>97</v>
      </c>
      <c r="E22" s="3" t="s">
        <v>171</v>
      </c>
      <c r="F22" s="3" t="s">
        <v>58</v>
      </c>
      <c r="G22" s="3" t="s">
        <v>38</v>
      </c>
      <c r="H22" s="3" t="s">
        <v>99</v>
      </c>
    </row>
    <row r="23" spans="1:8" ht="33" x14ac:dyDescent="0.3">
      <c r="A23" s="6" t="s">
        <v>742</v>
      </c>
      <c r="B23" s="6" t="s">
        <v>34</v>
      </c>
      <c r="C23" s="6" t="s">
        <v>173</v>
      </c>
      <c r="D23" s="3" t="s">
        <v>90</v>
      </c>
      <c r="E23" s="3" t="s">
        <v>174</v>
      </c>
      <c r="F23" s="3" t="s">
        <v>51</v>
      </c>
      <c r="G23" s="3" t="s">
        <v>38</v>
      </c>
      <c r="H23" s="3" t="s">
        <v>92</v>
      </c>
    </row>
    <row r="24" spans="1:8" ht="49.5" x14ac:dyDescent="0.3">
      <c r="A24" s="6" t="s">
        <v>742</v>
      </c>
      <c r="B24" s="6" t="s">
        <v>34</v>
      </c>
      <c r="C24" s="6" t="s">
        <v>175</v>
      </c>
      <c r="D24" s="3" t="s">
        <v>177</v>
      </c>
      <c r="E24" s="3" t="s">
        <v>176</v>
      </c>
      <c r="F24" s="3" t="s">
        <v>37</v>
      </c>
      <c r="G24" s="3" t="s">
        <v>38</v>
      </c>
      <c r="H24" s="3" t="s">
        <v>41</v>
      </c>
    </row>
    <row r="25" spans="1:8" ht="49.5" x14ac:dyDescent="0.3">
      <c r="A25" s="6" t="s">
        <v>742</v>
      </c>
      <c r="B25" s="6" t="s">
        <v>34</v>
      </c>
      <c r="C25" s="6" t="s">
        <v>181</v>
      </c>
      <c r="D25" s="3" t="s">
        <v>39</v>
      </c>
      <c r="E25" s="3" t="s">
        <v>182</v>
      </c>
      <c r="F25" s="3" t="s">
        <v>37</v>
      </c>
      <c r="G25" s="3" t="s">
        <v>38</v>
      </c>
      <c r="H25" s="3" t="s">
        <v>41</v>
      </c>
    </row>
    <row r="26" spans="1:8" ht="49.5" x14ac:dyDescent="0.3">
      <c r="A26" s="6" t="s">
        <v>742</v>
      </c>
      <c r="B26" s="6" t="s">
        <v>34</v>
      </c>
      <c r="C26" s="6" t="s">
        <v>183</v>
      </c>
      <c r="D26" s="3" t="s">
        <v>185</v>
      </c>
      <c r="E26" s="3" t="s">
        <v>184</v>
      </c>
      <c r="F26" s="3" t="s">
        <v>44</v>
      </c>
      <c r="G26" s="3" t="s">
        <v>38</v>
      </c>
      <c r="H26" s="3" t="s">
        <v>41</v>
      </c>
    </row>
    <row r="27" spans="1:8" ht="33" x14ac:dyDescent="0.3">
      <c r="A27" s="6" t="s">
        <v>742</v>
      </c>
      <c r="B27" s="6" t="s">
        <v>34</v>
      </c>
      <c r="C27" s="6" t="s">
        <v>187</v>
      </c>
      <c r="D27" s="3" t="s">
        <v>189</v>
      </c>
      <c r="E27" s="3" t="s">
        <v>188</v>
      </c>
      <c r="F27" s="3" t="s">
        <v>44</v>
      </c>
      <c r="G27" s="3" t="s">
        <v>38</v>
      </c>
      <c r="H27" s="3" t="s">
        <v>77</v>
      </c>
    </row>
    <row r="28" spans="1:8" ht="49.5" x14ac:dyDescent="0.3">
      <c r="A28" s="6" t="s">
        <v>742</v>
      </c>
      <c r="B28" s="6" t="s">
        <v>34</v>
      </c>
      <c r="C28" s="6" t="s">
        <v>190</v>
      </c>
      <c r="D28" s="3" t="s">
        <v>195</v>
      </c>
      <c r="E28" s="3" t="s">
        <v>194</v>
      </c>
      <c r="F28" s="3" t="s">
        <v>37</v>
      </c>
      <c r="G28" s="3" t="s">
        <v>38</v>
      </c>
      <c r="H28" s="3" t="s">
        <v>41</v>
      </c>
    </row>
    <row r="29" spans="1:8" ht="33" x14ac:dyDescent="0.3">
      <c r="A29" s="6" t="s">
        <v>742</v>
      </c>
      <c r="B29" s="6" t="s">
        <v>34</v>
      </c>
      <c r="C29" s="6" t="s">
        <v>190</v>
      </c>
      <c r="D29" s="3" t="s">
        <v>189</v>
      </c>
      <c r="E29" s="3" t="s">
        <v>197</v>
      </c>
      <c r="F29" s="3" t="s">
        <v>44</v>
      </c>
      <c r="G29" s="3" t="s">
        <v>38</v>
      </c>
      <c r="H29" s="3" t="s">
        <v>77</v>
      </c>
    </row>
    <row r="30" spans="1:8" ht="49.5" x14ac:dyDescent="0.3">
      <c r="A30" s="6" t="s">
        <v>742</v>
      </c>
      <c r="B30" s="6" t="s">
        <v>34</v>
      </c>
      <c r="C30" s="6" t="s">
        <v>199</v>
      </c>
      <c r="D30" s="3" t="s">
        <v>201</v>
      </c>
      <c r="E30" s="3" t="s">
        <v>200</v>
      </c>
      <c r="F30" s="3" t="s">
        <v>37</v>
      </c>
      <c r="G30" s="3" t="s">
        <v>38</v>
      </c>
      <c r="H30" s="3" t="s">
        <v>41</v>
      </c>
    </row>
    <row r="31" spans="1:8" ht="49.5" x14ac:dyDescent="0.3">
      <c r="A31" s="6" t="s">
        <v>742</v>
      </c>
      <c r="B31" s="6" t="s">
        <v>34</v>
      </c>
      <c r="C31" s="6" t="s">
        <v>203</v>
      </c>
      <c r="D31" s="3" t="s">
        <v>94</v>
      </c>
      <c r="E31" s="3" t="s">
        <v>204</v>
      </c>
      <c r="F31" s="3" t="s">
        <v>37</v>
      </c>
      <c r="G31" s="3" t="s">
        <v>38</v>
      </c>
      <c r="H31" s="3" t="s">
        <v>41</v>
      </c>
    </row>
    <row r="32" spans="1:8" ht="49.5" x14ac:dyDescent="0.3">
      <c r="A32" s="6" t="s">
        <v>742</v>
      </c>
      <c r="B32" s="6" t="s">
        <v>34</v>
      </c>
      <c r="C32" s="6" t="s">
        <v>205</v>
      </c>
      <c r="D32" s="3" t="s">
        <v>212</v>
      </c>
      <c r="E32" s="3" t="s">
        <v>211</v>
      </c>
      <c r="F32" s="3" t="s">
        <v>37</v>
      </c>
      <c r="G32" s="3" t="s">
        <v>38</v>
      </c>
      <c r="H32" s="3" t="s">
        <v>41</v>
      </c>
    </row>
    <row r="33" spans="1:8" ht="49.5" x14ac:dyDescent="0.3">
      <c r="A33" s="6" t="s">
        <v>742</v>
      </c>
      <c r="B33" s="6" t="s">
        <v>34</v>
      </c>
      <c r="C33" s="6" t="s">
        <v>214</v>
      </c>
      <c r="D33" s="3" t="s">
        <v>216</v>
      </c>
      <c r="E33" s="3" t="s">
        <v>215</v>
      </c>
      <c r="F33" s="3" t="s">
        <v>37</v>
      </c>
      <c r="G33" s="3" t="s">
        <v>38</v>
      </c>
      <c r="H33" s="3" t="s">
        <v>218</v>
      </c>
    </row>
    <row r="34" spans="1:8" ht="49.5" x14ac:dyDescent="0.3">
      <c r="A34" s="6" t="s">
        <v>742</v>
      </c>
      <c r="B34" s="6" t="s">
        <v>34</v>
      </c>
      <c r="C34" s="6" t="s">
        <v>219</v>
      </c>
      <c r="D34" s="3" t="s">
        <v>221</v>
      </c>
      <c r="E34" s="3" t="s">
        <v>220</v>
      </c>
      <c r="F34" s="3" t="s">
        <v>37</v>
      </c>
      <c r="G34" s="3" t="s">
        <v>38</v>
      </c>
      <c r="H34" s="3" t="s">
        <v>223</v>
      </c>
    </row>
    <row r="35" spans="1:8" ht="49.5" x14ac:dyDescent="0.3">
      <c r="A35" s="6" t="s">
        <v>742</v>
      </c>
      <c r="B35" s="6" t="s">
        <v>34</v>
      </c>
      <c r="C35" s="6" t="s">
        <v>224</v>
      </c>
      <c r="D35" s="3" t="s">
        <v>226</v>
      </c>
      <c r="E35" s="3" t="s">
        <v>225</v>
      </c>
      <c r="F35" s="3" t="s">
        <v>37</v>
      </c>
      <c r="G35" s="3" t="s">
        <v>38</v>
      </c>
      <c r="H35" s="3" t="s">
        <v>41</v>
      </c>
    </row>
    <row r="36" spans="1:8" ht="33" x14ac:dyDescent="0.3">
      <c r="A36" s="6" t="s">
        <v>742</v>
      </c>
      <c r="B36" s="6" t="s">
        <v>34</v>
      </c>
      <c r="C36" s="6" t="s">
        <v>232</v>
      </c>
      <c r="D36" s="3" t="s">
        <v>90</v>
      </c>
      <c r="E36" s="3" t="s">
        <v>233</v>
      </c>
      <c r="F36" s="3" t="s">
        <v>51</v>
      </c>
      <c r="G36" s="3" t="s">
        <v>38</v>
      </c>
      <c r="H36" s="3" t="s">
        <v>92</v>
      </c>
    </row>
    <row r="37" spans="1:8" ht="33" x14ac:dyDescent="0.3">
      <c r="A37" s="6" t="s">
        <v>742</v>
      </c>
      <c r="B37" s="6" t="s">
        <v>34</v>
      </c>
      <c r="C37" s="6" t="s">
        <v>234</v>
      </c>
      <c r="D37" s="3" t="s">
        <v>236</v>
      </c>
      <c r="E37" s="3" t="s">
        <v>235</v>
      </c>
      <c r="F37" s="3" t="s">
        <v>58</v>
      </c>
      <c r="G37" s="3" t="s">
        <v>38</v>
      </c>
      <c r="H37" s="3" t="s">
        <v>99</v>
      </c>
    </row>
    <row r="38" spans="1:8" ht="33" x14ac:dyDescent="0.3">
      <c r="A38" s="6" t="s">
        <v>742</v>
      </c>
      <c r="B38" s="6" t="s">
        <v>34</v>
      </c>
      <c r="C38" s="6" t="s">
        <v>238</v>
      </c>
      <c r="D38" s="3" t="s">
        <v>240</v>
      </c>
      <c r="E38" s="3" t="s">
        <v>239</v>
      </c>
      <c r="F38" s="3" t="s">
        <v>58</v>
      </c>
      <c r="G38" s="3" t="s">
        <v>38</v>
      </c>
      <c r="H38" s="3" t="s">
        <v>242</v>
      </c>
    </row>
    <row r="39" spans="1:8" ht="33" x14ac:dyDescent="0.3">
      <c r="A39" s="6" t="s">
        <v>742</v>
      </c>
      <c r="B39" s="6" t="s">
        <v>34</v>
      </c>
      <c r="C39" s="6" t="s">
        <v>243</v>
      </c>
      <c r="D39" s="3" t="s">
        <v>245</v>
      </c>
      <c r="E39" s="3" t="s">
        <v>244</v>
      </c>
      <c r="F39" s="3" t="s">
        <v>58</v>
      </c>
      <c r="G39" s="3" t="s">
        <v>38</v>
      </c>
      <c r="H39" s="3" t="s">
        <v>99</v>
      </c>
    </row>
    <row r="40" spans="1:8" ht="33" x14ac:dyDescent="0.3">
      <c r="A40" s="6" t="s">
        <v>742</v>
      </c>
      <c r="B40" s="6" t="s">
        <v>34</v>
      </c>
      <c r="C40" s="6" t="s">
        <v>246</v>
      </c>
      <c r="D40" s="3" t="s">
        <v>248</v>
      </c>
      <c r="E40" s="3" t="s">
        <v>247</v>
      </c>
      <c r="F40" s="3" t="s">
        <v>167</v>
      </c>
      <c r="G40" s="3" t="s">
        <v>38</v>
      </c>
      <c r="H40" s="3" t="s">
        <v>249</v>
      </c>
    </row>
    <row r="41" spans="1:8" ht="49.5" x14ac:dyDescent="0.3">
      <c r="A41" s="6" t="s">
        <v>742</v>
      </c>
      <c r="B41" s="6" t="s">
        <v>34</v>
      </c>
      <c r="C41" s="6" t="s">
        <v>253</v>
      </c>
      <c r="D41" s="3" t="s">
        <v>255</v>
      </c>
      <c r="E41" s="3" t="s">
        <v>254</v>
      </c>
      <c r="F41" s="3" t="s">
        <v>37</v>
      </c>
      <c r="G41" s="3" t="s">
        <v>38</v>
      </c>
      <c r="H41" s="3" t="s">
        <v>41</v>
      </c>
    </row>
    <row r="42" spans="1:8" ht="49.5" x14ac:dyDescent="0.3">
      <c r="A42" s="6" t="s">
        <v>742</v>
      </c>
      <c r="B42" s="6" t="s">
        <v>34</v>
      </c>
      <c r="C42" s="6" t="s">
        <v>257</v>
      </c>
      <c r="D42" s="3" t="s">
        <v>259</v>
      </c>
      <c r="E42" s="3" t="s">
        <v>258</v>
      </c>
      <c r="F42" s="3" t="s">
        <v>37</v>
      </c>
      <c r="G42" s="3" t="s">
        <v>38</v>
      </c>
      <c r="H42" s="3" t="s">
        <v>41</v>
      </c>
    </row>
    <row r="43" spans="1:8" ht="49.5" x14ac:dyDescent="0.3">
      <c r="A43" s="6" t="s">
        <v>742</v>
      </c>
      <c r="B43" s="6" t="s">
        <v>34</v>
      </c>
      <c r="C43" s="6" t="s">
        <v>260</v>
      </c>
      <c r="D43" s="3" t="s">
        <v>262</v>
      </c>
      <c r="E43" s="3" t="s">
        <v>261</v>
      </c>
      <c r="F43" s="3" t="s">
        <v>37</v>
      </c>
      <c r="G43" s="3" t="s">
        <v>38</v>
      </c>
      <c r="H43" s="3" t="s">
        <v>41</v>
      </c>
    </row>
    <row r="44" spans="1:8" ht="49.5" x14ac:dyDescent="0.3">
      <c r="A44" s="6" t="s">
        <v>742</v>
      </c>
      <c r="B44" s="6" t="s">
        <v>34</v>
      </c>
      <c r="C44" s="6" t="s">
        <v>264</v>
      </c>
      <c r="D44" s="3" t="s">
        <v>106</v>
      </c>
      <c r="E44" s="3" t="s">
        <v>265</v>
      </c>
      <c r="F44" s="3" t="s">
        <v>37</v>
      </c>
      <c r="G44" s="3" t="s">
        <v>38</v>
      </c>
      <c r="H44" s="3" t="s">
        <v>41</v>
      </c>
    </row>
    <row r="45" spans="1:8" ht="49.5" x14ac:dyDescent="0.3">
      <c r="A45" s="6" t="s">
        <v>742</v>
      </c>
      <c r="B45" s="6" t="s">
        <v>34</v>
      </c>
      <c r="C45" s="6" t="s">
        <v>266</v>
      </c>
      <c r="D45" s="3" t="s">
        <v>94</v>
      </c>
      <c r="E45" s="3" t="s">
        <v>267</v>
      </c>
      <c r="F45" s="3" t="s">
        <v>37</v>
      </c>
      <c r="G45" s="3" t="s">
        <v>38</v>
      </c>
      <c r="H45" s="3" t="s">
        <v>41</v>
      </c>
    </row>
    <row r="46" spans="1:8" ht="33" x14ac:dyDescent="0.3">
      <c r="A46" s="6" t="s">
        <v>742</v>
      </c>
      <c r="B46" s="6" t="s">
        <v>34</v>
      </c>
      <c r="C46" s="6" t="s">
        <v>268</v>
      </c>
      <c r="D46" s="3" t="s">
        <v>53</v>
      </c>
      <c r="E46" s="3" t="s">
        <v>269</v>
      </c>
      <c r="F46" s="3" t="s">
        <v>51</v>
      </c>
      <c r="G46" s="3" t="s">
        <v>38</v>
      </c>
      <c r="H46" s="3" t="s">
        <v>92</v>
      </c>
    </row>
    <row r="47" spans="1:8" ht="33" x14ac:dyDescent="0.3">
      <c r="A47" s="6" t="s">
        <v>743</v>
      </c>
      <c r="B47" s="6" t="s">
        <v>271</v>
      </c>
      <c r="C47" s="6">
        <v>8</v>
      </c>
      <c r="D47" s="3" t="s">
        <v>273</v>
      </c>
      <c r="E47" s="3" t="s">
        <v>272</v>
      </c>
      <c r="F47" s="3" t="s">
        <v>44</v>
      </c>
      <c r="G47" s="3" t="s">
        <v>45</v>
      </c>
      <c r="H47" s="3" t="s">
        <v>274</v>
      </c>
    </row>
    <row r="48" spans="1:8" ht="33" x14ac:dyDescent="0.3">
      <c r="A48" s="6" t="s">
        <v>743</v>
      </c>
      <c r="B48" s="6" t="s">
        <v>271</v>
      </c>
      <c r="C48" s="6">
        <v>8</v>
      </c>
      <c r="D48" s="3" t="s">
        <v>276</v>
      </c>
      <c r="E48" s="3" t="s">
        <v>276</v>
      </c>
      <c r="F48" s="3" t="s">
        <v>51</v>
      </c>
      <c r="G48" s="3" t="s">
        <v>277</v>
      </c>
      <c r="H48" s="3" t="s">
        <v>278</v>
      </c>
    </row>
    <row r="49" spans="1:8" ht="33" x14ac:dyDescent="0.3">
      <c r="A49" s="6" t="s">
        <v>743</v>
      </c>
      <c r="B49" s="6" t="s">
        <v>271</v>
      </c>
      <c r="C49" s="6">
        <v>11</v>
      </c>
      <c r="D49" s="3" t="s">
        <v>284</v>
      </c>
      <c r="E49" s="3" t="s">
        <v>283</v>
      </c>
      <c r="F49" s="3" t="s">
        <v>44</v>
      </c>
      <c r="G49" s="3" t="s">
        <v>277</v>
      </c>
      <c r="H49" s="3" t="s">
        <v>285</v>
      </c>
    </row>
    <row r="50" spans="1:8" ht="33" x14ac:dyDescent="0.3">
      <c r="A50" s="6" t="s">
        <v>743</v>
      </c>
      <c r="B50" s="6" t="s">
        <v>271</v>
      </c>
      <c r="C50" s="6">
        <v>11</v>
      </c>
      <c r="D50" s="3" t="s">
        <v>287</v>
      </c>
      <c r="E50" s="3" t="s">
        <v>286</v>
      </c>
      <c r="F50" s="3" t="s">
        <v>51</v>
      </c>
      <c r="G50" s="3" t="s">
        <v>85</v>
      </c>
      <c r="H50" s="3" t="s">
        <v>288</v>
      </c>
    </row>
    <row r="51" spans="1:8" ht="33" x14ac:dyDescent="0.3">
      <c r="A51" s="6" t="s">
        <v>743</v>
      </c>
      <c r="B51" s="6" t="s">
        <v>271</v>
      </c>
      <c r="C51" s="6">
        <v>18</v>
      </c>
      <c r="D51" s="3" t="s">
        <v>296</v>
      </c>
      <c r="E51" s="3" t="s">
        <v>295</v>
      </c>
      <c r="F51" s="3" t="s">
        <v>44</v>
      </c>
      <c r="G51" s="3" t="s">
        <v>207</v>
      </c>
      <c r="H51" s="3" t="s">
        <v>297</v>
      </c>
    </row>
    <row r="52" spans="1:8" ht="33" x14ac:dyDescent="0.3">
      <c r="A52" s="6" t="s">
        <v>743</v>
      </c>
      <c r="B52" s="6" t="s">
        <v>271</v>
      </c>
      <c r="C52" s="6">
        <v>20</v>
      </c>
      <c r="D52" s="3" t="s">
        <v>299</v>
      </c>
      <c r="E52" s="3" t="s">
        <v>298</v>
      </c>
      <c r="F52" s="3" t="s">
        <v>167</v>
      </c>
      <c r="G52" s="3" t="s">
        <v>277</v>
      </c>
      <c r="H52" s="3" t="s">
        <v>300</v>
      </c>
    </row>
    <row r="53" spans="1:8" ht="33" x14ac:dyDescent="0.3">
      <c r="A53" s="6" t="s">
        <v>743</v>
      </c>
      <c r="B53" s="6" t="s">
        <v>271</v>
      </c>
      <c r="C53" s="6">
        <v>20</v>
      </c>
      <c r="D53" s="3" t="s">
        <v>302</v>
      </c>
      <c r="E53" s="3" t="s">
        <v>301</v>
      </c>
      <c r="F53" s="3" t="s">
        <v>44</v>
      </c>
      <c r="G53" s="3" t="s">
        <v>207</v>
      </c>
      <c r="H53" s="3" t="s">
        <v>303</v>
      </c>
    </row>
    <row r="54" spans="1:8" ht="33" x14ac:dyDescent="0.3">
      <c r="A54" s="6" t="s">
        <v>743</v>
      </c>
      <c r="B54" s="6" t="s">
        <v>271</v>
      </c>
      <c r="C54" s="6">
        <v>22</v>
      </c>
      <c r="D54" s="3" t="s">
        <v>305</v>
      </c>
      <c r="E54" s="3" t="s">
        <v>304</v>
      </c>
      <c r="F54" s="3" t="s">
        <v>167</v>
      </c>
      <c r="G54" s="3" t="s">
        <v>207</v>
      </c>
      <c r="H54" s="3" t="s">
        <v>306</v>
      </c>
    </row>
    <row r="55" spans="1:8" ht="33" x14ac:dyDescent="0.3">
      <c r="A55" s="6" t="s">
        <v>743</v>
      </c>
      <c r="B55" s="6" t="s">
        <v>271</v>
      </c>
      <c r="C55" s="6">
        <v>23</v>
      </c>
      <c r="D55" s="3" t="s">
        <v>308</v>
      </c>
      <c r="E55" s="3" t="s">
        <v>307</v>
      </c>
      <c r="F55" s="3" t="s">
        <v>51</v>
      </c>
      <c r="G55" s="3" t="s">
        <v>52</v>
      </c>
      <c r="H55" s="3" t="s">
        <v>309</v>
      </c>
    </row>
    <row r="56" spans="1:8" ht="33" x14ac:dyDescent="0.3">
      <c r="A56" s="6" t="s">
        <v>743</v>
      </c>
      <c r="B56" s="6" t="s">
        <v>271</v>
      </c>
      <c r="C56" s="6">
        <v>27</v>
      </c>
      <c r="D56" s="3" t="s">
        <v>314</v>
      </c>
      <c r="E56" s="3" t="s">
        <v>313</v>
      </c>
      <c r="F56" s="3" t="s">
        <v>37</v>
      </c>
      <c r="G56" s="3" t="s">
        <v>85</v>
      </c>
      <c r="H56" s="3" t="s">
        <v>315</v>
      </c>
    </row>
    <row r="57" spans="1:8" ht="33" x14ac:dyDescent="0.3">
      <c r="A57" s="6" t="s">
        <v>743</v>
      </c>
      <c r="B57" s="6" t="s">
        <v>271</v>
      </c>
      <c r="C57" s="6">
        <v>31</v>
      </c>
      <c r="D57" s="3" t="s">
        <v>317</v>
      </c>
      <c r="E57" s="3" t="s">
        <v>316</v>
      </c>
      <c r="F57" s="3" t="s">
        <v>37</v>
      </c>
      <c r="G57" s="3" t="s">
        <v>85</v>
      </c>
      <c r="H57" s="3" t="s">
        <v>318</v>
      </c>
    </row>
    <row r="58" spans="1:8" ht="33" x14ac:dyDescent="0.3">
      <c r="A58" s="6" t="s">
        <v>743</v>
      </c>
      <c r="B58" s="6" t="s">
        <v>271</v>
      </c>
      <c r="C58" s="6">
        <v>36</v>
      </c>
      <c r="D58" s="3" t="s">
        <v>322</v>
      </c>
      <c r="E58" s="3" t="s">
        <v>322</v>
      </c>
      <c r="F58" s="3" t="s">
        <v>44</v>
      </c>
      <c r="G58" s="3" t="s">
        <v>277</v>
      </c>
      <c r="H58" s="3" t="s">
        <v>323</v>
      </c>
    </row>
    <row r="59" spans="1:8" ht="33" x14ac:dyDescent="0.3">
      <c r="A59" s="6" t="s">
        <v>743</v>
      </c>
      <c r="B59" s="6" t="s">
        <v>271</v>
      </c>
      <c r="C59" s="6">
        <v>40</v>
      </c>
      <c r="D59" s="3" t="s">
        <v>328</v>
      </c>
      <c r="E59" s="3" t="s">
        <v>327</v>
      </c>
      <c r="F59" s="3" t="s">
        <v>167</v>
      </c>
      <c r="G59" s="3" t="s">
        <v>45</v>
      </c>
      <c r="H59" s="3" t="s">
        <v>329</v>
      </c>
    </row>
    <row r="60" spans="1:8" ht="33" x14ac:dyDescent="0.3">
      <c r="A60" s="6" t="s">
        <v>743</v>
      </c>
      <c r="B60" s="6" t="s">
        <v>271</v>
      </c>
      <c r="C60" s="6">
        <v>44</v>
      </c>
      <c r="D60" s="3" t="s">
        <v>331</v>
      </c>
      <c r="E60" s="3" t="s">
        <v>330</v>
      </c>
      <c r="F60" s="3" t="s">
        <v>167</v>
      </c>
      <c r="G60" s="3" t="s">
        <v>45</v>
      </c>
      <c r="H60" s="3" t="s">
        <v>332</v>
      </c>
    </row>
    <row r="61" spans="1:8" ht="33" x14ac:dyDescent="0.3">
      <c r="A61" s="6" t="s">
        <v>743</v>
      </c>
      <c r="B61" s="6" t="s">
        <v>271</v>
      </c>
      <c r="C61" s="6">
        <v>45</v>
      </c>
      <c r="D61" s="3" t="s">
        <v>334</v>
      </c>
      <c r="E61" s="3" t="s">
        <v>333</v>
      </c>
      <c r="F61" s="3" t="s">
        <v>37</v>
      </c>
      <c r="G61" s="3" t="s">
        <v>207</v>
      </c>
      <c r="H61" s="3" t="s">
        <v>335</v>
      </c>
    </row>
    <row r="62" spans="1:8" ht="33" x14ac:dyDescent="0.3">
      <c r="A62" s="6" t="s">
        <v>743</v>
      </c>
      <c r="B62" s="6" t="s">
        <v>271</v>
      </c>
      <c r="C62" s="6">
        <v>51</v>
      </c>
      <c r="D62" s="3" t="s">
        <v>337</v>
      </c>
      <c r="E62" s="3" t="s">
        <v>336</v>
      </c>
      <c r="F62" s="3" t="s">
        <v>44</v>
      </c>
      <c r="G62" s="3" t="s">
        <v>207</v>
      </c>
      <c r="H62" s="3" t="s">
        <v>338</v>
      </c>
    </row>
    <row r="63" spans="1:8" ht="33" x14ac:dyDescent="0.3">
      <c r="A63" s="6" t="s">
        <v>743</v>
      </c>
      <c r="B63" s="6" t="s">
        <v>271</v>
      </c>
      <c r="C63" s="6">
        <v>58</v>
      </c>
      <c r="D63" s="3" t="s">
        <v>339</v>
      </c>
      <c r="E63" s="3" t="s">
        <v>339</v>
      </c>
      <c r="F63" s="3" t="s">
        <v>37</v>
      </c>
      <c r="G63" s="3" t="s">
        <v>277</v>
      </c>
      <c r="H63" s="3" t="s">
        <v>340</v>
      </c>
    </row>
    <row r="64" spans="1:8" ht="33" x14ac:dyDescent="0.3">
      <c r="A64" s="6" t="s">
        <v>743</v>
      </c>
      <c r="B64" s="6" t="s">
        <v>271</v>
      </c>
      <c r="C64" s="6">
        <v>67</v>
      </c>
      <c r="D64" s="3" t="s">
        <v>344</v>
      </c>
      <c r="E64" s="3" t="s">
        <v>343</v>
      </c>
      <c r="F64" s="3" t="s">
        <v>37</v>
      </c>
      <c r="G64" s="3" t="s">
        <v>85</v>
      </c>
      <c r="H64" s="3" t="s">
        <v>345</v>
      </c>
    </row>
    <row r="65" spans="1:8" ht="33" x14ac:dyDescent="0.3">
      <c r="A65" s="6" t="s">
        <v>743</v>
      </c>
      <c r="B65" s="6" t="s">
        <v>271</v>
      </c>
      <c r="C65" s="6">
        <v>78</v>
      </c>
      <c r="D65" s="3" t="s">
        <v>347</v>
      </c>
      <c r="E65" s="3" t="s">
        <v>346</v>
      </c>
      <c r="F65" s="3" t="s">
        <v>51</v>
      </c>
      <c r="G65" s="3" t="s">
        <v>52</v>
      </c>
      <c r="H65" s="3" t="s">
        <v>348</v>
      </c>
    </row>
    <row r="66" spans="1:8" ht="33" x14ac:dyDescent="0.3">
      <c r="A66" s="6" t="s">
        <v>743</v>
      </c>
      <c r="B66" s="6" t="s">
        <v>271</v>
      </c>
      <c r="C66" s="6">
        <v>79</v>
      </c>
      <c r="D66" s="3" t="s">
        <v>350</v>
      </c>
      <c r="E66" s="3" t="s">
        <v>349</v>
      </c>
      <c r="F66" s="3" t="s">
        <v>37</v>
      </c>
      <c r="G66" s="3" t="s">
        <v>85</v>
      </c>
      <c r="H66" s="3" t="s">
        <v>351</v>
      </c>
    </row>
    <row r="67" spans="1:8" ht="33" x14ac:dyDescent="0.3">
      <c r="A67" s="6" t="s">
        <v>743</v>
      </c>
      <c r="B67" s="6" t="s">
        <v>271</v>
      </c>
      <c r="C67" s="6">
        <v>80</v>
      </c>
      <c r="D67" s="3" t="s">
        <v>353</v>
      </c>
      <c r="E67" s="3" t="s">
        <v>352</v>
      </c>
      <c r="F67" s="3" t="s">
        <v>51</v>
      </c>
      <c r="G67" s="3" t="s">
        <v>52</v>
      </c>
      <c r="H67" s="3" t="s">
        <v>354</v>
      </c>
    </row>
    <row r="68" spans="1:8" ht="33" x14ac:dyDescent="0.3">
      <c r="A68" s="6" t="s">
        <v>743</v>
      </c>
      <c r="B68" s="6" t="s">
        <v>358</v>
      </c>
      <c r="C68" s="6">
        <v>15</v>
      </c>
      <c r="D68" s="3" t="s">
        <v>363</v>
      </c>
      <c r="E68" s="3" t="s">
        <v>362</v>
      </c>
      <c r="F68" s="3" t="s">
        <v>44</v>
      </c>
      <c r="G68" s="3" t="s">
        <v>207</v>
      </c>
      <c r="H68" s="3" t="s">
        <v>364</v>
      </c>
    </row>
    <row r="69" spans="1:8" ht="33" x14ac:dyDescent="0.3">
      <c r="A69" s="6" t="s">
        <v>743</v>
      </c>
      <c r="B69" s="6" t="s">
        <v>358</v>
      </c>
      <c r="C69" s="6">
        <v>16</v>
      </c>
      <c r="D69" s="3" t="s">
        <v>365</v>
      </c>
      <c r="E69" s="3" t="s">
        <v>365</v>
      </c>
      <c r="F69" s="3" t="s">
        <v>37</v>
      </c>
      <c r="G69" s="3" t="s">
        <v>277</v>
      </c>
      <c r="H69" s="3" t="s">
        <v>366</v>
      </c>
    </row>
    <row r="70" spans="1:8" ht="33" x14ac:dyDescent="0.3">
      <c r="A70" s="6" t="s">
        <v>743</v>
      </c>
      <c r="B70" s="6" t="s">
        <v>358</v>
      </c>
      <c r="C70" s="6">
        <v>17</v>
      </c>
      <c r="D70" s="3" t="s">
        <v>367</v>
      </c>
      <c r="E70" s="3" t="s">
        <v>367</v>
      </c>
      <c r="F70" s="3" t="s">
        <v>44</v>
      </c>
      <c r="G70" s="3" t="s">
        <v>277</v>
      </c>
      <c r="H70" s="3" t="s">
        <v>368</v>
      </c>
    </row>
    <row r="71" spans="1:8" ht="33" x14ac:dyDescent="0.3">
      <c r="A71" s="6" t="s">
        <v>743</v>
      </c>
      <c r="B71" s="6" t="s">
        <v>358</v>
      </c>
      <c r="C71" s="6">
        <v>33</v>
      </c>
      <c r="D71" s="3" t="s">
        <v>373</v>
      </c>
      <c r="E71" s="3" t="s">
        <v>372</v>
      </c>
      <c r="F71" s="3" t="s">
        <v>37</v>
      </c>
      <c r="G71" s="3" t="s">
        <v>277</v>
      </c>
      <c r="H71" s="3" t="s">
        <v>374</v>
      </c>
    </row>
    <row r="72" spans="1:8" ht="33" x14ac:dyDescent="0.3">
      <c r="A72" s="6" t="s">
        <v>743</v>
      </c>
      <c r="B72" s="6" t="s">
        <v>358</v>
      </c>
      <c r="C72" s="6">
        <v>36</v>
      </c>
      <c r="D72" s="3" t="s">
        <v>376</v>
      </c>
      <c r="E72" s="3" t="s">
        <v>375</v>
      </c>
      <c r="F72" s="3" t="s">
        <v>167</v>
      </c>
      <c r="G72" s="3" t="s">
        <v>207</v>
      </c>
      <c r="H72" s="3" t="s">
        <v>377</v>
      </c>
    </row>
    <row r="73" spans="1:8" ht="33" x14ac:dyDescent="0.3">
      <c r="A73" s="6" t="s">
        <v>743</v>
      </c>
      <c r="B73" s="6" t="s">
        <v>358</v>
      </c>
      <c r="C73" s="6">
        <v>37</v>
      </c>
      <c r="D73" s="3" t="s">
        <v>379</v>
      </c>
      <c r="E73" s="3" t="s">
        <v>378</v>
      </c>
      <c r="F73" s="3" t="s">
        <v>167</v>
      </c>
      <c r="G73" s="3" t="s">
        <v>52</v>
      </c>
      <c r="H73" s="3" t="s">
        <v>380</v>
      </c>
    </row>
    <row r="74" spans="1:8" ht="33" x14ac:dyDescent="0.3">
      <c r="A74" s="6" t="s">
        <v>743</v>
      </c>
      <c r="B74" s="6" t="s">
        <v>358</v>
      </c>
      <c r="C74" s="6">
        <v>194</v>
      </c>
      <c r="D74" s="3" t="s">
        <v>392</v>
      </c>
      <c r="E74" s="3" t="s">
        <v>391</v>
      </c>
      <c r="F74" s="3" t="s">
        <v>44</v>
      </c>
      <c r="G74" s="3" t="s">
        <v>52</v>
      </c>
      <c r="H74" s="3" t="s">
        <v>393</v>
      </c>
    </row>
    <row r="75" spans="1:8" ht="33" x14ac:dyDescent="0.3">
      <c r="A75" s="6" t="s">
        <v>743</v>
      </c>
      <c r="B75" s="6" t="s">
        <v>358</v>
      </c>
      <c r="C75" s="6">
        <v>218</v>
      </c>
      <c r="D75" s="3" t="s">
        <v>404</v>
      </c>
      <c r="E75" s="3" t="s">
        <v>402</v>
      </c>
      <c r="F75" s="3" t="s">
        <v>37</v>
      </c>
      <c r="G75" s="3" t="s">
        <v>403</v>
      </c>
      <c r="H75" s="3" t="s">
        <v>405</v>
      </c>
    </row>
    <row r="76" spans="1:8" ht="33" x14ac:dyDescent="0.3">
      <c r="A76" s="6" t="s">
        <v>743</v>
      </c>
      <c r="B76" s="6" t="s">
        <v>358</v>
      </c>
      <c r="C76" s="6">
        <v>219</v>
      </c>
      <c r="D76" s="3" t="s">
        <v>407</v>
      </c>
      <c r="E76" s="3" t="s">
        <v>406</v>
      </c>
      <c r="F76" s="3" t="s">
        <v>37</v>
      </c>
      <c r="G76" s="3" t="s">
        <v>85</v>
      </c>
      <c r="H76" s="3" t="s">
        <v>408</v>
      </c>
    </row>
    <row r="77" spans="1:8" ht="33" x14ac:dyDescent="0.3">
      <c r="A77" s="6" t="s">
        <v>743</v>
      </c>
      <c r="B77" s="6" t="s">
        <v>358</v>
      </c>
      <c r="C77" s="6">
        <v>259</v>
      </c>
      <c r="D77" s="3" t="s">
        <v>412</v>
      </c>
      <c r="E77" s="3" t="s">
        <v>411</v>
      </c>
      <c r="F77" s="3" t="s">
        <v>37</v>
      </c>
      <c r="G77" s="3" t="s">
        <v>52</v>
      </c>
      <c r="H77" s="3" t="s">
        <v>413</v>
      </c>
    </row>
    <row r="78" spans="1:8" ht="33" x14ac:dyDescent="0.3">
      <c r="A78" s="6" t="s">
        <v>743</v>
      </c>
      <c r="B78" s="6" t="s">
        <v>358</v>
      </c>
      <c r="C78" s="6">
        <v>283</v>
      </c>
      <c r="D78" s="3" t="s">
        <v>415</v>
      </c>
      <c r="E78" s="3" t="s">
        <v>414</v>
      </c>
      <c r="F78" s="3" t="s">
        <v>37</v>
      </c>
      <c r="G78" s="3" t="s">
        <v>85</v>
      </c>
      <c r="H78" s="3" t="s">
        <v>416</v>
      </c>
    </row>
    <row r="79" spans="1:8" ht="33" x14ac:dyDescent="0.3">
      <c r="A79" s="6" t="s">
        <v>743</v>
      </c>
      <c r="B79" s="6" t="s">
        <v>358</v>
      </c>
      <c r="C79" s="6">
        <v>284</v>
      </c>
      <c r="D79" s="3" t="s">
        <v>418</v>
      </c>
      <c r="E79" s="3" t="s">
        <v>417</v>
      </c>
      <c r="F79" s="3" t="s">
        <v>51</v>
      </c>
      <c r="G79" s="3" t="s">
        <v>403</v>
      </c>
      <c r="H79" s="3" t="s">
        <v>419</v>
      </c>
    </row>
    <row r="80" spans="1:8" ht="33" x14ac:dyDescent="0.3">
      <c r="A80" s="6" t="s">
        <v>743</v>
      </c>
      <c r="B80" s="6" t="s">
        <v>358</v>
      </c>
      <c r="C80" s="6">
        <v>285</v>
      </c>
      <c r="D80" s="3" t="s">
        <v>420</v>
      </c>
      <c r="E80" s="3" t="s">
        <v>420</v>
      </c>
      <c r="F80" s="3" t="s">
        <v>37</v>
      </c>
      <c r="G80" s="3" t="s">
        <v>85</v>
      </c>
      <c r="H80" s="3" t="s">
        <v>421</v>
      </c>
    </row>
    <row r="81" spans="1:8" ht="33" x14ac:dyDescent="0.3">
      <c r="A81" s="6" t="s">
        <v>743</v>
      </c>
      <c r="B81" s="6" t="s">
        <v>422</v>
      </c>
      <c r="C81" s="6">
        <v>30</v>
      </c>
      <c r="D81" s="3" t="s">
        <v>434</v>
      </c>
      <c r="E81" s="3" t="s">
        <v>434</v>
      </c>
      <c r="F81" s="3" t="s">
        <v>37</v>
      </c>
      <c r="G81" s="3" t="s">
        <v>277</v>
      </c>
      <c r="H81" s="3" t="s">
        <v>435</v>
      </c>
    </row>
    <row r="82" spans="1:8" ht="33" x14ac:dyDescent="0.3">
      <c r="A82" s="6" t="s">
        <v>743</v>
      </c>
      <c r="B82" s="6" t="s">
        <v>422</v>
      </c>
      <c r="C82" s="6">
        <v>36</v>
      </c>
      <c r="D82" s="3" t="s">
        <v>436</v>
      </c>
      <c r="E82" s="3" t="s">
        <v>436</v>
      </c>
      <c r="F82" s="3" t="s">
        <v>37</v>
      </c>
      <c r="G82" s="3" t="s">
        <v>277</v>
      </c>
      <c r="H82" s="3" t="s">
        <v>437</v>
      </c>
    </row>
    <row r="83" spans="1:8" ht="33" x14ac:dyDescent="0.3">
      <c r="A83" s="6" t="s">
        <v>743</v>
      </c>
      <c r="B83" s="6" t="s">
        <v>422</v>
      </c>
      <c r="C83" s="6">
        <v>37</v>
      </c>
      <c r="D83" s="3" t="s">
        <v>439</v>
      </c>
      <c r="E83" s="3" t="s">
        <v>438</v>
      </c>
      <c r="F83" s="3" t="s">
        <v>44</v>
      </c>
      <c r="G83" s="3" t="s">
        <v>277</v>
      </c>
      <c r="H83" s="3" t="s">
        <v>440</v>
      </c>
    </row>
    <row r="84" spans="1:8" ht="33" x14ac:dyDescent="0.3">
      <c r="A84" s="6" t="s">
        <v>743</v>
      </c>
      <c r="B84" s="6" t="s">
        <v>422</v>
      </c>
      <c r="C84" s="6">
        <v>38</v>
      </c>
      <c r="D84" s="3" t="s">
        <v>442</v>
      </c>
      <c r="E84" s="3" t="s">
        <v>441</v>
      </c>
      <c r="F84" s="3" t="s">
        <v>51</v>
      </c>
      <c r="G84" s="3" t="s">
        <v>403</v>
      </c>
      <c r="H84" s="3" t="s">
        <v>443</v>
      </c>
    </row>
    <row r="85" spans="1:8" ht="33" x14ac:dyDescent="0.3">
      <c r="A85" s="6" t="s">
        <v>743</v>
      </c>
      <c r="B85" s="6" t="s">
        <v>422</v>
      </c>
      <c r="C85" s="6">
        <v>54</v>
      </c>
      <c r="D85" s="3" t="s">
        <v>445</v>
      </c>
      <c r="E85" s="3" t="s">
        <v>444</v>
      </c>
      <c r="F85" s="3" t="s">
        <v>167</v>
      </c>
      <c r="G85" s="3" t="s">
        <v>207</v>
      </c>
      <c r="H85" s="3" t="s">
        <v>446</v>
      </c>
    </row>
    <row r="86" spans="1:8" ht="33" x14ac:dyDescent="0.3">
      <c r="A86" s="6" t="s">
        <v>743</v>
      </c>
      <c r="B86" s="6" t="s">
        <v>422</v>
      </c>
      <c r="C86" s="6">
        <v>61</v>
      </c>
      <c r="D86" s="3" t="s">
        <v>448</v>
      </c>
      <c r="E86" s="3" t="s">
        <v>447</v>
      </c>
      <c r="F86" s="3" t="s">
        <v>80</v>
      </c>
      <c r="G86" s="3" t="s">
        <v>45</v>
      </c>
      <c r="H86" s="3" t="s">
        <v>449</v>
      </c>
    </row>
    <row r="87" spans="1:8" ht="33" x14ac:dyDescent="0.3">
      <c r="A87" s="6" t="s">
        <v>743</v>
      </c>
      <c r="B87" s="6" t="s">
        <v>422</v>
      </c>
      <c r="C87" s="6">
        <v>83</v>
      </c>
      <c r="D87" s="3" t="s">
        <v>313</v>
      </c>
      <c r="E87" s="3" t="s">
        <v>455</v>
      </c>
      <c r="F87" s="3" t="s">
        <v>37</v>
      </c>
      <c r="G87" s="3" t="s">
        <v>85</v>
      </c>
      <c r="H87" s="3" t="s">
        <v>456</v>
      </c>
    </row>
    <row r="88" spans="1:8" ht="33" x14ac:dyDescent="0.3">
      <c r="A88" s="6" t="s">
        <v>743</v>
      </c>
      <c r="B88" s="6" t="s">
        <v>422</v>
      </c>
      <c r="C88" s="6">
        <v>94</v>
      </c>
      <c r="D88" s="3" t="s">
        <v>462</v>
      </c>
      <c r="E88" s="3" t="s">
        <v>461</v>
      </c>
      <c r="F88" s="3" t="s">
        <v>37</v>
      </c>
      <c r="G88" s="3" t="s">
        <v>85</v>
      </c>
      <c r="H88" s="3" t="s">
        <v>463</v>
      </c>
    </row>
    <row r="89" spans="1:8" ht="33" x14ac:dyDescent="0.3">
      <c r="A89" s="6" t="s">
        <v>743</v>
      </c>
      <c r="B89" s="6" t="s">
        <v>422</v>
      </c>
      <c r="C89" s="6">
        <v>95</v>
      </c>
      <c r="D89" s="3" t="s">
        <v>465</v>
      </c>
      <c r="E89" s="3" t="s">
        <v>464</v>
      </c>
      <c r="F89" s="3" t="s">
        <v>58</v>
      </c>
      <c r="G89" s="3" t="s">
        <v>45</v>
      </c>
      <c r="H89" s="3" t="s">
        <v>466</v>
      </c>
    </row>
    <row r="90" spans="1:8" ht="33" x14ac:dyDescent="0.3">
      <c r="A90" s="6" t="s">
        <v>743</v>
      </c>
      <c r="B90" s="6" t="s">
        <v>422</v>
      </c>
      <c r="C90" s="6">
        <v>104</v>
      </c>
      <c r="D90" s="3" t="s">
        <v>470</v>
      </c>
      <c r="E90" s="3" t="s">
        <v>469</v>
      </c>
      <c r="F90" s="3" t="s">
        <v>44</v>
      </c>
      <c r="G90" s="3" t="s">
        <v>277</v>
      </c>
      <c r="H90" s="3" t="s">
        <v>471</v>
      </c>
    </row>
    <row r="91" spans="1:8" ht="33" x14ac:dyDescent="0.3">
      <c r="A91" s="6" t="s">
        <v>743</v>
      </c>
      <c r="B91" s="6" t="s">
        <v>422</v>
      </c>
      <c r="C91" s="6">
        <v>113</v>
      </c>
      <c r="D91" s="3" t="s">
        <v>473</v>
      </c>
      <c r="E91" s="3" t="s">
        <v>472</v>
      </c>
      <c r="F91" s="3" t="s">
        <v>37</v>
      </c>
      <c r="G91" s="3" t="s">
        <v>52</v>
      </c>
      <c r="H91" s="3" t="s">
        <v>474</v>
      </c>
    </row>
    <row r="92" spans="1:8" ht="33" x14ac:dyDescent="0.3">
      <c r="A92" s="6" t="s">
        <v>743</v>
      </c>
      <c r="B92" s="6" t="s">
        <v>422</v>
      </c>
      <c r="C92" s="6">
        <v>120</v>
      </c>
      <c r="D92" s="3" t="s">
        <v>476</v>
      </c>
      <c r="E92" s="3" t="s">
        <v>475</v>
      </c>
      <c r="F92" s="3" t="s">
        <v>37</v>
      </c>
      <c r="G92" s="3" t="s">
        <v>85</v>
      </c>
      <c r="H92" s="3" t="s">
        <v>477</v>
      </c>
    </row>
    <row r="93" spans="1:8" ht="33" x14ac:dyDescent="0.3">
      <c r="A93" s="6" t="s">
        <v>743</v>
      </c>
      <c r="B93" s="6" t="s">
        <v>422</v>
      </c>
      <c r="C93" s="6">
        <v>137</v>
      </c>
      <c r="D93" s="3" t="s">
        <v>350</v>
      </c>
      <c r="E93" s="3" t="s">
        <v>478</v>
      </c>
      <c r="F93" s="3" t="s">
        <v>37</v>
      </c>
      <c r="G93" s="3" t="s">
        <v>85</v>
      </c>
      <c r="H93" s="3" t="s">
        <v>479</v>
      </c>
    </row>
    <row r="94" spans="1:8" ht="33" x14ac:dyDescent="0.3">
      <c r="A94" s="6" t="s">
        <v>743</v>
      </c>
      <c r="B94" s="6" t="s">
        <v>422</v>
      </c>
      <c r="C94" s="6">
        <v>152</v>
      </c>
      <c r="D94" s="3" t="s">
        <v>481</v>
      </c>
      <c r="E94" s="3" t="s">
        <v>480</v>
      </c>
      <c r="F94" s="3" t="s">
        <v>51</v>
      </c>
      <c r="G94" s="3" t="s">
        <v>45</v>
      </c>
      <c r="H94" s="3" t="s">
        <v>482</v>
      </c>
    </row>
    <row r="95" spans="1:8" ht="33" x14ac:dyDescent="0.3">
      <c r="A95" s="6" t="s">
        <v>743</v>
      </c>
      <c r="B95" s="6" t="s">
        <v>486</v>
      </c>
      <c r="C95" s="6">
        <v>61</v>
      </c>
      <c r="D95" s="3" t="s">
        <v>492</v>
      </c>
      <c r="E95" s="3" t="s">
        <v>491</v>
      </c>
      <c r="F95" s="3" t="s">
        <v>37</v>
      </c>
      <c r="G95" s="3" t="s">
        <v>85</v>
      </c>
      <c r="H95" s="3" t="s">
        <v>493</v>
      </c>
    </row>
    <row r="96" spans="1:8" ht="33" x14ac:dyDescent="0.3">
      <c r="A96" s="6" t="s">
        <v>743</v>
      </c>
      <c r="B96" s="6" t="s">
        <v>486</v>
      </c>
      <c r="C96" s="6">
        <v>62</v>
      </c>
      <c r="D96" s="3" t="s">
        <v>495</v>
      </c>
      <c r="E96" s="3" t="s">
        <v>494</v>
      </c>
      <c r="F96" s="3" t="s">
        <v>37</v>
      </c>
      <c r="G96" s="3" t="s">
        <v>277</v>
      </c>
      <c r="H96" s="3" t="s">
        <v>496</v>
      </c>
    </row>
    <row r="97" spans="1:8" ht="33" x14ac:dyDescent="0.3">
      <c r="A97" s="6" t="s">
        <v>743</v>
      </c>
      <c r="B97" s="6" t="s">
        <v>486</v>
      </c>
      <c r="C97" s="6">
        <v>63</v>
      </c>
      <c r="D97" s="3" t="s">
        <v>497</v>
      </c>
      <c r="E97" s="3" t="s">
        <v>497</v>
      </c>
      <c r="F97" s="3" t="s">
        <v>37</v>
      </c>
      <c r="G97" s="3" t="s">
        <v>277</v>
      </c>
      <c r="H97" s="3" t="s">
        <v>498</v>
      </c>
    </row>
    <row r="98" spans="1:8" ht="33" x14ac:dyDescent="0.3">
      <c r="A98" s="6" t="s">
        <v>743</v>
      </c>
      <c r="B98" s="6" t="s">
        <v>486</v>
      </c>
      <c r="C98" s="6">
        <v>98</v>
      </c>
      <c r="D98" s="3" t="s">
        <v>505</v>
      </c>
      <c r="E98" s="3" t="s">
        <v>504</v>
      </c>
      <c r="F98" s="3" t="s">
        <v>37</v>
      </c>
      <c r="G98" s="3" t="s">
        <v>277</v>
      </c>
      <c r="H98" s="3" t="s">
        <v>506</v>
      </c>
    </row>
    <row r="99" spans="1:8" ht="33" x14ac:dyDescent="0.3">
      <c r="A99" s="6" t="s">
        <v>743</v>
      </c>
      <c r="B99" s="6" t="s">
        <v>486</v>
      </c>
      <c r="C99" s="6">
        <v>109</v>
      </c>
      <c r="D99" s="3" t="s">
        <v>507</v>
      </c>
      <c r="E99" s="3" t="s">
        <v>507</v>
      </c>
      <c r="F99" s="3" t="s">
        <v>51</v>
      </c>
      <c r="G99" s="3" t="s">
        <v>277</v>
      </c>
      <c r="H99" s="3" t="s">
        <v>508</v>
      </c>
    </row>
    <row r="100" spans="1:8" ht="33" x14ac:dyDescent="0.3">
      <c r="A100" s="6" t="s">
        <v>743</v>
      </c>
      <c r="B100" s="6" t="s">
        <v>486</v>
      </c>
      <c r="C100" s="6">
        <v>226</v>
      </c>
      <c r="D100" s="3" t="s">
        <v>513</v>
      </c>
      <c r="E100" s="3" t="s">
        <v>512</v>
      </c>
      <c r="F100" s="3" t="s">
        <v>37</v>
      </c>
      <c r="G100" s="3" t="s">
        <v>85</v>
      </c>
      <c r="H100" s="3" t="s">
        <v>514</v>
      </c>
    </row>
    <row r="101" spans="1:8" ht="33" x14ac:dyDescent="0.3">
      <c r="A101" s="6" t="s">
        <v>743</v>
      </c>
      <c r="B101" s="6" t="s">
        <v>486</v>
      </c>
      <c r="C101" s="6">
        <v>264</v>
      </c>
      <c r="D101" s="3" t="s">
        <v>515</v>
      </c>
      <c r="E101" s="3" t="s">
        <v>515</v>
      </c>
      <c r="F101" s="3" t="s">
        <v>167</v>
      </c>
      <c r="G101" s="3" t="s">
        <v>52</v>
      </c>
      <c r="H101" s="3" t="s">
        <v>516</v>
      </c>
    </row>
    <row r="102" spans="1:8" ht="33" x14ac:dyDescent="0.3">
      <c r="A102" s="6" t="s">
        <v>743</v>
      </c>
      <c r="B102" s="6" t="s">
        <v>486</v>
      </c>
      <c r="C102" s="6">
        <v>290</v>
      </c>
      <c r="D102" s="3" t="s">
        <v>518</v>
      </c>
      <c r="E102" s="3" t="s">
        <v>517</v>
      </c>
      <c r="F102" s="3" t="s">
        <v>37</v>
      </c>
      <c r="G102" s="3" t="s">
        <v>52</v>
      </c>
      <c r="H102" s="3" t="s">
        <v>519</v>
      </c>
    </row>
    <row r="103" spans="1:8" ht="33" x14ac:dyDescent="0.3">
      <c r="A103" s="6" t="s">
        <v>743</v>
      </c>
      <c r="B103" s="6" t="s">
        <v>486</v>
      </c>
      <c r="C103" s="6">
        <v>291</v>
      </c>
      <c r="D103" s="3" t="s">
        <v>521</v>
      </c>
      <c r="E103" s="3" t="s">
        <v>520</v>
      </c>
      <c r="F103" s="3" t="s">
        <v>167</v>
      </c>
      <c r="G103" s="3" t="s">
        <v>52</v>
      </c>
      <c r="H103" s="3" t="s">
        <v>522</v>
      </c>
    </row>
    <row r="104" spans="1:8" ht="33" x14ac:dyDescent="0.3">
      <c r="A104" s="6" t="s">
        <v>743</v>
      </c>
      <c r="B104" s="6" t="s">
        <v>486</v>
      </c>
      <c r="C104" s="6">
        <v>304</v>
      </c>
      <c r="D104" s="3" t="s">
        <v>524</v>
      </c>
      <c r="E104" s="3" t="s">
        <v>523</v>
      </c>
      <c r="F104" s="3" t="s">
        <v>37</v>
      </c>
      <c r="G104" s="3" t="s">
        <v>277</v>
      </c>
      <c r="H104" s="3" t="s">
        <v>525</v>
      </c>
    </row>
    <row r="105" spans="1:8" ht="33" x14ac:dyDescent="0.3">
      <c r="A105" s="6" t="s">
        <v>743</v>
      </c>
      <c r="B105" s="6" t="s">
        <v>486</v>
      </c>
      <c r="C105" s="6">
        <v>321</v>
      </c>
      <c r="D105" s="3" t="s">
        <v>527</v>
      </c>
      <c r="E105" s="3" t="s">
        <v>526</v>
      </c>
      <c r="F105" s="3" t="s">
        <v>80</v>
      </c>
      <c r="G105" s="3" t="s">
        <v>52</v>
      </c>
      <c r="H105" s="3" t="s">
        <v>528</v>
      </c>
    </row>
    <row r="106" spans="1:8" ht="33" x14ac:dyDescent="0.3">
      <c r="A106" s="6" t="s">
        <v>743</v>
      </c>
      <c r="B106" s="6" t="s">
        <v>486</v>
      </c>
      <c r="C106" s="6">
        <v>328</v>
      </c>
      <c r="D106" s="3" t="s">
        <v>530</v>
      </c>
      <c r="E106" s="3" t="s">
        <v>529</v>
      </c>
      <c r="F106" s="3" t="s">
        <v>44</v>
      </c>
      <c r="G106" s="3" t="s">
        <v>45</v>
      </c>
      <c r="H106" s="3" t="s">
        <v>531</v>
      </c>
    </row>
    <row r="107" spans="1:8" ht="33" x14ac:dyDescent="0.3">
      <c r="A107" s="6" t="s">
        <v>743</v>
      </c>
      <c r="B107" s="6" t="s">
        <v>486</v>
      </c>
      <c r="C107" s="6">
        <v>378</v>
      </c>
      <c r="D107" s="3" t="s">
        <v>532</v>
      </c>
      <c r="E107" s="3" t="s">
        <v>532</v>
      </c>
      <c r="F107" s="3" t="s">
        <v>44</v>
      </c>
      <c r="G107" s="3" t="s">
        <v>45</v>
      </c>
      <c r="H107" s="3" t="s">
        <v>533</v>
      </c>
    </row>
    <row r="108" spans="1:8" ht="33" x14ac:dyDescent="0.3">
      <c r="A108" s="6" t="s">
        <v>743</v>
      </c>
      <c r="B108" s="6" t="s">
        <v>486</v>
      </c>
      <c r="C108" s="6">
        <v>387</v>
      </c>
      <c r="D108" s="3" t="s">
        <v>535</v>
      </c>
      <c r="E108" s="3" t="s">
        <v>534</v>
      </c>
      <c r="F108" s="3" t="s">
        <v>37</v>
      </c>
      <c r="G108" s="3" t="s">
        <v>52</v>
      </c>
      <c r="H108" s="3" t="s">
        <v>536</v>
      </c>
    </row>
    <row r="109" spans="1:8" ht="33" x14ac:dyDescent="0.3">
      <c r="A109" s="6" t="s">
        <v>743</v>
      </c>
      <c r="B109" s="6" t="s">
        <v>486</v>
      </c>
      <c r="C109" s="6">
        <v>388</v>
      </c>
      <c r="D109" s="3" t="s">
        <v>538</v>
      </c>
      <c r="E109" s="3" t="s">
        <v>537</v>
      </c>
      <c r="F109" s="3" t="s">
        <v>37</v>
      </c>
      <c r="G109" s="3" t="s">
        <v>52</v>
      </c>
      <c r="H109" s="3" t="s">
        <v>539</v>
      </c>
    </row>
    <row r="110" spans="1:8" ht="33" x14ac:dyDescent="0.3">
      <c r="A110" s="6" t="s">
        <v>743</v>
      </c>
      <c r="B110" s="6" t="s">
        <v>486</v>
      </c>
      <c r="C110" s="6">
        <v>390</v>
      </c>
      <c r="D110" s="3" t="s">
        <v>541</v>
      </c>
      <c r="E110" s="3" t="s">
        <v>540</v>
      </c>
      <c r="F110" s="3" t="s">
        <v>37</v>
      </c>
      <c r="G110" s="3" t="s">
        <v>85</v>
      </c>
      <c r="H110" s="3" t="s">
        <v>542</v>
      </c>
    </row>
    <row r="111" spans="1:8" ht="33" x14ac:dyDescent="0.3">
      <c r="A111" s="6" t="s">
        <v>743</v>
      </c>
      <c r="B111" s="6" t="s">
        <v>486</v>
      </c>
      <c r="C111" s="6">
        <v>460</v>
      </c>
      <c r="D111" s="3" t="s">
        <v>544</v>
      </c>
      <c r="E111" s="3" t="s">
        <v>543</v>
      </c>
      <c r="F111" s="3" t="s">
        <v>167</v>
      </c>
      <c r="G111" s="3" t="s">
        <v>207</v>
      </c>
      <c r="H111" s="3" t="s">
        <v>545</v>
      </c>
    </row>
    <row r="112" spans="1:8" ht="33" x14ac:dyDescent="0.3">
      <c r="A112" s="6" t="s">
        <v>743</v>
      </c>
      <c r="B112" s="6" t="s">
        <v>486</v>
      </c>
      <c r="C112" s="6">
        <v>471</v>
      </c>
      <c r="D112" s="3" t="s">
        <v>547</v>
      </c>
      <c r="E112" s="3" t="s">
        <v>546</v>
      </c>
      <c r="F112" s="3" t="s">
        <v>51</v>
      </c>
      <c r="G112" s="3" t="s">
        <v>45</v>
      </c>
      <c r="H112" s="3" t="s">
        <v>548</v>
      </c>
    </row>
    <row r="113" spans="1:8" ht="33" x14ac:dyDescent="0.3">
      <c r="A113" s="6" t="s">
        <v>743</v>
      </c>
      <c r="B113" s="6" t="s">
        <v>486</v>
      </c>
      <c r="C113" s="6">
        <v>493</v>
      </c>
      <c r="D113" s="3" t="s">
        <v>550</v>
      </c>
      <c r="E113" s="3" t="s">
        <v>549</v>
      </c>
      <c r="F113" s="3" t="s">
        <v>44</v>
      </c>
      <c r="G113" s="3" t="s">
        <v>277</v>
      </c>
      <c r="H113" s="3" t="s">
        <v>551</v>
      </c>
    </row>
    <row r="114" spans="1:8" ht="33" x14ac:dyDescent="0.3">
      <c r="A114" s="6" t="s">
        <v>743</v>
      </c>
      <c r="B114" s="6" t="s">
        <v>486</v>
      </c>
      <c r="C114" s="6">
        <v>507</v>
      </c>
      <c r="D114" s="3" t="s">
        <v>553</v>
      </c>
      <c r="E114" s="3" t="s">
        <v>552</v>
      </c>
      <c r="F114" s="3" t="s">
        <v>37</v>
      </c>
      <c r="G114" s="3" t="s">
        <v>52</v>
      </c>
      <c r="H114" s="3" t="s">
        <v>554</v>
      </c>
    </row>
    <row r="115" spans="1:8" ht="33" x14ac:dyDescent="0.3">
      <c r="A115" s="6" t="s">
        <v>743</v>
      </c>
      <c r="B115" s="6" t="s">
        <v>486</v>
      </c>
      <c r="C115" s="6">
        <v>509</v>
      </c>
      <c r="D115" s="3" t="s">
        <v>556</v>
      </c>
      <c r="E115" s="3" t="s">
        <v>555</v>
      </c>
      <c r="F115" s="3" t="s">
        <v>51</v>
      </c>
      <c r="G115" s="3" t="s">
        <v>403</v>
      </c>
      <c r="H115" s="3" t="s">
        <v>557</v>
      </c>
    </row>
    <row r="116" spans="1:8" ht="33" x14ac:dyDescent="0.3">
      <c r="A116" s="6" t="s">
        <v>743</v>
      </c>
      <c r="B116" s="6" t="s">
        <v>558</v>
      </c>
      <c r="C116" s="6">
        <v>3</v>
      </c>
      <c r="D116" s="3" t="s">
        <v>572</v>
      </c>
      <c r="E116" s="3" t="s">
        <v>571</v>
      </c>
      <c r="F116" s="3" t="s">
        <v>37</v>
      </c>
      <c r="G116" s="3" t="s">
        <v>85</v>
      </c>
      <c r="H116" s="3" t="s">
        <v>573</v>
      </c>
    </row>
    <row r="117" spans="1:8" ht="33" x14ac:dyDescent="0.3">
      <c r="A117" s="6" t="s">
        <v>743</v>
      </c>
      <c r="B117" s="6" t="s">
        <v>558</v>
      </c>
      <c r="C117" s="6">
        <v>6</v>
      </c>
      <c r="D117" s="3" t="s">
        <v>580</v>
      </c>
      <c r="E117" s="3" t="s">
        <v>579</v>
      </c>
      <c r="F117" s="3" t="s">
        <v>37</v>
      </c>
      <c r="G117" s="3" t="s">
        <v>85</v>
      </c>
      <c r="H117" s="3" t="s">
        <v>581</v>
      </c>
    </row>
    <row r="118" spans="1:8" ht="33" x14ac:dyDescent="0.3">
      <c r="A118" s="6" t="s">
        <v>743</v>
      </c>
      <c r="B118" s="6" t="s">
        <v>558</v>
      </c>
      <c r="C118" s="6">
        <v>20</v>
      </c>
      <c r="D118" s="3" t="s">
        <v>585</v>
      </c>
      <c r="E118" s="3" t="s">
        <v>584</v>
      </c>
      <c r="F118" s="3" t="s">
        <v>167</v>
      </c>
      <c r="G118" s="3" t="s">
        <v>85</v>
      </c>
      <c r="H118" s="3" t="s">
        <v>586</v>
      </c>
    </row>
    <row r="119" spans="1:8" ht="33" x14ac:dyDescent="0.3">
      <c r="A119" s="6" t="s">
        <v>743</v>
      </c>
      <c r="B119" s="6" t="s">
        <v>558</v>
      </c>
      <c r="C119" s="6">
        <v>27</v>
      </c>
      <c r="D119" s="3" t="s">
        <v>594</v>
      </c>
      <c r="E119" s="3" t="s">
        <v>593</v>
      </c>
      <c r="F119" s="3" t="s">
        <v>37</v>
      </c>
      <c r="G119" s="3" t="s">
        <v>85</v>
      </c>
      <c r="H119" s="3" t="s">
        <v>595</v>
      </c>
    </row>
    <row r="120" spans="1:8" ht="33" x14ac:dyDescent="0.3">
      <c r="A120" s="6" t="s">
        <v>743</v>
      </c>
      <c r="B120" s="6" t="s">
        <v>558</v>
      </c>
      <c r="C120" s="6">
        <v>41</v>
      </c>
      <c r="D120" s="3" t="s">
        <v>603</v>
      </c>
      <c r="E120" s="3" t="s">
        <v>602</v>
      </c>
      <c r="F120" s="3" t="s">
        <v>167</v>
      </c>
      <c r="G120" s="3" t="s">
        <v>403</v>
      </c>
      <c r="H120" s="3" t="s">
        <v>604</v>
      </c>
    </row>
    <row r="121" spans="1:8" ht="33" x14ac:dyDescent="0.3">
      <c r="A121" s="6" t="s">
        <v>743</v>
      </c>
      <c r="B121" s="6" t="s">
        <v>558</v>
      </c>
      <c r="C121" s="6">
        <v>96</v>
      </c>
      <c r="D121" s="3" t="s">
        <v>618</v>
      </c>
      <c r="E121" s="3" t="s">
        <v>617</v>
      </c>
      <c r="F121" s="3" t="s">
        <v>51</v>
      </c>
      <c r="G121" s="3" t="s">
        <v>403</v>
      </c>
      <c r="H121" s="3" t="s">
        <v>619</v>
      </c>
    </row>
    <row r="122" spans="1:8" ht="33" x14ac:dyDescent="0.3">
      <c r="A122" s="6" t="s">
        <v>743</v>
      </c>
      <c r="B122" s="6" t="s">
        <v>558</v>
      </c>
      <c r="C122" s="6">
        <v>265</v>
      </c>
      <c r="D122" s="3" t="s">
        <v>624</v>
      </c>
      <c r="E122" s="3" t="s">
        <v>623</v>
      </c>
      <c r="F122" s="3" t="s">
        <v>44</v>
      </c>
      <c r="G122" s="3" t="s">
        <v>52</v>
      </c>
      <c r="H122" s="3" t="s">
        <v>625</v>
      </c>
    </row>
    <row r="123" spans="1:8" ht="33" x14ac:dyDescent="0.3">
      <c r="A123" s="6" t="s">
        <v>743</v>
      </c>
      <c r="B123" s="6" t="s">
        <v>558</v>
      </c>
      <c r="C123" s="6">
        <v>267</v>
      </c>
      <c r="D123" s="3" t="s">
        <v>627</v>
      </c>
      <c r="E123" s="3" t="s">
        <v>626</v>
      </c>
      <c r="F123" s="3" t="s">
        <v>44</v>
      </c>
      <c r="G123" s="3" t="s">
        <v>52</v>
      </c>
      <c r="H123" s="3" t="s">
        <v>628</v>
      </c>
    </row>
    <row r="124" spans="1:8" ht="33" x14ac:dyDescent="0.3">
      <c r="A124" s="6" t="s">
        <v>743</v>
      </c>
      <c r="B124" s="6" t="s">
        <v>558</v>
      </c>
      <c r="C124" s="6">
        <v>278</v>
      </c>
      <c r="D124" s="3" t="s">
        <v>630</v>
      </c>
      <c r="E124" s="3" t="s">
        <v>629</v>
      </c>
      <c r="F124" s="3" t="s">
        <v>167</v>
      </c>
      <c r="G124" s="3" t="s">
        <v>85</v>
      </c>
      <c r="H124" s="3" t="s">
        <v>631</v>
      </c>
    </row>
    <row r="125" spans="1:8" ht="33" x14ac:dyDescent="0.3">
      <c r="A125" s="6" t="s">
        <v>743</v>
      </c>
      <c r="B125" s="6" t="s">
        <v>558</v>
      </c>
      <c r="C125" s="6">
        <v>351</v>
      </c>
      <c r="D125" s="3" t="s">
        <v>639</v>
      </c>
      <c r="E125" s="3" t="s">
        <v>644</v>
      </c>
      <c r="F125" s="3" t="s">
        <v>51</v>
      </c>
      <c r="G125" s="3" t="s">
        <v>52</v>
      </c>
      <c r="H125" s="3" t="s">
        <v>645</v>
      </c>
    </row>
    <row r="126" spans="1:8" ht="33" x14ac:dyDescent="0.3">
      <c r="A126" s="6" t="s">
        <v>743</v>
      </c>
      <c r="B126" s="6" t="s">
        <v>558</v>
      </c>
      <c r="C126" s="6">
        <v>395</v>
      </c>
      <c r="D126" s="3" t="s">
        <v>647</v>
      </c>
      <c r="E126" s="3" t="s">
        <v>646</v>
      </c>
      <c r="F126" s="3" t="s">
        <v>167</v>
      </c>
      <c r="G126" s="3" t="s">
        <v>45</v>
      </c>
      <c r="H126" s="3" t="s">
        <v>648</v>
      </c>
    </row>
    <row r="127" spans="1:8" ht="33" x14ac:dyDescent="0.3">
      <c r="A127" s="6" t="s">
        <v>743</v>
      </c>
      <c r="B127" s="6" t="s">
        <v>558</v>
      </c>
      <c r="C127" s="6">
        <v>489</v>
      </c>
      <c r="D127" s="3" t="s">
        <v>650</v>
      </c>
      <c r="E127" s="3" t="s">
        <v>649</v>
      </c>
      <c r="F127" s="3" t="s">
        <v>51</v>
      </c>
      <c r="G127" s="3" t="s">
        <v>403</v>
      </c>
      <c r="H127" s="3" t="s">
        <v>651</v>
      </c>
    </row>
    <row r="128" spans="1:8" ht="33" x14ac:dyDescent="0.3">
      <c r="A128" s="6" t="s">
        <v>743</v>
      </c>
      <c r="B128" s="6" t="s">
        <v>652</v>
      </c>
      <c r="C128" s="6">
        <v>2</v>
      </c>
      <c r="D128" s="3" t="s">
        <v>654</v>
      </c>
      <c r="E128" s="3" t="s">
        <v>653</v>
      </c>
      <c r="F128" s="3" t="s">
        <v>51</v>
      </c>
      <c r="G128" s="3" t="s">
        <v>403</v>
      </c>
      <c r="H128" s="3" t="s">
        <v>655</v>
      </c>
    </row>
    <row r="129" spans="1:8" ht="33" x14ac:dyDescent="0.3">
      <c r="A129" s="6" t="s">
        <v>743</v>
      </c>
      <c r="B129" s="6" t="s">
        <v>652</v>
      </c>
      <c r="C129" s="6">
        <v>4</v>
      </c>
      <c r="D129" s="3" t="s">
        <v>657</v>
      </c>
      <c r="E129" s="3" t="s">
        <v>656</v>
      </c>
      <c r="F129" s="3" t="s">
        <v>37</v>
      </c>
      <c r="G129" s="3" t="s">
        <v>403</v>
      </c>
      <c r="H129" s="3" t="s">
        <v>658</v>
      </c>
    </row>
    <row r="130" spans="1:8" ht="33" x14ac:dyDescent="0.3">
      <c r="A130" s="6" t="s">
        <v>743</v>
      </c>
      <c r="B130" s="6" t="s">
        <v>652</v>
      </c>
      <c r="C130" s="6">
        <v>12</v>
      </c>
      <c r="D130" s="3" t="s">
        <v>660</v>
      </c>
      <c r="E130" s="3" t="s">
        <v>659</v>
      </c>
      <c r="F130" s="3" t="s">
        <v>167</v>
      </c>
      <c r="G130" s="3" t="s">
        <v>52</v>
      </c>
      <c r="H130" s="3" t="s">
        <v>661</v>
      </c>
    </row>
    <row r="131" spans="1:8" ht="33" x14ac:dyDescent="0.3">
      <c r="A131" s="6" t="s">
        <v>743</v>
      </c>
      <c r="B131" s="6" t="s">
        <v>652</v>
      </c>
      <c r="C131" s="6">
        <v>18</v>
      </c>
      <c r="D131" s="3" t="s">
        <v>662</v>
      </c>
      <c r="E131" s="3" t="s">
        <v>662</v>
      </c>
      <c r="F131" s="3" t="s">
        <v>37</v>
      </c>
      <c r="G131" s="3" t="s">
        <v>45</v>
      </c>
      <c r="H131" s="3" t="s">
        <v>663</v>
      </c>
    </row>
    <row r="132" spans="1:8" ht="33" x14ac:dyDescent="0.3">
      <c r="A132" s="6" t="s">
        <v>743</v>
      </c>
      <c r="B132" s="6" t="s">
        <v>652</v>
      </c>
      <c r="C132" s="6">
        <v>18</v>
      </c>
      <c r="D132" s="3" t="s">
        <v>665</v>
      </c>
      <c r="E132" s="3" t="s">
        <v>664</v>
      </c>
      <c r="F132" s="3" t="s">
        <v>37</v>
      </c>
      <c r="G132" s="3" t="s">
        <v>52</v>
      </c>
      <c r="H132" s="3" t="s">
        <v>666</v>
      </c>
    </row>
    <row r="133" spans="1:8" ht="33" x14ac:dyDescent="0.3">
      <c r="A133" s="6" t="s">
        <v>743</v>
      </c>
      <c r="B133" s="6" t="s">
        <v>652</v>
      </c>
      <c r="C133" s="6">
        <v>34</v>
      </c>
      <c r="D133" s="3" t="s">
        <v>668</v>
      </c>
      <c r="E133" s="3" t="s">
        <v>667</v>
      </c>
      <c r="F133" s="3" t="s">
        <v>44</v>
      </c>
      <c r="G133" s="3" t="s">
        <v>52</v>
      </c>
      <c r="H133" s="3" t="s">
        <v>669</v>
      </c>
    </row>
    <row r="134" spans="1:8" ht="33" x14ac:dyDescent="0.3">
      <c r="A134" s="6" t="s">
        <v>743</v>
      </c>
      <c r="B134" s="6" t="s">
        <v>652</v>
      </c>
      <c r="C134" s="6">
        <v>36</v>
      </c>
      <c r="D134" s="3" t="s">
        <v>671</v>
      </c>
      <c r="E134" s="3" t="s">
        <v>670</v>
      </c>
      <c r="F134" s="3" t="s">
        <v>44</v>
      </c>
      <c r="G134" s="3" t="s">
        <v>45</v>
      </c>
      <c r="H134" s="3" t="s">
        <v>672</v>
      </c>
    </row>
    <row r="135" spans="1:8" ht="33" x14ac:dyDescent="0.3">
      <c r="A135" s="6" t="s">
        <v>743</v>
      </c>
      <c r="B135" s="6" t="s">
        <v>652</v>
      </c>
      <c r="C135" s="6">
        <v>50</v>
      </c>
      <c r="D135" s="3" t="s">
        <v>677</v>
      </c>
      <c r="E135" s="3" t="s">
        <v>676</v>
      </c>
      <c r="F135" s="3" t="s">
        <v>37</v>
      </c>
      <c r="G135" s="3" t="s">
        <v>85</v>
      </c>
      <c r="H135" s="3" t="s">
        <v>678</v>
      </c>
    </row>
    <row r="136" spans="1:8" ht="33" x14ac:dyDescent="0.3">
      <c r="A136" s="6" t="s">
        <v>743</v>
      </c>
      <c r="B136" s="6" t="s">
        <v>652</v>
      </c>
      <c r="C136" s="6">
        <v>84</v>
      </c>
      <c r="D136" s="3" t="s">
        <v>680</v>
      </c>
      <c r="E136" s="3" t="s">
        <v>679</v>
      </c>
      <c r="F136" s="3" t="s">
        <v>44</v>
      </c>
      <c r="G136" s="3" t="s">
        <v>45</v>
      </c>
      <c r="H136" s="3" t="s">
        <v>681</v>
      </c>
    </row>
    <row r="137" spans="1:8" ht="33" x14ac:dyDescent="0.3">
      <c r="A137" s="6" t="s">
        <v>743</v>
      </c>
      <c r="B137" s="6" t="s">
        <v>682</v>
      </c>
      <c r="C137" s="6">
        <v>111</v>
      </c>
      <c r="D137" s="3" t="s">
        <v>684</v>
      </c>
      <c r="E137" s="3" t="s">
        <v>683</v>
      </c>
      <c r="F137" s="3" t="s">
        <v>51</v>
      </c>
      <c r="G137" s="3" t="s">
        <v>85</v>
      </c>
      <c r="H137" s="3" t="s">
        <v>685</v>
      </c>
    </row>
    <row r="138" spans="1:8" ht="33" x14ac:dyDescent="0.3">
      <c r="A138" s="6" t="s">
        <v>743</v>
      </c>
      <c r="B138" s="6" t="s">
        <v>682</v>
      </c>
      <c r="C138" s="6">
        <v>132</v>
      </c>
      <c r="D138" s="3" t="s">
        <v>687</v>
      </c>
      <c r="E138" s="3" t="s">
        <v>686</v>
      </c>
      <c r="F138" s="3" t="s">
        <v>167</v>
      </c>
      <c r="G138" s="3" t="s">
        <v>403</v>
      </c>
      <c r="H138" s="3" t="s">
        <v>688</v>
      </c>
    </row>
    <row r="139" spans="1:8" ht="33" x14ac:dyDescent="0.3">
      <c r="A139" s="6" t="s">
        <v>743</v>
      </c>
      <c r="B139" s="6" t="s">
        <v>682</v>
      </c>
      <c r="C139" s="6">
        <v>133</v>
      </c>
      <c r="D139" s="3" t="s">
        <v>689</v>
      </c>
      <c r="E139" s="3" t="s">
        <v>689</v>
      </c>
      <c r="F139" s="3" t="s">
        <v>167</v>
      </c>
      <c r="G139" s="3" t="s">
        <v>403</v>
      </c>
      <c r="H139" s="3" t="s">
        <v>690</v>
      </c>
    </row>
    <row r="140" spans="1:8" ht="33" x14ac:dyDescent="0.3">
      <c r="A140" s="6" t="s">
        <v>743</v>
      </c>
      <c r="B140" s="6" t="s">
        <v>682</v>
      </c>
      <c r="C140" s="6">
        <v>289</v>
      </c>
      <c r="D140" s="3" t="s">
        <v>692</v>
      </c>
      <c r="E140" s="3" t="s">
        <v>691</v>
      </c>
      <c r="F140" s="3" t="s">
        <v>51</v>
      </c>
      <c r="G140" s="3" t="s">
        <v>45</v>
      </c>
      <c r="H140" s="3" t="s">
        <v>693</v>
      </c>
    </row>
    <row r="141" spans="1:8" ht="33" x14ac:dyDescent="0.3">
      <c r="A141" s="6" t="s">
        <v>743</v>
      </c>
      <c r="B141" s="6" t="s">
        <v>682</v>
      </c>
      <c r="C141" s="6">
        <v>298</v>
      </c>
      <c r="D141" s="3" t="s">
        <v>695</v>
      </c>
      <c r="E141" s="3" t="s">
        <v>694</v>
      </c>
      <c r="F141" s="3" t="s">
        <v>37</v>
      </c>
      <c r="G141" s="3" t="s">
        <v>45</v>
      </c>
      <c r="H141" s="3" t="s">
        <v>696</v>
      </c>
    </row>
    <row r="142" spans="1:8" ht="33" x14ac:dyDescent="0.3">
      <c r="A142" s="6" t="s">
        <v>743</v>
      </c>
      <c r="B142" s="6" t="s">
        <v>682</v>
      </c>
      <c r="C142" s="6">
        <v>329</v>
      </c>
      <c r="D142" s="3" t="s">
        <v>698</v>
      </c>
      <c r="E142" s="3" t="s">
        <v>697</v>
      </c>
      <c r="F142" s="3" t="s">
        <v>37</v>
      </c>
      <c r="G142" s="3" t="s">
        <v>45</v>
      </c>
      <c r="H142" s="3" t="s">
        <v>699</v>
      </c>
    </row>
    <row r="143" spans="1:8" ht="33" x14ac:dyDescent="0.3">
      <c r="A143" s="6" t="s">
        <v>743</v>
      </c>
      <c r="B143" s="6" t="s">
        <v>682</v>
      </c>
      <c r="C143" s="6">
        <v>330</v>
      </c>
      <c r="D143" s="3" t="s">
        <v>701</v>
      </c>
      <c r="E143" s="3" t="s">
        <v>700</v>
      </c>
      <c r="F143" s="3" t="s">
        <v>167</v>
      </c>
      <c r="G143" s="3" t="s">
        <v>403</v>
      </c>
      <c r="H143" s="3" t="s">
        <v>702</v>
      </c>
    </row>
  </sheetData>
  <autoFilter ref="A3:H143" xr:uid="{00000000-0009-0000-0000-000007000000}"/>
  <mergeCells count="1">
    <mergeCell ref="A1:H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7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4" width="36" customWidth="1"/>
    <col min="5" max="6" width="20" customWidth="1"/>
    <col min="7" max="7" width="55" customWidth="1"/>
  </cols>
  <sheetData>
    <row r="1" spans="1:7" ht="24" customHeight="1" x14ac:dyDescent="0.3">
      <c r="A1" s="20" t="s">
        <v>744</v>
      </c>
      <c r="B1" s="21"/>
      <c r="C1" s="21"/>
      <c r="D1" s="21"/>
      <c r="E1" s="21"/>
      <c r="F1" s="21"/>
      <c r="G1" s="21"/>
    </row>
    <row r="3" spans="1:7" x14ac:dyDescent="0.3">
      <c r="A3" s="4" t="s">
        <v>25</v>
      </c>
      <c r="B3" s="4" t="s">
        <v>26</v>
      </c>
      <c r="C3" s="4" t="s">
        <v>30</v>
      </c>
      <c r="D3" s="4" t="s">
        <v>741</v>
      </c>
      <c r="E3" s="4" t="s">
        <v>28</v>
      </c>
      <c r="F3" s="4" t="s">
        <v>29</v>
      </c>
      <c r="G3" s="4" t="s">
        <v>32</v>
      </c>
    </row>
    <row r="4" spans="1:7" ht="33" x14ac:dyDescent="0.3">
      <c r="A4" s="6" t="s">
        <v>271</v>
      </c>
      <c r="B4" s="6">
        <v>9</v>
      </c>
      <c r="C4" s="3" t="s">
        <v>280</v>
      </c>
      <c r="D4" s="3" t="s">
        <v>279</v>
      </c>
      <c r="E4" s="3" t="s">
        <v>51</v>
      </c>
      <c r="F4" s="3" t="s">
        <v>38</v>
      </c>
      <c r="G4" s="3" t="s">
        <v>281</v>
      </c>
    </row>
    <row r="5" spans="1:7" ht="33" x14ac:dyDescent="0.3">
      <c r="A5" s="6" t="s">
        <v>271</v>
      </c>
      <c r="B5" s="6">
        <v>14</v>
      </c>
      <c r="C5" s="3" t="s">
        <v>290</v>
      </c>
      <c r="D5" s="3" t="s">
        <v>289</v>
      </c>
      <c r="E5" s="3" t="s">
        <v>37</v>
      </c>
      <c r="F5" s="3" t="s">
        <v>38</v>
      </c>
      <c r="G5" s="3" t="s">
        <v>291</v>
      </c>
    </row>
    <row r="6" spans="1:7" ht="33" x14ac:dyDescent="0.3">
      <c r="A6" s="6" t="s">
        <v>271</v>
      </c>
      <c r="B6" s="6">
        <v>16</v>
      </c>
      <c r="C6" s="3" t="s">
        <v>293</v>
      </c>
      <c r="D6" s="3" t="s">
        <v>292</v>
      </c>
      <c r="E6" s="3" t="s">
        <v>37</v>
      </c>
      <c r="F6" s="3" t="s">
        <v>38</v>
      </c>
      <c r="G6" s="3" t="s">
        <v>294</v>
      </c>
    </row>
    <row r="7" spans="1:7" ht="33" x14ac:dyDescent="0.3">
      <c r="A7" s="6" t="s">
        <v>271</v>
      </c>
      <c r="B7" s="6">
        <v>26</v>
      </c>
      <c r="C7" s="3" t="s">
        <v>311</v>
      </c>
      <c r="D7" s="3" t="s">
        <v>310</v>
      </c>
      <c r="E7" s="3" t="s">
        <v>51</v>
      </c>
      <c r="F7" s="3" t="s">
        <v>38</v>
      </c>
      <c r="G7" s="3" t="s">
        <v>312</v>
      </c>
    </row>
    <row r="8" spans="1:7" ht="33" x14ac:dyDescent="0.3">
      <c r="A8" s="6" t="s">
        <v>271</v>
      </c>
      <c r="B8" s="6">
        <v>32</v>
      </c>
      <c r="C8" s="3" t="s">
        <v>320</v>
      </c>
      <c r="D8" s="3" t="s">
        <v>319</v>
      </c>
      <c r="E8" s="3" t="s">
        <v>51</v>
      </c>
      <c r="F8" s="3" t="s">
        <v>38</v>
      </c>
      <c r="G8" s="3" t="s">
        <v>321</v>
      </c>
    </row>
    <row r="9" spans="1:7" ht="33" x14ac:dyDescent="0.3">
      <c r="A9" s="6" t="s">
        <v>271</v>
      </c>
      <c r="B9" s="6">
        <v>38</v>
      </c>
      <c r="C9" s="3" t="s">
        <v>325</v>
      </c>
      <c r="D9" s="3" t="s">
        <v>324</v>
      </c>
      <c r="E9" s="3" t="s">
        <v>37</v>
      </c>
      <c r="F9" s="3" t="s">
        <v>38</v>
      </c>
      <c r="G9" s="3" t="s">
        <v>326</v>
      </c>
    </row>
    <row r="10" spans="1:7" ht="33" x14ac:dyDescent="0.3">
      <c r="A10" s="6" t="s">
        <v>271</v>
      </c>
      <c r="B10" s="6">
        <v>67</v>
      </c>
      <c r="C10" s="3" t="s">
        <v>325</v>
      </c>
      <c r="D10" s="3" t="s">
        <v>341</v>
      </c>
      <c r="E10" s="3" t="s">
        <v>37</v>
      </c>
      <c r="F10" s="3" t="s">
        <v>38</v>
      </c>
      <c r="G10" s="3" t="s">
        <v>342</v>
      </c>
    </row>
    <row r="11" spans="1:7" ht="33" x14ac:dyDescent="0.3">
      <c r="A11" s="6" t="s">
        <v>271</v>
      </c>
      <c r="B11" s="6">
        <v>127</v>
      </c>
      <c r="C11" s="3" t="s">
        <v>356</v>
      </c>
      <c r="D11" s="3" t="s">
        <v>355</v>
      </c>
      <c r="E11" s="3" t="s">
        <v>51</v>
      </c>
      <c r="F11" s="3" t="s">
        <v>38</v>
      </c>
      <c r="G11" s="3" t="s">
        <v>357</v>
      </c>
    </row>
    <row r="12" spans="1:7" ht="33" x14ac:dyDescent="0.3">
      <c r="A12" s="6" t="s">
        <v>358</v>
      </c>
      <c r="B12" s="6">
        <v>13</v>
      </c>
      <c r="C12" s="3" t="s">
        <v>360</v>
      </c>
      <c r="D12" s="3" t="s">
        <v>359</v>
      </c>
      <c r="E12" s="3" t="s">
        <v>37</v>
      </c>
      <c r="F12" s="3" t="s">
        <v>38</v>
      </c>
      <c r="G12" s="3" t="s">
        <v>361</v>
      </c>
    </row>
    <row r="13" spans="1:7" ht="33" x14ac:dyDescent="0.3">
      <c r="A13" s="6" t="s">
        <v>358</v>
      </c>
      <c r="B13" s="6">
        <v>23</v>
      </c>
      <c r="C13" s="3" t="s">
        <v>370</v>
      </c>
      <c r="D13" s="3" t="s">
        <v>369</v>
      </c>
      <c r="E13" s="3" t="s">
        <v>58</v>
      </c>
      <c r="F13" s="3" t="s">
        <v>38</v>
      </c>
      <c r="G13" s="3" t="s">
        <v>371</v>
      </c>
    </row>
    <row r="14" spans="1:7" ht="33" x14ac:dyDescent="0.3">
      <c r="A14" s="6" t="s">
        <v>358</v>
      </c>
      <c r="B14" s="6">
        <v>61</v>
      </c>
      <c r="C14" s="3" t="s">
        <v>382</v>
      </c>
      <c r="D14" s="3" t="s">
        <v>381</v>
      </c>
      <c r="E14" s="3" t="s">
        <v>44</v>
      </c>
      <c r="F14" s="3" t="s">
        <v>38</v>
      </c>
      <c r="G14" s="3" t="s">
        <v>383</v>
      </c>
    </row>
    <row r="15" spans="1:7" ht="33" x14ac:dyDescent="0.3">
      <c r="A15" s="6" t="s">
        <v>358</v>
      </c>
      <c r="B15" s="6">
        <v>85</v>
      </c>
      <c r="C15" s="3" t="s">
        <v>385</v>
      </c>
      <c r="D15" s="3" t="s">
        <v>384</v>
      </c>
      <c r="E15" s="3" t="s">
        <v>167</v>
      </c>
      <c r="F15" s="3" t="s">
        <v>38</v>
      </c>
      <c r="G15" s="3" t="s">
        <v>386</v>
      </c>
    </row>
    <row r="16" spans="1:7" ht="33" x14ac:dyDescent="0.3">
      <c r="A16" s="6" t="s">
        <v>358</v>
      </c>
      <c r="B16" s="6">
        <v>148</v>
      </c>
      <c r="C16" s="3" t="s">
        <v>388</v>
      </c>
      <c r="D16" s="3" t="s">
        <v>387</v>
      </c>
      <c r="E16" s="3" t="s">
        <v>37</v>
      </c>
      <c r="F16" s="3" t="s">
        <v>38</v>
      </c>
      <c r="G16" s="3" t="s">
        <v>389</v>
      </c>
    </row>
    <row r="17" spans="1:7" ht="33" x14ac:dyDescent="0.3">
      <c r="A17" s="6" t="s">
        <v>358</v>
      </c>
      <c r="B17" s="6">
        <v>153</v>
      </c>
      <c r="C17" s="3" t="s">
        <v>388</v>
      </c>
      <c r="D17" s="3" t="s">
        <v>388</v>
      </c>
      <c r="E17" s="3" t="s">
        <v>37</v>
      </c>
      <c r="F17" s="3" t="s">
        <v>38</v>
      </c>
      <c r="G17" s="3" t="s">
        <v>390</v>
      </c>
    </row>
    <row r="18" spans="1:7" ht="33" x14ac:dyDescent="0.3">
      <c r="A18" s="6" t="s">
        <v>358</v>
      </c>
      <c r="B18" s="6">
        <v>195</v>
      </c>
      <c r="C18" s="3" t="s">
        <v>395</v>
      </c>
      <c r="D18" s="3" t="s">
        <v>394</v>
      </c>
      <c r="E18" s="3" t="s">
        <v>37</v>
      </c>
      <c r="F18" s="3" t="s">
        <v>38</v>
      </c>
      <c r="G18" s="3" t="s">
        <v>396</v>
      </c>
    </row>
    <row r="19" spans="1:7" ht="33" x14ac:dyDescent="0.3">
      <c r="A19" s="6" t="s">
        <v>358</v>
      </c>
      <c r="B19" s="6">
        <v>197</v>
      </c>
      <c r="C19" s="3" t="s">
        <v>398</v>
      </c>
      <c r="D19" s="3" t="s">
        <v>397</v>
      </c>
      <c r="E19" s="3" t="s">
        <v>51</v>
      </c>
      <c r="F19" s="3" t="s">
        <v>38</v>
      </c>
      <c r="G19" s="3" t="s">
        <v>399</v>
      </c>
    </row>
    <row r="20" spans="1:7" ht="33" x14ac:dyDescent="0.3">
      <c r="A20" s="6" t="s">
        <v>358</v>
      </c>
      <c r="B20" s="6">
        <v>198</v>
      </c>
      <c r="C20" s="3" t="s">
        <v>400</v>
      </c>
      <c r="D20" s="3" t="s">
        <v>400</v>
      </c>
      <c r="E20" s="3" t="s">
        <v>167</v>
      </c>
      <c r="F20" s="3" t="s">
        <v>38</v>
      </c>
      <c r="G20" s="3" t="s">
        <v>401</v>
      </c>
    </row>
    <row r="21" spans="1:7" ht="33" x14ac:dyDescent="0.3">
      <c r="A21" s="6" t="s">
        <v>358</v>
      </c>
      <c r="B21" s="6">
        <v>255</v>
      </c>
      <c r="C21" s="3" t="s">
        <v>311</v>
      </c>
      <c r="D21" s="3" t="s">
        <v>409</v>
      </c>
      <c r="E21" s="3" t="s">
        <v>51</v>
      </c>
      <c r="F21" s="3" t="s">
        <v>38</v>
      </c>
      <c r="G21" s="3" t="s">
        <v>410</v>
      </c>
    </row>
    <row r="22" spans="1:7" ht="33" x14ac:dyDescent="0.3">
      <c r="A22" s="6" t="s">
        <v>422</v>
      </c>
      <c r="B22" s="6">
        <v>17</v>
      </c>
      <c r="C22" s="3" t="s">
        <v>424</v>
      </c>
      <c r="D22" s="3" t="s">
        <v>423</v>
      </c>
      <c r="E22" s="3" t="s">
        <v>44</v>
      </c>
      <c r="F22" s="3" t="s">
        <v>38</v>
      </c>
      <c r="G22" s="3" t="s">
        <v>425</v>
      </c>
    </row>
    <row r="23" spans="1:7" ht="33" x14ac:dyDescent="0.3">
      <c r="A23" s="6" t="s">
        <v>422</v>
      </c>
      <c r="B23" s="6">
        <v>21</v>
      </c>
      <c r="C23" s="3" t="s">
        <v>427</v>
      </c>
      <c r="D23" s="3" t="s">
        <v>426</v>
      </c>
      <c r="E23" s="3" t="s">
        <v>37</v>
      </c>
      <c r="F23" s="3" t="s">
        <v>38</v>
      </c>
      <c r="G23" s="3" t="s">
        <v>428</v>
      </c>
    </row>
    <row r="24" spans="1:7" ht="33" x14ac:dyDescent="0.3">
      <c r="A24" s="6" t="s">
        <v>422</v>
      </c>
      <c r="B24" s="6">
        <v>22</v>
      </c>
      <c r="C24" s="3" t="s">
        <v>430</v>
      </c>
      <c r="D24" s="3" t="s">
        <v>429</v>
      </c>
      <c r="E24" s="3" t="s">
        <v>37</v>
      </c>
      <c r="F24" s="3" t="s">
        <v>38</v>
      </c>
      <c r="G24" s="3" t="s">
        <v>431</v>
      </c>
    </row>
    <row r="25" spans="1:7" ht="33" x14ac:dyDescent="0.3">
      <c r="A25" s="6" t="s">
        <v>422</v>
      </c>
      <c r="B25" s="6">
        <v>23</v>
      </c>
      <c r="C25" s="3" t="s">
        <v>432</v>
      </c>
      <c r="D25" s="3" t="s">
        <v>432</v>
      </c>
      <c r="E25" s="3" t="s">
        <v>167</v>
      </c>
      <c r="F25" s="3" t="s">
        <v>38</v>
      </c>
      <c r="G25" s="3" t="s">
        <v>433</v>
      </c>
    </row>
    <row r="26" spans="1:7" ht="33" x14ac:dyDescent="0.3">
      <c r="A26" s="6" t="s">
        <v>422</v>
      </c>
      <c r="B26" s="6">
        <v>69</v>
      </c>
      <c r="C26" s="3" t="s">
        <v>451</v>
      </c>
      <c r="D26" s="3" t="s">
        <v>450</v>
      </c>
      <c r="E26" s="3" t="s">
        <v>51</v>
      </c>
      <c r="F26" s="3" t="s">
        <v>38</v>
      </c>
      <c r="G26" s="3" t="s">
        <v>452</v>
      </c>
    </row>
    <row r="27" spans="1:7" ht="33" x14ac:dyDescent="0.3">
      <c r="A27" s="6" t="s">
        <v>422</v>
      </c>
      <c r="B27" s="6">
        <v>76</v>
      </c>
      <c r="C27" s="3" t="s">
        <v>453</v>
      </c>
      <c r="D27" s="3" t="s">
        <v>453</v>
      </c>
      <c r="E27" s="3" t="s">
        <v>37</v>
      </c>
      <c r="F27" s="3" t="s">
        <v>38</v>
      </c>
      <c r="G27" s="3" t="s">
        <v>454</v>
      </c>
    </row>
    <row r="28" spans="1:7" ht="33" x14ac:dyDescent="0.3">
      <c r="A28" s="6" t="s">
        <v>422</v>
      </c>
      <c r="B28" s="6">
        <v>84</v>
      </c>
      <c r="C28" s="3" t="s">
        <v>457</v>
      </c>
      <c r="D28" s="3" t="s">
        <v>457</v>
      </c>
      <c r="E28" s="3" t="s">
        <v>37</v>
      </c>
      <c r="F28" s="3" t="s">
        <v>38</v>
      </c>
      <c r="G28" s="3" t="s">
        <v>458</v>
      </c>
    </row>
    <row r="29" spans="1:7" ht="33" x14ac:dyDescent="0.3">
      <c r="A29" s="6" t="s">
        <v>422</v>
      </c>
      <c r="B29" s="6">
        <v>87</v>
      </c>
      <c r="C29" s="3" t="s">
        <v>459</v>
      </c>
      <c r="D29" s="3" t="s">
        <v>459</v>
      </c>
      <c r="E29" s="3" t="s">
        <v>37</v>
      </c>
      <c r="F29" s="3" t="s">
        <v>38</v>
      </c>
      <c r="G29" s="3" t="s">
        <v>460</v>
      </c>
    </row>
    <row r="30" spans="1:7" ht="33" x14ac:dyDescent="0.3">
      <c r="A30" s="6" t="s">
        <v>422</v>
      </c>
      <c r="B30" s="6">
        <v>103</v>
      </c>
      <c r="C30" s="3" t="s">
        <v>467</v>
      </c>
      <c r="D30" s="3" t="s">
        <v>467</v>
      </c>
      <c r="E30" s="3" t="s">
        <v>37</v>
      </c>
      <c r="F30" s="3" t="s">
        <v>38</v>
      </c>
      <c r="G30" s="3" t="s">
        <v>468</v>
      </c>
    </row>
    <row r="31" spans="1:7" ht="33" x14ac:dyDescent="0.3">
      <c r="A31" s="6" t="s">
        <v>422</v>
      </c>
      <c r="B31" s="6">
        <v>159</v>
      </c>
      <c r="C31" s="3" t="s">
        <v>484</v>
      </c>
      <c r="D31" s="3" t="s">
        <v>483</v>
      </c>
      <c r="E31" s="3" t="s">
        <v>37</v>
      </c>
      <c r="F31" s="3" t="s">
        <v>38</v>
      </c>
      <c r="G31" s="3" t="s">
        <v>485</v>
      </c>
    </row>
    <row r="32" spans="1:7" ht="33" x14ac:dyDescent="0.3">
      <c r="A32" s="6" t="s">
        <v>486</v>
      </c>
      <c r="B32" s="6">
        <v>28</v>
      </c>
      <c r="C32" s="3" t="s">
        <v>487</v>
      </c>
      <c r="D32" s="3" t="s">
        <v>487</v>
      </c>
      <c r="E32" s="3" t="s">
        <v>44</v>
      </c>
      <c r="F32" s="3" t="s">
        <v>38</v>
      </c>
      <c r="G32" s="3" t="s">
        <v>488</v>
      </c>
    </row>
    <row r="33" spans="1:7" ht="33" x14ac:dyDescent="0.3">
      <c r="A33" s="6" t="s">
        <v>486</v>
      </c>
      <c r="B33" s="6">
        <v>56</v>
      </c>
      <c r="C33" s="3" t="s">
        <v>427</v>
      </c>
      <c r="D33" s="3" t="s">
        <v>489</v>
      </c>
      <c r="E33" s="3" t="s">
        <v>37</v>
      </c>
      <c r="F33" s="3" t="s">
        <v>38</v>
      </c>
      <c r="G33" s="3" t="s">
        <v>490</v>
      </c>
    </row>
    <row r="34" spans="1:7" ht="33" x14ac:dyDescent="0.3">
      <c r="A34" s="6" t="s">
        <v>486</v>
      </c>
      <c r="B34" s="6">
        <v>72</v>
      </c>
      <c r="C34" s="3" t="s">
        <v>356</v>
      </c>
      <c r="D34" s="3" t="s">
        <v>499</v>
      </c>
      <c r="E34" s="3" t="s">
        <v>51</v>
      </c>
      <c r="F34" s="3" t="s">
        <v>38</v>
      </c>
      <c r="G34" s="3" t="s">
        <v>500</v>
      </c>
    </row>
    <row r="35" spans="1:7" ht="33" x14ac:dyDescent="0.3">
      <c r="A35" s="6" t="s">
        <v>486</v>
      </c>
      <c r="B35" s="6">
        <v>88</v>
      </c>
      <c r="C35" s="3" t="s">
        <v>502</v>
      </c>
      <c r="D35" s="3" t="s">
        <v>501</v>
      </c>
      <c r="E35" s="3" t="s">
        <v>37</v>
      </c>
      <c r="F35" s="3" t="s">
        <v>38</v>
      </c>
      <c r="G35" s="3" t="s">
        <v>503</v>
      </c>
    </row>
    <row r="36" spans="1:7" ht="33" x14ac:dyDescent="0.3">
      <c r="A36" s="6" t="s">
        <v>486</v>
      </c>
      <c r="B36" s="6">
        <v>172</v>
      </c>
      <c r="C36" s="3" t="s">
        <v>510</v>
      </c>
      <c r="D36" s="3" t="s">
        <v>509</v>
      </c>
      <c r="E36" s="3" t="s">
        <v>44</v>
      </c>
      <c r="F36" s="3" t="s">
        <v>38</v>
      </c>
      <c r="G36" s="3" t="s">
        <v>511</v>
      </c>
    </row>
    <row r="37" spans="1:7" ht="33" x14ac:dyDescent="0.3">
      <c r="A37" s="6" t="s">
        <v>558</v>
      </c>
      <c r="B37" s="6">
        <v>1</v>
      </c>
      <c r="C37" s="3" t="s">
        <v>560</v>
      </c>
      <c r="D37" s="3" t="s">
        <v>559</v>
      </c>
      <c r="E37" s="3" t="s">
        <v>37</v>
      </c>
      <c r="F37" s="3" t="s">
        <v>38</v>
      </c>
      <c r="G37" s="3" t="s">
        <v>561</v>
      </c>
    </row>
    <row r="38" spans="1:7" ht="33" x14ac:dyDescent="0.3">
      <c r="A38" s="6" t="s">
        <v>558</v>
      </c>
      <c r="B38" s="6">
        <v>2</v>
      </c>
      <c r="C38" s="3" t="s">
        <v>563</v>
      </c>
      <c r="D38" s="3" t="s">
        <v>562</v>
      </c>
      <c r="E38" s="3" t="s">
        <v>37</v>
      </c>
      <c r="F38" s="3" t="s">
        <v>38</v>
      </c>
      <c r="G38" s="3" t="s">
        <v>564</v>
      </c>
    </row>
    <row r="39" spans="1:7" ht="33" x14ac:dyDescent="0.3">
      <c r="A39" s="6" t="s">
        <v>558</v>
      </c>
      <c r="B39" s="6">
        <v>2</v>
      </c>
      <c r="C39" s="3" t="s">
        <v>566</v>
      </c>
      <c r="D39" s="3" t="s">
        <v>565</v>
      </c>
      <c r="E39" s="3" t="s">
        <v>167</v>
      </c>
      <c r="F39" s="3" t="s">
        <v>38</v>
      </c>
      <c r="G39" s="3" t="s">
        <v>567</v>
      </c>
    </row>
    <row r="40" spans="1:7" ht="33" x14ac:dyDescent="0.3">
      <c r="A40" s="6" t="s">
        <v>558</v>
      </c>
      <c r="B40" s="6">
        <v>3</v>
      </c>
      <c r="C40" s="3" t="s">
        <v>569</v>
      </c>
      <c r="D40" s="3" t="s">
        <v>568</v>
      </c>
      <c r="E40" s="3" t="s">
        <v>80</v>
      </c>
      <c r="F40" s="3" t="s">
        <v>38</v>
      </c>
      <c r="G40" s="3" t="s">
        <v>570</v>
      </c>
    </row>
    <row r="41" spans="1:7" ht="33" x14ac:dyDescent="0.3">
      <c r="A41" s="6" t="s">
        <v>558</v>
      </c>
      <c r="B41" s="6">
        <v>4</v>
      </c>
      <c r="C41" s="3" t="s">
        <v>566</v>
      </c>
      <c r="D41" s="3" t="s">
        <v>574</v>
      </c>
      <c r="E41" s="3" t="s">
        <v>167</v>
      </c>
      <c r="F41" s="3" t="s">
        <v>38</v>
      </c>
      <c r="G41" s="3" t="s">
        <v>575</v>
      </c>
    </row>
    <row r="42" spans="1:7" ht="33" x14ac:dyDescent="0.3">
      <c r="A42" s="6" t="s">
        <v>558</v>
      </c>
      <c r="B42" s="6">
        <v>5</v>
      </c>
      <c r="C42" s="3" t="s">
        <v>577</v>
      </c>
      <c r="D42" s="3" t="s">
        <v>576</v>
      </c>
      <c r="E42" s="3" t="s">
        <v>37</v>
      </c>
      <c r="F42" s="3" t="s">
        <v>38</v>
      </c>
      <c r="G42" s="3" t="s">
        <v>578</v>
      </c>
    </row>
    <row r="43" spans="1:7" ht="33" x14ac:dyDescent="0.3">
      <c r="A43" s="6" t="s">
        <v>558</v>
      </c>
      <c r="B43" s="6">
        <v>12</v>
      </c>
      <c r="C43" s="3" t="s">
        <v>311</v>
      </c>
      <c r="D43" s="3" t="s">
        <v>582</v>
      </c>
      <c r="E43" s="3" t="s">
        <v>51</v>
      </c>
      <c r="F43" s="3" t="s">
        <v>38</v>
      </c>
      <c r="G43" s="3" t="s">
        <v>583</v>
      </c>
    </row>
    <row r="44" spans="1:7" ht="33" x14ac:dyDescent="0.3">
      <c r="A44" s="6" t="s">
        <v>558</v>
      </c>
      <c r="B44" s="6">
        <v>23</v>
      </c>
      <c r="C44" s="3" t="s">
        <v>588</v>
      </c>
      <c r="D44" s="3" t="s">
        <v>587</v>
      </c>
      <c r="E44" s="3" t="s">
        <v>37</v>
      </c>
      <c r="F44" s="3" t="s">
        <v>38</v>
      </c>
      <c r="G44" s="3" t="s">
        <v>589</v>
      </c>
    </row>
    <row r="45" spans="1:7" ht="33" x14ac:dyDescent="0.3">
      <c r="A45" s="6" t="s">
        <v>558</v>
      </c>
      <c r="B45" s="6">
        <v>25</v>
      </c>
      <c r="C45" s="3" t="s">
        <v>591</v>
      </c>
      <c r="D45" s="3" t="s">
        <v>590</v>
      </c>
      <c r="E45" s="3" t="s">
        <v>37</v>
      </c>
      <c r="F45" s="3" t="s">
        <v>38</v>
      </c>
      <c r="G45" s="3" t="s">
        <v>592</v>
      </c>
    </row>
    <row r="46" spans="1:7" ht="33" x14ac:dyDescent="0.3">
      <c r="A46" s="6" t="s">
        <v>558</v>
      </c>
      <c r="B46" s="6">
        <v>35</v>
      </c>
      <c r="C46" s="3" t="s">
        <v>597</v>
      </c>
      <c r="D46" s="3" t="s">
        <v>596</v>
      </c>
      <c r="E46" s="3" t="s">
        <v>37</v>
      </c>
      <c r="F46" s="3" t="s">
        <v>38</v>
      </c>
      <c r="G46" s="3" t="s">
        <v>598</v>
      </c>
    </row>
    <row r="47" spans="1:7" ht="33" x14ac:dyDescent="0.3">
      <c r="A47" s="6" t="s">
        <v>558</v>
      </c>
      <c r="B47" s="6">
        <v>37</v>
      </c>
      <c r="C47" s="3" t="s">
        <v>600</v>
      </c>
      <c r="D47" s="3" t="s">
        <v>599</v>
      </c>
      <c r="E47" s="3" t="s">
        <v>37</v>
      </c>
      <c r="F47" s="3" t="s">
        <v>38</v>
      </c>
      <c r="G47" s="3" t="s">
        <v>601</v>
      </c>
    </row>
    <row r="48" spans="1:7" ht="33" x14ac:dyDescent="0.3">
      <c r="A48" s="6" t="s">
        <v>558</v>
      </c>
      <c r="B48" s="6">
        <v>62</v>
      </c>
      <c r="C48" s="3" t="s">
        <v>606</v>
      </c>
      <c r="D48" s="3" t="s">
        <v>605</v>
      </c>
      <c r="E48" s="3" t="s">
        <v>37</v>
      </c>
      <c r="F48" s="3" t="s">
        <v>38</v>
      </c>
      <c r="G48" s="3" t="s">
        <v>607</v>
      </c>
    </row>
    <row r="49" spans="1:7" ht="33" x14ac:dyDescent="0.3">
      <c r="A49" s="6" t="s">
        <v>558</v>
      </c>
      <c r="B49" s="6">
        <v>88</v>
      </c>
      <c r="C49" s="3" t="s">
        <v>609</v>
      </c>
      <c r="D49" s="3" t="s">
        <v>608</v>
      </c>
      <c r="E49" s="3" t="s">
        <v>51</v>
      </c>
      <c r="F49" s="3" t="s">
        <v>38</v>
      </c>
      <c r="G49" s="3" t="s">
        <v>610</v>
      </c>
    </row>
    <row r="50" spans="1:7" ht="33" x14ac:dyDescent="0.3">
      <c r="A50" s="6" t="s">
        <v>558</v>
      </c>
      <c r="B50" s="6">
        <v>89</v>
      </c>
      <c r="C50" s="3" t="s">
        <v>612</v>
      </c>
      <c r="D50" s="3" t="s">
        <v>611</v>
      </c>
      <c r="E50" s="3" t="s">
        <v>51</v>
      </c>
      <c r="F50" s="3" t="s">
        <v>38</v>
      </c>
      <c r="G50" s="3" t="s">
        <v>613</v>
      </c>
    </row>
    <row r="51" spans="1:7" ht="33" x14ac:dyDescent="0.3">
      <c r="A51" s="6" t="s">
        <v>558</v>
      </c>
      <c r="B51" s="6">
        <v>95</v>
      </c>
      <c r="C51" s="3" t="s">
        <v>615</v>
      </c>
      <c r="D51" s="3" t="s">
        <v>614</v>
      </c>
      <c r="E51" s="3" t="s">
        <v>51</v>
      </c>
      <c r="F51" s="3" t="s">
        <v>38</v>
      </c>
      <c r="G51" s="3" t="s">
        <v>616</v>
      </c>
    </row>
    <row r="52" spans="1:7" ht="33" x14ac:dyDescent="0.3">
      <c r="A52" s="6" t="s">
        <v>558</v>
      </c>
      <c r="B52" s="6">
        <v>263</v>
      </c>
      <c r="C52" s="3" t="s">
        <v>621</v>
      </c>
      <c r="D52" s="3" t="s">
        <v>620</v>
      </c>
      <c r="E52" s="3" t="s">
        <v>58</v>
      </c>
      <c r="F52" s="3" t="s">
        <v>38</v>
      </c>
      <c r="G52" s="3" t="s">
        <v>622</v>
      </c>
    </row>
    <row r="53" spans="1:7" ht="33" x14ac:dyDescent="0.3">
      <c r="A53" s="6" t="s">
        <v>558</v>
      </c>
      <c r="B53" s="6">
        <v>333</v>
      </c>
      <c r="C53" s="3" t="s">
        <v>633</v>
      </c>
      <c r="D53" s="3" t="s">
        <v>632</v>
      </c>
      <c r="E53" s="3" t="s">
        <v>167</v>
      </c>
      <c r="F53" s="3" t="s">
        <v>38</v>
      </c>
      <c r="G53" s="3" t="s">
        <v>634</v>
      </c>
    </row>
    <row r="54" spans="1:7" ht="33" x14ac:dyDescent="0.3">
      <c r="A54" s="6" t="s">
        <v>558</v>
      </c>
      <c r="B54" s="6">
        <v>334</v>
      </c>
      <c r="C54" s="3" t="s">
        <v>636</v>
      </c>
      <c r="D54" s="3" t="s">
        <v>635</v>
      </c>
      <c r="E54" s="3" t="s">
        <v>44</v>
      </c>
      <c r="F54" s="3" t="s">
        <v>38</v>
      </c>
      <c r="G54" s="3" t="s">
        <v>637</v>
      </c>
    </row>
    <row r="55" spans="1:7" ht="33" x14ac:dyDescent="0.3">
      <c r="A55" s="6" t="s">
        <v>558</v>
      </c>
      <c r="B55" s="6">
        <v>335</v>
      </c>
      <c r="C55" s="3" t="s">
        <v>639</v>
      </c>
      <c r="D55" s="3" t="s">
        <v>638</v>
      </c>
      <c r="E55" s="3" t="s">
        <v>51</v>
      </c>
      <c r="F55" s="3" t="s">
        <v>38</v>
      </c>
      <c r="G55" s="3" t="s">
        <v>640</v>
      </c>
    </row>
    <row r="56" spans="1:7" ht="33" x14ac:dyDescent="0.3">
      <c r="A56" s="6" t="s">
        <v>558</v>
      </c>
      <c r="B56" s="6">
        <v>350</v>
      </c>
      <c r="C56" s="3" t="s">
        <v>642</v>
      </c>
      <c r="D56" s="3" t="s">
        <v>641</v>
      </c>
      <c r="E56" s="3" t="s">
        <v>37</v>
      </c>
      <c r="F56" s="3" t="s">
        <v>38</v>
      </c>
      <c r="G56" s="3" t="s">
        <v>643</v>
      </c>
    </row>
    <row r="57" spans="1:7" ht="33" x14ac:dyDescent="0.3">
      <c r="A57" s="6" t="s">
        <v>652</v>
      </c>
      <c r="B57" s="6">
        <v>37</v>
      </c>
      <c r="C57" s="3" t="s">
        <v>674</v>
      </c>
      <c r="D57" s="3" t="s">
        <v>673</v>
      </c>
      <c r="E57" s="3" t="s">
        <v>37</v>
      </c>
      <c r="F57" s="3" t="s">
        <v>38</v>
      </c>
      <c r="G57" s="3" t="s">
        <v>675</v>
      </c>
    </row>
  </sheetData>
  <autoFilter ref="A3:G57" xr:uid="{00000000-0009-0000-0000-000008000000}"/>
  <mergeCells count="1">
    <mergeCell ref="A1:G1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workbookViewId="0"/>
  </sheetViews>
  <sheetFormatPr defaultRowHeight="16.5" x14ac:dyDescent="0.3"/>
  <cols>
    <col min="1" max="1" width="20" customWidth="1"/>
    <col min="2" max="2" width="14" customWidth="1"/>
    <col min="3" max="3" width="16" customWidth="1"/>
    <col min="4" max="5" width="14" customWidth="1"/>
    <col min="6" max="6" width="18" customWidth="1"/>
  </cols>
  <sheetData>
    <row r="1" spans="1:6" ht="24" customHeight="1" x14ac:dyDescent="0.3">
      <c r="A1" s="22" t="s">
        <v>745</v>
      </c>
      <c r="B1" s="21"/>
      <c r="C1" s="21"/>
      <c r="D1" s="21"/>
      <c r="E1" s="21"/>
      <c r="F1" s="21"/>
    </row>
    <row r="2" spans="1:6" x14ac:dyDescent="0.3">
      <c r="A2" s="8"/>
      <c r="B2" s="7"/>
      <c r="C2" s="7"/>
      <c r="D2" s="7"/>
      <c r="E2" s="7"/>
      <c r="F2" s="7"/>
    </row>
    <row r="3" spans="1:6" x14ac:dyDescent="0.3">
      <c r="A3" s="9" t="s">
        <v>25</v>
      </c>
      <c r="B3" s="4" t="s">
        <v>746</v>
      </c>
      <c r="C3" s="4" t="s">
        <v>747</v>
      </c>
      <c r="D3" s="4" t="s">
        <v>748</v>
      </c>
      <c r="E3" s="4" t="s">
        <v>749</v>
      </c>
      <c r="F3" s="4" t="s">
        <v>750</v>
      </c>
    </row>
    <row r="4" spans="1:6" x14ac:dyDescent="0.3">
      <c r="A4" s="10" t="s">
        <v>34</v>
      </c>
      <c r="B4" s="11" t="s">
        <v>751</v>
      </c>
      <c r="C4" s="18">
        <v>119</v>
      </c>
      <c r="D4" s="18">
        <v>71</v>
      </c>
      <c r="E4" s="18">
        <v>81</v>
      </c>
      <c r="F4" s="13">
        <f t="shared" ref="F4:F10" si="0">D4/(D4+E4)*100</f>
        <v>46.710526315789473</v>
      </c>
    </row>
    <row r="5" spans="1:6" x14ac:dyDescent="0.3">
      <c r="A5" s="10" t="s">
        <v>271</v>
      </c>
      <c r="B5" s="11" t="s">
        <v>752</v>
      </c>
      <c r="C5" s="18">
        <v>94</v>
      </c>
      <c r="D5" s="18">
        <v>62</v>
      </c>
      <c r="E5" s="18">
        <v>47</v>
      </c>
      <c r="F5" s="13">
        <f t="shared" si="0"/>
        <v>56.88073394495413</v>
      </c>
    </row>
    <row r="6" spans="1:6" x14ac:dyDescent="0.3">
      <c r="A6" s="10" t="s">
        <v>486</v>
      </c>
      <c r="B6" s="11" t="s">
        <v>752</v>
      </c>
      <c r="C6" s="18">
        <v>75</v>
      </c>
      <c r="D6" s="18">
        <v>41</v>
      </c>
      <c r="E6" s="18">
        <v>50</v>
      </c>
      <c r="F6" s="13">
        <f t="shared" si="0"/>
        <v>45.054945054945058</v>
      </c>
    </row>
    <row r="7" spans="1:6" x14ac:dyDescent="0.3">
      <c r="A7" s="10" t="s">
        <v>558</v>
      </c>
      <c r="B7" s="11" t="s">
        <v>752</v>
      </c>
      <c r="C7" s="18">
        <v>60</v>
      </c>
      <c r="D7" s="18">
        <v>57</v>
      </c>
      <c r="E7" s="18">
        <v>29</v>
      </c>
      <c r="F7" s="13">
        <f t="shared" si="0"/>
        <v>66.279069767441854</v>
      </c>
    </row>
    <row r="8" spans="1:6" x14ac:dyDescent="0.3">
      <c r="A8" s="10" t="s">
        <v>652</v>
      </c>
      <c r="B8" s="11" t="s">
        <v>752</v>
      </c>
      <c r="C8" s="18">
        <v>18</v>
      </c>
      <c r="D8" s="18">
        <v>12</v>
      </c>
      <c r="E8" s="18">
        <v>5</v>
      </c>
      <c r="F8" s="13">
        <f t="shared" si="0"/>
        <v>70.588235294117652</v>
      </c>
    </row>
    <row r="9" spans="1:6" x14ac:dyDescent="0.3">
      <c r="A9" s="10" t="s">
        <v>358</v>
      </c>
      <c r="B9" s="11" t="s">
        <v>752</v>
      </c>
      <c r="C9" s="18">
        <v>82</v>
      </c>
      <c r="D9" s="18">
        <v>35</v>
      </c>
      <c r="E9" s="18">
        <v>38</v>
      </c>
      <c r="F9" s="13">
        <f t="shared" si="0"/>
        <v>47.945205479452049</v>
      </c>
    </row>
    <row r="10" spans="1:6" x14ac:dyDescent="0.3">
      <c r="A10" s="10" t="s">
        <v>422</v>
      </c>
      <c r="B10" s="11" t="s">
        <v>752</v>
      </c>
      <c r="C10" s="18">
        <v>80</v>
      </c>
      <c r="D10" s="18">
        <v>67</v>
      </c>
      <c r="E10" s="18">
        <v>43</v>
      </c>
      <c r="F10" s="13">
        <f t="shared" si="0"/>
        <v>60.909090909090914</v>
      </c>
    </row>
    <row r="11" spans="1:6" x14ac:dyDescent="0.3">
      <c r="A11" s="10" t="s">
        <v>753</v>
      </c>
      <c r="B11" s="11" t="s">
        <v>752</v>
      </c>
      <c r="C11" s="18">
        <v>7</v>
      </c>
      <c r="D11" s="18">
        <v>0</v>
      </c>
      <c r="E11" s="18">
        <v>5</v>
      </c>
      <c r="F11" s="7" t="s">
        <v>754</v>
      </c>
    </row>
    <row r="12" spans="1:6" x14ac:dyDescent="0.3">
      <c r="A12" s="14" t="s">
        <v>755</v>
      </c>
      <c r="B12" s="15"/>
      <c r="C12" s="16">
        <f>SUM(C5:C10)</f>
        <v>409</v>
      </c>
      <c r="D12" s="16">
        <f>SUM(D5:D10)</f>
        <v>274</v>
      </c>
      <c r="E12" s="16">
        <f>SUM(E5:E10)</f>
        <v>212</v>
      </c>
      <c r="F12" s="17">
        <f>D12/(D12+E12)*100</f>
        <v>56.378600823045268</v>
      </c>
    </row>
    <row r="13" spans="1:6" x14ac:dyDescent="0.3">
      <c r="A13" s="8"/>
      <c r="B13" s="7"/>
      <c r="C13" s="7"/>
      <c r="D13" s="7"/>
      <c r="E13" s="7"/>
      <c r="F13" s="7"/>
    </row>
    <row r="14" spans="1:6" x14ac:dyDescent="0.3">
      <c r="A14" s="8" t="s">
        <v>756</v>
      </c>
      <c r="B14" s="23" t="s">
        <v>757</v>
      </c>
      <c r="C14" s="21"/>
      <c r="D14" s="21"/>
      <c r="E14" s="21"/>
      <c r="F14" s="21"/>
    </row>
  </sheetData>
  <mergeCells count="2">
    <mergeCell ref="A1:F1"/>
    <mergeCell ref="B14:F14"/>
  </mergeCells>
  <phoneticPr fontId="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0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24" customWidth="1"/>
    <col min="2" max="2" width="8" customWidth="1"/>
    <col min="3" max="3" width="12" customWidth="1"/>
    <col min="4" max="4" width="14" customWidth="1"/>
    <col min="5" max="5" width="45" customWidth="1"/>
  </cols>
  <sheetData>
    <row r="1" spans="1:5" ht="24" customHeight="1" x14ac:dyDescent="0.3">
      <c r="A1" s="20" t="s">
        <v>758</v>
      </c>
      <c r="B1" s="21"/>
      <c r="C1" s="21"/>
      <c r="D1" s="21"/>
      <c r="E1" s="21"/>
    </row>
    <row r="3" spans="1:5" x14ac:dyDescent="0.3">
      <c r="A3" s="4" t="s">
        <v>740</v>
      </c>
      <c r="B3" s="4" t="s">
        <v>759</v>
      </c>
      <c r="C3" s="4" t="s">
        <v>760</v>
      </c>
      <c r="D3" s="4" t="s">
        <v>761</v>
      </c>
      <c r="E3" s="4" t="s">
        <v>762</v>
      </c>
    </row>
    <row r="4" spans="1:5" x14ac:dyDescent="0.3">
      <c r="A4" s="3" t="s">
        <v>763</v>
      </c>
      <c r="B4" s="3">
        <v>1</v>
      </c>
      <c r="C4" s="3" t="s">
        <v>764</v>
      </c>
      <c r="D4" s="3">
        <v>32</v>
      </c>
      <c r="E4" s="3"/>
    </row>
    <row r="5" spans="1:5" x14ac:dyDescent="0.3">
      <c r="A5" s="3" t="s">
        <v>763</v>
      </c>
      <c r="B5" s="3">
        <v>2</v>
      </c>
      <c r="C5" s="3" t="s">
        <v>765</v>
      </c>
      <c r="D5" s="3">
        <v>32</v>
      </c>
      <c r="E5" s="3"/>
    </row>
    <row r="6" spans="1:5" x14ac:dyDescent="0.3">
      <c r="A6" s="3" t="s">
        <v>763</v>
      </c>
      <c r="B6" s="3">
        <v>3</v>
      </c>
      <c r="C6" s="3" t="s">
        <v>766</v>
      </c>
      <c r="D6" s="3">
        <v>32</v>
      </c>
      <c r="E6" s="3"/>
    </row>
    <row r="7" spans="1:5" x14ac:dyDescent="0.3">
      <c r="A7" s="3" t="s">
        <v>763</v>
      </c>
      <c r="B7" s="3">
        <v>4</v>
      </c>
      <c r="C7" s="3" t="s">
        <v>767</v>
      </c>
      <c r="D7" s="3">
        <v>32</v>
      </c>
      <c r="E7" s="3"/>
    </row>
    <row r="8" spans="1:5" x14ac:dyDescent="0.3">
      <c r="A8" s="3" t="s">
        <v>763</v>
      </c>
      <c r="B8" s="3">
        <v>5</v>
      </c>
      <c r="C8" s="3" t="s">
        <v>768</v>
      </c>
      <c r="D8" s="3">
        <v>32</v>
      </c>
      <c r="E8" s="3"/>
    </row>
    <row r="9" spans="1:5" x14ac:dyDescent="0.3">
      <c r="A9" s="3" t="s">
        <v>763</v>
      </c>
      <c r="B9" s="3">
        <v>6</v>
      </c>
      <c r="C9" s="3" t="s">
        <v>769</v>
      </c>
      <c r="D9" s="3">
        <v>32</v>
      </c>
      <c r="E9" s="3"/>
    </row>
    <row r="10" spans="1:5" x14ac:dyDescent="0.3">
      <c r="A10" s="3" t="s">
        <v>763</v>
      </c>
      <c r="B10" s="3">
        <v>7</v>
      </c>
      <c r="C10" s="3" t="s">
        <v>770</v>
      </c>
      <c r="D10" s="3">
        <v>32</v>
      </c>
      <c r="E10" s="3"/>
    </row>
    <row r="11" spans="1:5" x14ac:dyDescent="0.3">
      <c r="A11" s="3" t="s">
        <v>763</v>
      </c>
      <c r="B11" s="3">
        <v>8</v>
      </c>
      <c r="C11" s="3" t="s">
        <v>771</v>
      </c>
      <c r="D11" s="3">
        <v>32</v>
      </c>
      <c r="E11" s="3"/>
    </row>
    <row r="12" spans="1:5" x14ac:dyDescent="0.3">
      <c r="A12" s="3" t="s">
        <v>763</v>
      </c>
      <c r="B12" s="3">
        <v>9</v>
      </c>
      <c r="C12" s="3" t="s">
        <v>772</v>
      </c>
      <c r="D12" s="3">
        <v>32</v>
      </c>
      <c r="E12" s="3"/>
    </row>
    <row r="13" spans="1:5" x14ac:dyDescent="0.3">
      <c r="A13" s="3" t="s">
        <v>763</v>
      </c>
      <c r="B13" s="3">
        <v>10</v>
      </c>
      <c r="C13" s="3" t="s">
        <v>773</v>
      </c>
      <c r="D13" s="3">
        <v>32</v>
      </c>
      <c r="E13" s="3"/>
    </row>
    <row r="14" spans="1:5" x14ac:dyDescent="0.3">
      <c r="A14" s="3" t="s">
        <v>763</v>
      </c>
      <c r="B14" s="3">
        <v>11</v>
      </c>
      <c r="C14" s="3" t="s">
        <v>774</v>
      </c>
      <c r="D14" s="3">
        <v>32</v>
      </c>
      <c r="E14" s="3"/>
    </row>
    <row r="15" spans="1:5" x14ac:dyDescent="0.3">
      <c r="A15" s="3" t="s">
        <v>763</v>
      </c>
      <c r="B15" s="3">
        <v>12</v>
      </c>
      <c r="C15" s="3" t="s">
        <v>775</v>
      </c>
      <c r="D15" s="3">
        <v>32</v>
      </c>
      <c r="E15" s="3"/>
    </row>
    <row r="16" spans="1:5" x14ac:dyDescent="0.3">
      <c r="A16" s="3" t="s">
        <v>763</v>
      </c>
      <c r="B16" s="3">
        <v>13</v>
      </c>
      <c r="C16" s="3" t="s">
        <v>776</v>
      </c>
      <c r="D16" s="3">
        <v>32</v>
      </c>
      <c r="E16" s="3"/>
    </row>
    <row r="17" spans="1:5" x14ac:dyDescent="0.3">
      <c r="A17" s="3" t="s">
        <v>763</v>
      </c>
      <c r="B17" s="3">
        <v>14</v>
      </c>
      <c r="C17" s="3" t="s">
        <v>777</v>
      </c>
      <c r="D17" s="3">
        <v>32</v>
      </c>
      <c r="E17" s="3" t="s">
        <v>778</v>
      </c>
    </row>
    <row r="18" spans="1:5" x14ac:dyDescent="0.3">
      <c r="A18" s="3" t="s">
        <v>763</v>
      </c>
      <c r="B18" s="3">
        <v>15</v>
      </c>
      <c r="C18" s="3" t="s">
        <v>779</v>
      </c>
      <c r="D18" s="3">
        <v>32</v>
      </c>
      <c r="E18" s="3" t="s">
        <v>778</v>
      </c>
    </row>
    <row r="19" spans="1:5" x14ac:dyDescent="0.3">
      <c r="A19" s="3" t="s">
        <v>763</v>
      </c>
      <c r="B19" s="3">
        <v>16</v>
      </c>
      <c r="C19" s="3" t="s">
        <v>597</v>
      </c>
      <c r="D19" s="3">
        <v>32</v>
      </c>
      <c r="E19" s="3"/>
    </row>
    <row r="20" spans="1:5" x14ac:dyDescent="0.3">
      <c r="A20" s="3" t="s">
        <v>763</v>
      </c>
      <c r="B20" s="3">
        <v>17</v>
      </c>
      <c r="C20" s="3" t="s">
        <v>780</v>
      </c>
      <c r="D20" s="3">
        <v>32</v>
      </c>
      <c r="E20" s="3"/>
    </row>
    <row r="21" spans="1:5" x14ac:dyDescent="0.3">
      <c r="A21" s="3" t="s">
        <v>763</v>
      </c>
      <c r="B21" s="3">
        <v>18</v>
      </c>
      <c r="C21" s="3" t="s">
        <v>781</v>
      </c>
      <c r="D21" s="3">
        <v>32</v>
      </c>
      <c r="E21" s="3"/>
    </row>
    <row r="22" spans="1:5" x14ac:dyDescent="0.3">
      <c r="A22" s="3" t="s">
        <v>763</v>
      </c>
      <c r="B22" s="3">
        <v>19</v>
      </c>
      <c r="C22" s="3" t="s">
        <v>782</v>
      </c>
      <c r="D22" s="3">
        <v>32</v>
      </c>
      <c r="E22" s="3"/>
    </row>
    <row r="23" spans="1:5" x14ac:dyDescent="0.3">
      <c r="A23" s="3" t="s">
        <v>763</v>
      </c>
      <c r="B23" s="3">
        <v>20</v>
      </c>
      <c r="C23" s="3" t="s">
        <v>783</v>
      </c>
      <c r="D23" s="3">
        <v>32</v>
      </c>
      <c r="E23" s="3"/>
    </row>
    <row r="24" spans="1:5" x14ac:dyDescent="0.3">
      <c r="A24" s="3" t="s">
        <v>763</v>
      </c>
      <c r="B24" s="3">
        <v>21</v>
      </c>
      <c r="C24" s="3" t="s">
        <v>784</v>
      </c>
      <c r="D24" s="3">
        <v>32</v>
      </c>
      <c r="E24" s="3"/>
    </row>
    <row r="25" spans="1:5" x14ac:dyDescent="0.3">
      <c r="A25" s="3" t="s">
        <v>763</v>
      </c>
      <c r="B25" s="3">
        <v>22</v>
      </c>
      <c r="C25" s="3" t="s">
        <v>785</v>
      </c>
      <c r="D25" s="3">
        <v>32</v>
      </c>
      <c r="E25" s="3"/>
    </row>
    <row r="26" spans="1:5" x14ac:dyDescent="0.3">
      <c r="A26" s="3" t="s">
        <v>763</v>
      </c>
      <c r="B26" s="3">
        <v>23</v>
      </c>
      <c r="C26" s="3" t="s">
        <v>786</v>
      </c>
      <c r="D26" s="3">
        <v>32</v>
      </c>
      <c r="E26" s="3"/>
    </row>
    <row r="27" spans="1:5" x14ac:dyDescent="0.3">
      <c r="A27" s="3" t="s">
        <v>763</v>
      </c>
      <c r="B27" s="3">
        <v>24</v>
      </c>
      <c r="C27" s="3" t="s">
        <v>787</v>
      </c>
      <c r="D27" s="3">
        <v>32</v>
      </c>
      <c r="E27" s="3"/>
    </row>
    <row r="28" spans="1:5" x14ac:dyDescent="0.3">
      <c r="A28" s="3" t="s">
        <v>763</v>
      </c>
      <c r="B28" s="3">
        <v>25</v>
      </c>
      <c r="C28" s="3" t="s">
        <v>788</v>
      </c>
      <c r="D28" s="3">
        <v>32</v>
      </c>
      <c r="E28" s="3"/>
    </row>
    <row r="29" spans="1:5" x14ac:dyDescent="0.3">
      <c r="A29" s="3" t="s">
        <v>763</v>
      </c>
      <c r="B29" s="3">
        <v>26</v>
      </c>
      <c r="C29" s="3" t="s">
        <v>728</v>
      </c>
      <c r="D29" s="3">
        <v>32</v>
      </c>
      <c r="E29" s="3"/>
    </row>
    <row r="30" spans="1:5" x14ac:dyDescent="0.3">
      <c r="A30" s="3" t="s">
        <v>763</v>
      </c>
      <c r="B30" s="3">
        <v>27</v>
      </c>
      <c r="C30" s="3" t="s">
        <v>789</v>
      </c>
      <c r="D30" s="3">
        <v>32</v>
      </c>
      <c r="E30" s="3"/>
    </row>
    <row r="31" spans="1:5" x14ac:dyDescent="0.3">
      <c r="A31" s="3" t="s">
        <v>763</v>
      </c>
      <c r="B31" s="3">
        <v>28</v>
      </c>
      <c r="C31" s="3" t="s">
        <v>790</v>
      </c>
      <c r="D31" s="3">
        <v>32</v>
      </c>
      <c r="E31" s="3"/>
    </row>
    <row r="32" spans="1:5" x14ac:dyDescent="0.3">
      <c r="A32" s="3" t="s">
        <v>763</v>
      </c>
      <c r="B32" s="3">
        <v>29</v>
      </c>
      <c r="C32" s="3" t="s">
        <v>791</v>
      </c>
      <c r="D32" s="3">
        <v>32</v>
      </c>
      <c r="E32" s="3"/>
    </row>
    <row r="33" spans="1:5" x14ac:dyDescent="0.3">
      <c r="A33" s="3" t="s">
        <v>763</v>
      </c>
      <c r="B33" s="3">
        <v>30</v>
      </c>
      <c r="C33" s="3" t="s">
        <v>792</v>
      </c>
      <c r="D33" s="3">
        <v>32</v>
      </c>
      <c r="E33" s="3"/>
    </row>
    <row r="34" spans="1:5" x14ac:dyDescent="0.3">
      <c r="A34" s="3" t="s">
        <v>763</v>
      </c>
      <c r="B34" s="3">
        <v>31</v>
      </c>
      <c r="C34" s="3" t="s">
        <v>793</v>
      </c>
      <c r="D34" s="3">
        <v>32</v>
      </c>
      <c r="E34" s="3"/>
    </row>
    <row r="35" spans="1:5" x14ac:dyDescent="0.3">
      <c r="A35" s="3" t="s">
        <v>763</v>
      </c>
      <c r="B35" s="3">
        <v>32</v>
      </c>
      <c r="C35" s="3" t="s">
        <v>794</v>
      </c>
      <c r="D35" s="3">
        <v>32</v>
      </c>
      <c r="E35" s="3"/>
    </row>
    <row r="36" spans="1:5" x14ac:dyDescent="0.3">
      <c r="A36" s="3" t="s">
        <v>795</v>
      </c>
      <c r="B36" s="3">
        <v>1</v>
      </c>
      <c r="C36" s="3" t="s">
        <v>796</v>
      </c>
      <c r="D36" s="3">
        <v>9</v>
      </c>
      <c r="E36" s="3"/>
    </row>
    <row r="37" spans="1:5" x14ac:dyDescent="0.3">
      <c r="A37" s="3" t="s">
        <v>795</v>
      </c>
      <c r="B37" s="3">
        <v>2</v>
      </c>
      <c r="C37" s="3" t="s">
        <v>797</v>
      </c>
      <c r="D37" s="3">
        <v>9</v>
      </c>
      <c r="E37" s="3"/>
    </row>
    <row r="38" spans="1:5" x14ac:dyDescent="0.3">
      <c r="A38" s="3" t="s">
        <v>795</v>
      </c>
      <c r="B38" s="3">
        <v>3</v>
      </c>
      <c r="C38" s="3" t="s">
        <v>798</v>
      </c>
      <c r="D38" s="3">
        <v>9</v>
      </c>
      <c r="E38" s="3"/>
    </row>
    <row r="39" spans="1:5" x14ac:dyDescent="0.3">
      <c r="A39" s="3" t="s">
        <v>795</v>
      </c>
      <c r="B39" s="3">
        <v>4</v>
      </c>
      <c r="C39" s="3" t="s">
        <v>799</v>
      </c>
      <c r="D39" s="3">
        <v>9</v>
      </c>
      <c r="E39" s="3"/>
    </row>
    <row r="40" spans="1:5" x14ac:dyDescent="0.3">
      <c r="A40" s="3" t="s">
        <v>795</v>
      </c>
      <c r="B40" s="3">
        <v>5</v>
      </c>
      <c r="C40" s="3" t="s">
        <v>800</v>
      </c>
      <c r="D40" s="3">
        <v>9</v>
      </c>
      <c r="E40" s="3"/>
    </row>
    <row r="41" spans="1:5" x14ac:dyDescent="0.3">
      <c r="A41" s="3" t="s">
        <v>795</v>
      </c>
      <c r="B41" s="3">
        <v>6</v>
      </c>
      <c r="C41" s="3" t="s">
        <v>166</v>
      </c>
      <c r="D41" s="3">
        <v>9</v>
      </c>
      <c r="E41" s="3"/>
    </row>
    <row r="42" spans="1:5" x14ac:dyDescent="0.3">
      <c r="A42" s="3" t="s">
        <v>795</v>
      </c>
      <c r="B42" s="3">
        <v>7</v>
      </c>
      <c r="C42" s="3" t="s">
        <v>563</v>
      </c>
      <c r="D42" s="3">
        <v>9</v>
      </c>
      <c r="E42" s="3"/>
    </row>
    <row r="43" spans="1:5" x14ac:dyDescent="0.3">
      <c r="A43" s="3" t="s">
        <v>795</v>
      </c>
      <c r="B43" s="3">
        <v>8</v>
      </c>
      <c r="C43" s="3" t="s">
        <v>801</v>
      </c>
      <c r="D43" s="3">
        <v>9</v>
      </c>
      <c r="E43" s="3"/>
    </row>
    <row r="44" spans="1:5" x14ac:dyDescent="0.3">
      <c r="A44" s="3" t="s">
        <v>795</v>
      </c>
      <c r="B44" s="3">
        <v>9</v>
      </c>
      <c r="C44" s="3" t="s">
        <v>802</v>
      </c>
      <c r="D44" s="3">
        <v>9</v>
      </c>
      <c r="E44" s="3"/>
    </row>
    <row r="45" spans="1:5" x14ac:dyDescent="0.3">
      <c r="A45" s="3" t="s">
        <v>803</v>
      </c>
      <c r="B45" s="3">
        <v>1</v>
      </c>
      <c r="C45" s="3" t="s">
        <v>804</v>
      </c>
      <c r="D45" s="3">
        <v>64</v>
      </c>
      <c r="E45" s="3"/>
    </row>
    <row r="46" spans="1:5" x14ac:dyDescent="0.3">
      <c r="A46" s="3" t="s">
        <v>803</v>
      </c>
      <c r="B46" s="3">
        <v>2</v>
      </c>
      <c r="C46" s="3" t="s">
        <v>805</v>
      </c>
      <c r="D46" s="3">
        <v>64</v>
      </c>
      <c r="E46" s="3"/>
    </row>
    <row r="47" spans="1:5" x14ac:dyDescent="0.3">
      <c r="A47" s="3" t="s">
        <v>803</v>
      </c>
      <c r="B47" s="3">
        <v>3</v>
      </c>
      <c r="C47" s="3" t="s">
        <v>806</v>
      </c>
      <c r="D47" s="3">
        <v>64</v>
      </c>
      <c r="E47" s="3"/>
    </row>
    <row r="48" spans="1:5" x14ac:dyDescent="0.3">
      <c r="A48" s="3" t="s">
        <v>803</v>
      </c>
      <c r="B48" s="3">
        <v>4</v>
      </c>
      <c r="C48" s="3" t="s">
        <v>807</v>
      </c>
      <c r="D48" s="3">
        <v>64</v>
      </c>
      <c r="E48" s="3"/>
    </row>
    <row r="49" spans="1:5" x14ac:dyDescent="0.3">
      <c r="A49" s="3" t="s">
        <v>803</v>
      </c>
      <c r="B49" s="3">
        <v>5</v>
      </c>
      <c r="C49" s="3" t="s">
        <v>771</v>
      </c>
      <c r="D49" s="3">
        <v>64</v>
      </c>
      <c r="E49" s="3"/>
    </row>
    <row r="50" spans="1:5" x14ac:dyDescent="0.3">
      <c r="A50" s="3" t="s">
        <v>803</v>
      </c>
      <c r="B50" s="3">
        <v>6</v>
      </c>
      <c r="C50" s="3" t="s">
        <v>772</v>
      </c>
      <c r="D50" s="3">
        <v>64</v>
      </c>
      <c r="E50" s="3"/>
    </row>
    <row r="51" spans="1:5" x14ac:dyDescent="0.3">
      <c r="A51" s="3" t="s">
        <v>803</v>
      </c>
      <c r="B51" s="3">
        <v>7</v>
      </c>
      <c r="C51" s="3" t="s">
        <v>808</v>
      </c>
      <c r="D51" s="3">
        <v>64</v>
      </c>
      <c r="E51" s="3"/>
    </row>
    <row r="52" spans="1:5" x14ac:dyDescent="0.3">
      <c r="A52" s="3" t="s">
        <v>803</v>
      </c>
      <c r="B52" s="3">
        <v>8</v>
      </c>
      <c r="C52" s="3" t="s">
        <v>809</v>
      </c>
      <c r="D52" s="3">
        <v>64</v>
      </c>
      <c r="E52" s="3"/>
    </row>
    <row r="53" spans="1:5" x14ac:dyDescent="0.3">
      <c r="A53" s="3" t="s">
        <v>803</v>
      </c>
      <c r="B53" s="3">
        <v>9</v>
      </c>
      <c r="C53" s="3" t="s">
        <v>810</v>
      </c>
      <c r="D53" s="3">
        <v>64</v>
      </c>
      <c r="E53" s="3"/>
    </row>
    <row r="54" spans="1:5" x14ac:dyDescent="0.3">
      <c r="A54" s="3" t="s">
        <v>803</v>
      </c>
      <c r="B54" s="3">
        <v>10</v>
      </c>
      <c r="C54" s="3" t="s">
        <v>811</v>
      </c>
      <c r="D54" s="3">
        <v>64</v>
      </c>
      <c r="E54" s="3"/>
    </row>
    <row r="55" spans="1:5" x14ac:dyDescent="0.3">
      <c r="A55" s="3" t="s">
        <v>803</v>
      </c>
      <c r="B55" s="3">
        <v>11</v>
      </c>
      <c r="C55" s="3" t="s">
        <v>812</v>
      </c>
      <c r="D55" s="3">
        <v>64</v>
      </c>
      <c r="E55" s="3"/>
    </row>
    <row r="56" spans="1:5" x14ac:dyDescent="0.3">
      <c r="A56" s="3" t="s">
        <v>803</v>
      </c>
      <c r="B56" s="3">
        <v>12</v>
      </c>
      <c r="C56" s="3" t="s">
        <v>813</v>
      </c>
      <c r="D56" s="3">
        <v>64</v>
      </c>
      <c r="E56" s="3"/>
    </row>
    <row r="57" spans="1:5" x14ac:dyDescent="0.3">
      <c r="A57" s="3" t="s">
        <v>803</v>
      </c>
      <c r="B57" s="3">
        <v>13</v>
      </c>
      <c r="C57" s="3" t="s">
        <v>814</v>
      </c>
      <c r="D57" s="3">
        <v>64</v>
      </c>
      <c r="E57" s="3"/>
    </row>
    <row r="58" spans="1:5" x14ac:dyDescent="0.3">
      <c r="A58" s="3" t="s">
        <v>803</v>
      </c>
      <c r="B58" s="3">
        <v>14</v>
      </c>
      <c r="C58" s="3" t="s">
        <v>815</v>
      </c>
      <c r="D58" s="3">
        <v>64</v>
      </c>
      <c r="E58" s="3"/>
    </row>
    <row r="59" spans="1:5" x14ac:dyDescent="0.3">
      <c r="A59" s="3" t="s">
        <v>803</v>
      </c>
      <c r="B59" s="3">
        <v>15</v>
      </c>
      <c r="C59" s="3" t="s">
        <v>816</v>
      </c>
      <c r="D59" s="3">
        <v>64</v>
      </c>
      <c r="E59" s="3"/>
    </row>
    <row r="60" spans="1:5" x14ac:dyDescent="0.3">
      <c r="A60" s="3" t="s">
        <v>803</v>
      </c>
      <c r="B60" s="3">
        <v>16</v>
      </c>
      <c r="C60" s="3" t="s">
        <v>817</v>
      </c>
      <c r="D60" s="3">
        <v>64</v>
      </c>
      <c r="E60" s="3"/>
    </row>
    <row r="61" spans="1:5" x14ac:dyDescent="0.3">
      <c r="A61" s="3" t="s">
        <v>803</v>
      </c>
      <c r="B61" s="3">
        <v>17</v>
      </c>
      <c r="C61" s="3" t="s">
        <v>818</v>
      </c>
      <c r="D61" s="3">
        <v>64</v>
      </c>
      <c r="E61" s="3"/>
    </row>
    <row r="62" spans="1:5" x14ac:dyDescent="0.3">
      <c r="A62" s="3" t="s">
        <v>803</v>
      </c>
      <c r="B62" s="3">
        <v>18</v>
      </c>
      <c r="C62" s="3" t="s">
        <v>819</v>
      </c>
      <c r="D62" s="3">
        <v>64</v>
      </c>
      <c r="E62" s="3"/>
    </row>
    <row r="63" spans="1:5" x14ac:dyDescent="0.3">
      <c r="A63" s="3" t="s">
        <v>803</v>
      </c>
      <c r="B63" s="3">
        <v>19</v>
      </c>
      <c r="C63" s="3" t="s">
        <v>820</v>
      </c>
      <c r="D63" s="3">
        <v>64</v>
      </c>
      <c r="E63" s="3"/>
    </row>
    <row r="64" spans="1:5" x14ac:dyDescent="0.3">
      <c r="A64" s="3" t="s">
        <v>803</v>
      </c>
      <c r="B64" s="3">
        <v>20</v>
      </c>
      <c r="C64" s="3" t="s">
        <v>821</v>
      </c>
      <c r="D64" s="3">
        <v>64</v>
      </c>
      <c r="E64" s="3"/>
    </row>
    <row r="65" spans="1:5" x14ac:dyDescent="0.3">
      <c r="A65" s="3" t="s">
        <v>803</v>
      </c>
      <c r="B65" s="3">
        <v>21</v>
      </c>
      <c r="C65" s="3" t="s">
        <v>822</v>
      </c>
      <c r="D65" s="3">
        <v>64</v>
      </c>
      <c r="E65" s="3"/>
    </row>
    <row r="66" spans="1:5" x14ac:dyDescent="0.3">
      <c r="A66" s="3" t="s">
        <v>803</v>
      </c>
      <c r="B66" s="3">
        <v>22</v>
      </c>
      <c r="C66" s="3" t="s">
        <v>823</v>
      </c>
      <c r="D66" s="3">
        <v>64</v>
      </c>
      <c r="E66" s="3"/>
    </row>
    <row r="67" spans="1:5" x14ac:dyDescent="0.3">
      <c r="A67" s="3" t="s">
        <v>803</v>
      </c>
      <c r="B67" s="3">
        <v>23</v>
      </c>
      <c r="C67" s="3" t="s">
        <v>824</v>
      </c>
      <c r="D67" s="3">
        <v>64</v>
      </c>
      <c r="E67" s="3"/>
    </row>
    <row r="68" spans="1:5" x14ac:dyDescent="0.3">
      <c r="A68" s="3" t="s">
        <v>803</v>
      </c>
      <c r="B68" s="3">
        <v>24</v>
      </c>
      <c r="C68" s="3" t="s">
        <v>825</v>
      </c>
      <c r="D68" s="3">
        <v>64</v>
      </c>
      <c r="E68" s="3"/>
    </row>
    <row r="69" spans="1:5" x14ac:dyDescent="0.3">
      <c r="A69" s="3" t="s">
        <v>803</v>
      </c>
      <c r="B69" s="3">
        <v>25</v>
      </c>
      <c r="C69" s="3" t="s">
        <v>826</v>
      </c>
      <c r="D69" s="3">
        <v>64</v>
      </c>
      <c r="E69" s="3"/>
    </row>
    <row r="70" spans="1:5" x14ac:dyDescent="0.3">
      <c r="A70" s="3" t="s">
        <v>803</v>
      </c>
      <c r="B70" s="3">
        <v>26</v>
      </c>
      <c r="C70" s="3" t="s">
        <v>827</v>
      </c>
      <c r="D70" s="3">
        <v>64</v>
      </c>
      <c r="E70" s="3"/>
    </row>
    <row r="71" spans="1:5" x14ac:dyDescent="0.3">
      <c r="A71" s="3" t="s">
        <v>803</v>
      </c>
      <c r="B71" s="3">
        <v>27</v>
      </c>
      <c r="C71" s="3" t="s">
        <v>828</v>
      </c>
      <c r="D71" s="3">
        <v>64</v>
      </c>
      <c r="E71" s="3"/>
    </row>
    <row r="72" spans="1:5" x14ac:dyDescent="0.3">
      <c r="A72" s="3" t="s">
        <v>803</v>
      </c>
      <c r="B72" s="3">
        <v>28</v>
      </c>
      <c r="C72" s="3" t="s">
        <v>829</v>
      </c>
      <c r="D72" s="3">
        <v>64</v>
      </c>
      <c r="E72" s="3"/>
    </row>
    <row r="73" spans="1:5" x14ac:dyDescent="0.3">
      <c r="A73" s="3" t="s">
        <v>803</v>
      </c>
      <c r="B73" s="3">
        <v>29</v>
      </c>
      <c r="C73" s="3" t="s">
        <v>830</v>
      </c>
      <c r="D73" s="3">
        <v>64</v>
      </c>
      <c r="E73" s="3"/>
    </row>
    <row r="74" spans="1:5" x14ac:dyDescent="0.3">
      <c r="A74" s="3" t="s">
        <v>803</v>
      </c>
      <c r="B74" s="3">
        <v>30</v>
      </c>
      <c r="C74" s="3" t="s">
        <v>831</v>
      </c>
      <c r="D74" s="3">
        <v>64</v>
      </c>
      <c r="E74" s="3"/>
    </row>
    <row r="75" spans="1:5" x14ac:dyDescent="0.3">
      <c r="A75" s="3" t="s">
        <v>803</v>
      </c>
      <c r="B75" s="3">
        <v>31</v>
      </c>
      <c r="C75" s="3" t="s">
        <v>832</v>
      </c>
      <c r="D75" s="3">
        <v>64</v>
      </c>
      <c r="E75" s="3"/>
    </row>
    <row r="76" spans="1:5" x14ac:dyDescent="0.3">
      <c r="A76" s="3" t="s">
        <v>803</v>
      </c>
      <c r="B76" s="3">
        <v>32</v>
      </c>
      <c r="C76" s="3" t="s">
        <v>833</v>
      </c>
      <c r="D76" s="3">
        <v>64</v>
      </c>
      <c r="E76" s="3"/>
    </row>
    <row r="77" spans="1:5" x14ac:dyDescent="0.3">
      <c r="A77" s="3" t="s">
        <v>803</v>
      </c>
      <c r="B77" s="3">
        <v>33</v>
      </c>
      <c r="C77" s="3" t="s">
        <v>834</v>
      </c>
      <c r="D77" s="3">
        <v>64</v>
      </c>
      <c r="E77" s="3"/>
    </row>
    <row r="78" spans="1:5" x14ac:dyDescent="0.3">
      <c r="A78" s="3" t="s">
        <v>803</v>
      </c>
      <c r="B78" s="3">
        <v>34</v>
      </c>
      <c r="C78" s="3" t="s">
        <v>835</v>
      </c>
      <c r="D78" s="3">
        <v>64</v>
      </c>
      <c r="E78" s="3"/>
    </row>
    <row r="79" spans="1:5" x14ac:dyDescent="0.3">
      <c r="A79" s="3" t="s">
        <v>803</v>
      </c>
      <c r="B79" s="3">
        <v>35</v>
      </c>
      <c r="C79" s="3" t="s">
        <v>836</v>
      </c>
      <c r="D79" s="3">
        <v>64</v>
      </c>
      <c r="E79" s="3"/>
    </row>
    <row r="80" spans="1:5" x14ac:dyDescent="0.3">
      <c r="A80" s="3" t="s">
        <v>803</v>
      </c>
      <c r="B80" s="3">
        <v>36</v>
      </c>
      <c r="C80" s="3" t="s">
        <v>837</v>
      </c>
      <c r="D80" s="3">
        <v>64</v>
      </c>
      <c r="E80" s="3"/>
    </row>
    <row r="81" spans="1:5" x14ac:dyDescent="0.3">
      <c r="A81" s="3" t="s">
        <v>803</v>
      </c>
      <c r="B81" s="3">
        <v>37</v>
      </c>
      <c r="C81" s="3" t="s">
        <v>838</v>
      </c>
      <c r="D81" s="3">
        <v>64</v>
      </c>
      <c r="E81" s="3"/>
    </row>
    <row r="82" spans="1:5" x14ac:dyDescent="0.3">
      <c r="A82" s="3" t="s">
        <v>803</v>
      </c>
      <c r="B82" s="3">
        <v>38</v>
      </c>
      <c r="C82" s="3" t="s">
        <v>839</v>
      </c>
      <c r="D82" s="3">
        <v>64</v>
      </c>
      <c r="E82" s="3"/>
    </row>
    <row r="83" spans="1:5" x14ac:dyDescent="0.3">
      <c r="A83" s="3" t="s">
        <v>803</v>
      </c>
      <c r="B83" s="3">
        <v>39</v>
      </c>
      <c r="C83" s="3" t="s">
        <v>840</v>
      </c>
      <c r="D83" s="3">
        <v>64</v>
      </c>
      <c r="E83" s="3"/>
    </row>
    <row r="84" spans="1:5" x14ac:dyDescent="0.3">
      <c r="A84" s="3" t="s">
        <v>803</v>
      </c>
      <c r="B84" s="3">
        <v>40</v>
      </c>
      <c r="C84" s="3" t="s">
        <v>841</v>
      </c>
      <c r="D84" s="3">
        <v>64</v>
      </c>
      <c r="E84" s="3"/>
    </row>
    <row r="85" spans="1:5" x14ac:dyDescent="0.3">
      <c r="A85" s="3" t="s">
        <v>803</v>
      </c>
      <c r="B85" s="3">
        <v>41</v>
      </c>
      <c r="C85" s="3" t="s">
        <v>842</v>
      </c>
      <c r="D85" s="3">
        <v>64</v>
      </c>
      <c r="E85" s="3"/>
    </row>
    <row r="86" spans="1:5" x14ac:dyDescent="0.3">
      <c r="A86" s="3" t="s">
        <v>803</v>
      </c>
      <c r="B86" s="3">
        <v>42</v>
      </c>
      <c r="C86" s="3" t="s">
        <v>843</v>
      </c>
      <c r="D86" s="3">
        <v>64</v>
      </c>
      <c r="E86" s="3"/>
    </row>
    <row r="87" spans="1:5" x14ac:dyDescent="0.3">
      <c r="A87" s="3" t="s">
        <v>803</v>
      </c>
      <c r="B87" s="3">
        <v>43</v>
      </c>
      <c r="C87" s="3" t="s">
        <v>844</v>
      </c>
      <c r="D87" s="3">
        <v>64</v>
      </c>
      <c r="E87" s="3"/>
    </row>
    <row r="88" spans="1:5" x14ac:dyDescent="0.3">
      <c r="A88" s="3" t="s">
        <v>803</v>
      </c>
      <c r="B88" s="3">
        <v>44</v>
      </c>
      <c r="C88" s="3" t="s">
        <v>845</v>
      </c>
      <c r="D88" s="3">
        <v>64</v>
      </c>
      <c r="E88" s="3"/>
    </row>
    <row r="89" spans="1:5" x14ac:dyDescent="0.3">
      <c r="A89" s="3" t="s">
        <v>803</v>
      </c>
      <c r="B89" s="3">
        <v>45</v>
      </c>
      <c r="C89" s="3" t="s">
        <v>846</v>
      </c>
      <c r="D89" s="3">
        <v>64</v>
      </c>
      <c r="E89" s="3"/>
    </row>
    <row r="90" spans="1:5" x14ac:dyDescent="0.3">
      <c r="A90" s="3" t="s">
        <v>803</v>
      </c>
      <c r="B90" s="3">
        <v>46</v>
      </c>
      <c r="C90" s="3" t="s">
        <v>847</v>
      </c>
      <c r="D90" s="3">
        <v>64</v>
      </c>
      <c r="E90" s="3"/>
    </row>
    <row r="91" spans="1:5" x14ac:dyDescent="0.3">
      <c r="A91" s="3" t="s">
        <v>803</v>
      </c>
      <c r="B91" s="3">
        <v>47</v>
      </c>
      <c r="C91" s="3" t="s">
        <v>848</v>
      </c>
      <c r="D91" s="3">
        <v>64</v>
      </c>
      <c r="E91" s="3"/>
    </row>
    <row r="92" spans="1:5" x14ac:dyDescent="0.3">
      <c r="A92" s="3" t="s">
        <v>803</v>
      </c>
      <c r="B92" s="3">
        <v>48</v>
      </c>
      <c r="C92" s="3" t="s">
        <v>849</v>
      </c>
      <c r="D92" s="3">
        <v>64</v>
      </c>
      <c r="E92" s="3"/>
    </row>
    <row r="93" spans="1:5" x14ac:dyDescent="0.3">
      <c r="A93" s="3" t="s">
        <v>803</v>
      </c>
      <c r="B93" s="3">
        <v>49</v>
      </c>
      <c r="C93" s="3" t="s">
        <v>850</v>
      </c>
      <c r="D93" s="3">
        <v>64</v>
      </c>
      <c r="E93" s="3"/>
    </row>
    <row r="94" spans="1:5" x14ac:dyDescent="0.3">
      <c r="A94" s="3" t="s">
        <v>803</v>
      </c>
      <c r="B94" s="3">
        <v>50</v>
      </c>
      <c r="C94" s="3" t="s">
        <v>851</v>
      </c>
      <c r="D94" s="3">
        <v>64</v>
      </c>
      <c r="E94" s="3"/>
    </row>
    <row r="95" spans="1:5" x14ac:dyDescent="0.3">
      <c r="A95" s="3" t="s">
        <v>803</v>
      </c>
      <c r="B95" s="3">
        <v>51</v>
      </c>
      <c r="C95" s="3" t="s">
        <v>852</v>
      </c>
      <c r="D95" s="3">
        <v>64</v>
      </c>
      <c r="E95" s="3"/>
    </row>
    <row r="96" spans="1:5" x14ac:dyDescent="0.3">
      <c r="A96" s="3" t="s">
        <v>803</v>
      </c>
      <c r="B96" s="3">
        <v>52</v>
      </c>
      <c r="C96" s="3" t="s">
        <v>853</v>
      </c>
      <c r="D96" s="3">
        <v>64</v>
      </c>
      <c r="E96" s="3"/>
    </row>
    <row r="97" spans="1:5" x14ac:dyDescent="0.3">
      <c r="A97" s="3" t="s">
        <v>803</v>
      </c>
      <c r="B97" s="3">
        <v>53</v>
      </c>
      <c r="C97" s="3" t="s">
        <v>854</v>
      </c>
      <c r="D97" s="3">
        <v>64</v>
      </c>
      <c r="E97" s="3"/>
    </row>
    <row r="98" spans="1:5" x14ac:dyDescent="0.3">
      <c r="A98" s="3" t="s">
        <v>803</v>
      </c>
      <c r="B98" s="3">
        <v>54</v>
      </c>
      <c r="C98" s="3" t="s">
        <v>855</v>
      </c>
      <c r="D98" s="3">
        <v>64</v>
      </c>
      <c r="E98" s="3"/>
    </row>
    <row r="99" spans="1:5" x14ac:dyDescent="0.3">
      <c r="A99" s="3" t="s">
        <v>803</v>
      </c>
      <c r="B99" s="3">
        <v>55</v>
      </c>
      <c r="C99" s="3" t="s">
        <v>856</v>
      </c>
      <c r="D99" s="3">
        <v>64</v>
      </c>
      <c r="E99" s="3"/>
    </row>
    <row r="100" spans="1:5" x14ac:dyDescent="0.3">
      <c r="A100" s="3" t="s">
        <v>803</v>
      </c>
      <c r="B100" s="3">
        <v>56</v>
      </c>
      <c r="C100" s="3" t="s">
        <v>857</v>
      </c>
      <c r="D100" s="3">
        <v>64</v>
      </c>
      <c r="E100" s="3"/>
    </row>
    <row r="101" spans="1:5" x14ac:dyDescent="0.3">
      <c r="A101" s="3" t="s">
        <v>803</v>
      </c>
      <c r="B101" s="3">
        <v>57</v>
      </c>
      <c r="C101" s="3" t="s">
        <v>858</v>
      </c>
      <c r="D101" s="3">
        <v>64</v>
      </c>
      <c r="E101" s="3"/>
    </row>
    <row r="102" spans="1:5" x14ac:dyDescent="0.3">
      <c r="A102" s="3" t="s">
        <v>803</v>
      </c>
      <c r="B102" s="3">
        <v>58</v>
      </c>
      <c r="C102" s="3" t="s">
        <v>859</v>
      </c>
      <c r="D102" s="3">
        <v>64</v>
      </c>
      <c r="E102" s="3"/>
    </row>
    <row r="103" spans="1:5" x14ac:dyDescent="0.3">
      <c r="A103" s="3" t="s">
        <v>803</v>
      </c>
      <c r="B103" s="3">
        <v>59</v>
      </c>
      <c r="C103" s="3" t="s">
        <v>860</v>
      </c>
      <c r="D103" s="3">
        <v>64</v>
      </c>
      <c r="E103" s="3"/>
    </row>
    <row r="104" spans="1:5" x14ac:dyDescent="0.3">
      <c r="A104" s="3" t="s">
        <v>803</v>
      </c>
      <c r="B104" s="3">
        <v>60</v>
      </c>
      <c r="C104" s="3" t="s">
        <v>861</v>
      </c>
      <c r="D104" s="3">
        <v>64</v>
      </c>
      <c r="E104" s="3"/>
    </row>
    <row r="105" spans="1:5" x14ac:dyDescent="0.3">
      <c r="A105" s="3" t="s">
        <v>803</v>
      </c>
      <c r="B105" s="3">
        <v>61</v>
      </c>
      <c r="C105" s="3" t="s">
        <v>862</v>
      </c>
      <c r="D105" s="3">
        <v>64</v>
      </c>
      <c r="E105" s="3"/>
    </row>
    <row r="106" spans="1:5" x14ac:dyDescent="0.3">
      <c r="A106" s="3" t="s">
        <v>803</v>
      </c>
      <c r="B106" s="3">
        <v>62</v>
      </c>
      <c r="C106" s="3" t="s">
        <v>566</v>
      </c>
      <c r="D106" s="3">
        <v>64</v>
      </c>
      <c r="E106" s="3"/>
    </row>
    <row r="107" spans="1:5" x14ac:dyDescent="0.3">
      <c r="A107" s="3" t="s">
        <v>803</v>
      </c>
      <c r="B107" s="3">
        <v>63</v>
      </c>
      <c r="C107" s="3" t="s">
        <v>863</v>
      </c>
      <c r="D107" s="3">
        <v>64</v>
      </c>
      <c r="E107" s="3"/>
    </row>
    <row r="108" spans="1:5" x14ac:dyDescent="0.3">
      <c r="A108" s="3" t="s">
        <v>803</v>
      </c>
      <c r="B108" s="3">
        <v>64</v>
      </c>
      <c r="C108" s="3" t="s">
        <v>864</v>
      </c>
      <c r="D108" s="3">
        <v>64</v>
      </c>
      <c r="E108" s="3"/>
    </row>
    <row r="109" spans="1:5" x14ac:dyDescent="0.3">
      <c r="A109" s="3" t="s">
        <v>865</v>
      </c>
      <c r="B109" s="3">
        <v>1</v>
      </c>
      <c r="C109" s="3" t="s">
        <v>866</v>
      </c>
      <c r="D109" s="3">
        <v>42</v>
      </c>
      <c r="E109" s="3"/>
    </row>
    <row r="110" spans="1:5" x14ac:dyDescent="0.3">
      <c r="A110" s="3" t="s">
        <v>865</v>
      </c>
      <c r="B110" s="3">
        <v>2</v>
      </c>
      <c r="C110" s="3" t="s">
        <v>867</v>
      </c>
      <c r="D110" s="3">
        <v>42</v>
      </c>
      <c r="E110" s="3"/>
    </row>
    <row r="111" spans="1:5" x14ac:dyDescent="0.3">
      <c r="A111" s="3" t="s">
        <v>865</v>
      </c>
      <c r="B111" s="3">
        <v>3</v>
      </c>
      <c r="C111" s="3" t="s">
        <v>868</v>
      </c>
      <c r="D111" s="3">
        <v>42</v>
      </c>
      <c r="E111" s="3"/>
    </row>
    <row r="112" spans="1:5" x14ac:dyDescent="0.3">
      <c r="A112" s="3" t="s">
        <v>865</v>
      </c>
      <c r="B112" s="3">
        <v>4</v>
      </c>
      <c r="C112" s="3" t="s">
        <v>869</v>
      </c>
      <c r="D112" s="3">
        <v>42</v>
      </c>
      <c r="E112" s="3"/>
    </row>
    <row r="113" spans="1:5" x14ac:dyDescent="0.3">
      <c r="A113" s="3" t="s">
        <v>865</v>
      </c>
      <c r="B113" s="3">
        <v>5</v>
      </c>
      <c r="C113" s="3" t="s">
        <v>870</v>
      </c>
      <c r="D113" s="3">
        <v>42</v>
      </c>
      <c r="E113" s="3"/>
    </row>
    <row r="114" spans="1:5" x14ac:dyDescent="0.3">
      <c r="A114" s="3" t="s">
        <v>865</v>
      </c>
      <c r="B114" s="3">
        <v>6</v>
      </c>
      <c r="C114" s="3" t="s">
        <v>871</v>
      </c>
      <c r="D114" s="3">
        <v>42</v>
      </c>
      <c r="E114" s="3"/>
    </row>
    <row r="115" spans="1:5" x14ac:dyDescent="0.3">
      <c r="A115" s="3" t="s">
        <v>865</v>
      </c>
      <c r="B115" s="3">
        <v>7</v>
      </c>
      <c r="C115" s="3" t="s">
        <v>872</v>
      </c>
      <c r="D115" s="3">
        <v>42</v>
      </c>
      <c r="E115" s="3"/>
    </row>
    <row r="116" spans="1:5" x14ac:dyDescent="0.3">
      <c r="A116" s="3" t="s">
        <v>865</v>
      </c>
      <c r="B116" s="3">
        <v>8</v>
      </c>
      <c r="C116" s="3" t="s">
        <v>873</v>
      </c>
      <c r="D116" s="3">
        <v>42</v>
      </c>
      <c r="E116" s="3"/>
    </row>
    <row r="117" spans="1:5" x14ac:dyDescent="0.3">
      <c r="A117" s="3" t="s">
        <v>865</v>
      </c>
      <c r="B117" s="3">
        <v>9</v>
      </c>
      <c r="C117" s="3" t="s">
        <v>874</v>
      </c>
      <c r="D117" s="3">
        <v>42</v>
      </c>
      <c r="E117" s="3"/>
    </row>
    <row r="118" spans="1:5" x14ac:dyDescent="0.3">
      <c r="A118" s="3" t="s">
        <v>865</v>
      </c>
      <c r="B118" s="3">
        <v>10</v>
      </c>
      <c r="C118" s="3" t="s">
        <v>875</v>
      </c>
      <c r="D118" s="3">
        <v>42</v>
      </c>
      <c r="E118" s="3"/>
    </row>
    <row r="119" spans="1:5" x14ac:dyDescent="0.3">
      <c r="A119" s="3" t="s">
        <v>865</v>
      </c>
      <c r="B119" s="3">
        <v>11</v>
      </c>
      <c r="C119" s="3" t="s">
        <v>876</v>
      </c>
      <c r="D119" s="3">
        <v>42</v>
      </c>
      <c r="E119" s="3"/>
    </row>
    <row r="120" spans="1:5" x14ac:dyDescent="0.3">
      <c r="A120" s="3" t="s">
        <v>865</v>
      </c>
      <c r="B120" s="3">
        <v>12</v>
      </c>
      <c r="C120" s="3" t="s">
        <v>877</v>
      </c>
      <c r="D120" s="3">
        <v>42</v>
      </c>
      <c r="E120" s="3"/>
    </row>
    <row r="121" spans="1:5" x14ac:dyDescent="0.3">
      <c r="A121" s="3" t="s">
        <v>865</v>
      </c>
      <c r="B121" s="3">
        <v>13</v>
      </c>
      <c r="C121" s="3" t="s">
        <v>878</v>
      </c>
      <c r="D121" s="3">
        <v>42</v>
      </c>
      <c r="E121" s="3"/>
    </row>
    <row r="122" spans="1:5" x14ac:dyDescent="0.3">
      <c r="A122" s="3" t="s">
        <v>865</v>
      </c>
      <c r="B122" s="3">
        <v>14</v>
      </c>
      <c r="C122" s="3" t="s">
        <v>879</v>
      </c>
      <c r="D122" s="3">
        <v>42</v>
      </c>
      <c r="E122" s="3"/>
    </row>
    <row r="123" spans="1:5" x14ac:dyDescent="0.3">
      <c r="A123" s="3" t="s">
        <v>865</v>
      </c>
      <c r="B123" s="3">
        <v>15</v>
      </c>
      <c r="C123" s="3" t="s">
        <v>880</v>
      </c>
      <c r="D123" s="3">
        <v>42</v>
      </c>
      <c r="E123" s="3"/>
    </row>
    <row r="124" spans="1:5" x14ac:dyDescent="0.3">
      <c r="A124" s="3" t="s">
        <v>865</v>
      </c>
      <c r="B124" s="3">
        <v>16</v>
      </c>
      <c r="C124" s="3" t="s">
        <v>881</v>
      </c>
      <c r="D124" s="3">
        <v>42</v>
      </c>
      <c r="E124" s="3"/>
    </row>
    <row r="125" spans="1:5" x14ac:dyDescent="0.3">
      <c r="A125" s="3" t="s">
        <v>865</v>
      </c>
      <c r="B125" s="3">
        <v>17</v>
      </c>
      <c r="C125" s="3" t="s">
        <v>882</v>
      </c>
      <c r="D125" s="3">
        <v>42</v>
      </c>
      <c r="E125" s="3"/>
    </row>
    <row r="126" spans="1:5" x14ac:dyDescent="0.3">
      <c r="A126" s="3" t="s">
        <v>865</v>
      </c>
      <c r="B126" s="3">
        <v>18</v>
      </c>
      <c r="C126" s="3" t="s">
        <v>320</v>
      </c>
      <c r="D126" s="3">
        <v>42</v>
      </c>
      <c r="E126" s="3"/>
    </row>
    <row r="127" spans="1:5" x14ac:dyDescent="0.3">
      <c r="A127" s="3" t="s">
        <v>865</v>
      </c>
      <c r="B127" s="3">
        <v>19</v>
      </c>
      <c r="C127" s="3" t="s">
        <v>883</v>
      </c>
      <c r="D127" s="3">
        <v>42</v>
      </c>
      <c r="E127" s="3"/>
    </row>
    <row r="128" spans="1:5" x14ac:dyDescent="0.3">
      <c r="A128" s="3" t="s">
        <v>865</v>
      </c>
      <c r="B128" s="3">
        <v>20</v>
      </c>
      <c r="C128" s="3" t="s">
        <v>884</v>
      </c>
      <c r="D128" s="3">
        <v>42</v>
      </c>
      <c r="E128" s="3"/>
    </row>
    <row r="129" spans="1:5" x14ac:dyDescent="0.3">
      <c r="A129" s="3" t="s">
        <v>865</v>
      </c>
      <c r="B129" s="3">
        <v>21</v>
      </c>
      <c r="C129" s="3" t="s">
        <v>639</v>
      </c>
      <c r="D129" s="3">
        <v>42</v>
      </c>
      <c r="E129" s="3"/>
    </row>
    <row r="130" spans="1:5" x14ac:dyDescent="0.3">
      <c r="A130" s="3" t="s">
        <v>865</v>
      </c>
      <c r="B130" s="3">
        <v>22</v>
      </c>
      <c r="C130" s="3" t="s">
        <v>885</v>
      </c>
      <c r="D130" s="3">
        <v>42</v>
      </c>
      <c r="E130" s="3"/>
    </row>
    <row r="131" spans="1:5" x14ac:dyDescent="0.3">
      <c r="A131" s="3" t="s">
        <v>865</v>
      </c>
      <c r="B131" s="3">
        <v>23</v>
      </c>
      <c r="C131" s="3" t="s">
        <v>886</v>
      </c>
      <c r="D131" s="3">
        <v>42</v>
      </c>
      <c r="E131" s="3"/>
    </row>
    <row r="132" spans="1:5" x14ac:dyDescent="0.3">
      <c r="A132" s="3" t="s">
        <v>865</v>
      </c>
      <c r="B132" s="3">
        <v>24</v>
      </c>
      <c r="C132" s="3" t="s">
        <v>887</v>
      </c>
      <c r="D132" s="3">
        <v>42</v>
      </c>
      <c r="E132" s="3"/>
    </row>
    <row r="133" spans="1:5" x14ac:dyDescent="0.3">
      <c r="A133" s="3" t="s">
        <v>865</v>
      </c>
      <c r="B133" s="3">
        <v>25</v>
      </c>
      <c r="C133" s="3" t="s">
        <v>888</v>
      </c>
      <c r="D133" s="3">
        <v>42</v>
      </c>
      <c r="E133" s="3"/>
    </row>
    <row r="134" spans="1:5" x14ac:dyDescent="0.3">
      <c r="A134" s="3" t="s">
        <v>865</v>
      </c>
      <c r="B134" s="3">
        <v>26</v>
      </c>
      <c r="C134" s="3" t="s">
        <v>889</v>
      </c>
      <c r="D134" s="3">
        <v>42</v>
      </c>
      <c r="E134" s="3"/>
    </row>
    <row r="135" spans="1:5" x14ac:dyDescent="0.3">
      <c r="A135" s="3" t="s">
        <v>865</v>
      </c>
      <c r="B135" s="3">
        <v>27</v>
      </c>
      <c r="C135" s="3" t="s">
        <v>890</v>
      </c>
      <c r="D135" s="3">
        <v>42</v>
      </c>
      <c r="E135" s="3"/>
    </row>
    <row r="136" spans="1:5" x14ac:dyDescent="0.3">
      <c r="A136" s="3" t="s">
        <v>865</v>
      </c>
      <c r="B136" s="3">
        <v>28</v>
      </c>
      <c r="C136" s="3" t="s">
        <v>891</v>
      </c>
      <c r="D136" s="3">
        <v>42</v>
      </c>
      <c r="E136" s="3"/>
    </row>
    <row r="137" spans="1:5" x14ac:dyDescent="0.3">
      <c r="A137" s="3" t="s">
        <v>865</v>
      </c>
      <c r="B137" s="3">
        <v>29</v>
      </c>
      <c r="C137" s="3" t="s">
        <v>892</v>
      </c>
      <c r="D137" s="3">
        <v>42</v>
      </c>
      <c r="E137" s="3"/>
    </row>
    <row r="138" spans="1:5" x14ac:dyDescent="0.3">
      <c r="A138" s="3" t="s">
        <v>865</v>
      </c>
      <c r="B138" s="3">
        <v>30</v>
      </c>
      <c r="C138" s="3" t="s">
        <v>893</v>
      </c>
      <c r="D138" s="3">
        <v>42</v>
      </c>
      <c r="E138" s="3"/>
    </row>
    <row r="139" spans="1:5" x14ac:dyDescent="0.3">
      <c r="A139" s="3" t="s">
        <v>865</v>
      </c>
      <c r="B139" s="3">
        <v>31</v>
      </c>
      <c r="C139" s="3" t="s">
        <v>894</v>
      </c>
      <c r="D139" s="3">
        <v>42</v>
      </c>
      <c r="E139" s="3"/>
    </row>
    <row r="140" spans="1:5" x14ac:dyDescent="0.3">
      <c r="A140" s="3" t="s">
        <v>865</v>
      </c>
      <c r="B140" s="3">
        <v>32</v>
      </c>
      <c r="C140" s="3" t="s">
        <v>895</v>
      </c>
      <c r="D140" s="3">
        <v>42</v>
      </c>
      <c r="E140" s="3"/>
    </row>
    <row r="141" spans="1:5" x14ac:dyDescent="0.3">
      <c r="A141" s="3" t="s">
        <v>865</v>
      </c>
      <c r="B141" s="3">
        <v>33</v>
      </c>
      <c r="C141" s="3" t="s">
        <v>896</v>
      </c>
      <c r="D141" s="3">
        <v>42</v>
      </c>
      <c r="E141" s="3"/>
    </row>
    <row r="142" spans="1:5" x14ac:dyDescent="0.3">
      <c r="A142" s="3" t="s">
        <v>865</v>
      </c>
      <c r="B142" s="3">
        <v>34</v>
      </c>
      <c r="C142" s="3" t="s">
        <v>897</v>
      </c>
      <c r="D142" s="3">
        <v>42</v>
      </c>
      <c r="E142" s="3"/>
    </row>
    <row r="143" spans="1:5" x14ac:dyDescent="0.3">
      <c r="A143" s="3" t="s">
        <v>865</v>
      </c>
      <c r="B143" s="3">
        <v>35</v>
      </c>
      <c r="C143" s="3" t="s">
        <v>784</v>
      </c>
      <c r="D143" s="3">
        <v>42</v>
      </c>
      <c r="E143" s="3"/>
    </row>
    <row r="144" spans="1:5" x14ac:dyDescent="0.3">
      <c r="A144" s="3" t="s">
        <v>865</v>
      </c>
      <c r="B144" s="3">
        <v>36</v>
      </c>
      <c r="C144" s="3" t="s">
        <v>783</v>
      </c>
      <c r="D144" s="3">
        <v>42</v>
      </c>
      <c r="E144" s="3"/>
    </row>
    <row r="145" spans="1:5" x14ac:dyDescent="0.3">
      <c r="A145" s="3" t="s">
        <v>865</v>
      </c>
      <c r="B145" s="3">
        <v>37</v>
      </c>
      <c r="C145" s="3" t="s">
        <v>898</v>
      </c>
      <c r="D145" s="3">
        <v>42</v>
      </c>
      <c r="E145" s="3"/>
    </row>
    <row r="146" spans="1:5" x14ac:dyDescent="0.3">
      <c r="A146" s="3" t="s">
        <v>865</v>
      </c>
      <c r="B146" s="3">
        <v>38</v>
      </c>
      <c r="C146" s="3" t="s">
        <v>899</v>
      </c>
      <c r="D146" s="3">
        <v>42</v>
      </c>
      <c r="E146" s="3"/>
    </row>
    <row r="147" spans="1:5" x14ac:dyDescent="0.3">
      <c r="A147" s="3" t="s">
        <v>865</v>
      </c>
      <c r="B147" s="3">
        <v>39</v>
      </c>
      <c r="C147" s="3" t="s">
        <v>900</v>
      </c>
      <c r="D147" s="3">
        <v>42</v>
      </c>
      <c r="E147" s="3"/>
    </row>
    <row r="148" spans="1:5" x14ac:dyDescent="0.3">
      <c r="A148" s="3" t="s">
        <v>865</v>
      </c>
      <c r="B148" s="3">
        <v>40</v>
      </c>
      <c r="C148" s="3" t="s">
        <v>901</v>
      </c>
      <c r="D148" s="3">
        <v>42</v>
      </c>
      <c r="E148" s="3"/>
    </row>
    <row r="149" spans="1:5" x14ac:dyDescent="0.3">
      <c r="A149" s="3" t="s">
        <v>865</v>
      </c>
      <c r="B149" s="3">
        <v>41</v>
      </c>
      <c r="C149" s="3" t="s">
        <v>902</v>
      </c>
      <c r="D149" s="3">
        <v>42</v>
      </c>
      <c r="E149" s="3"/>
    </row>
    <row r="150" spans="1:5" x14ac:dyDescent="0.3">
      <c r="A150" s="3" t="s">
        <v>865</v>
      </c>
      <c r="B150" s="3">
        <v>42</v>
      </c>
      <c r="C150" s="3" t="s">
        <v>903</v>
      </c>
      <c r="D150" s="3">
        <v>42</v>
      </c>
      <c r="E150" s="3"/>
    </row>
  </sheetData>
  <autoFilter ref="A3:E150" xr:uid="{00000000-0009-0000-0000-00000A000000}"/>
  <mergeCells count="1">
    <mergeCell ref="A1:E1"/>
  </mergeCells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showGridLines="0" workbookViewId="0"/>
  </sheetViews>
  <sheetFormatPr defaultRowHeight="16.5" x14ac:dyDescent="0.3"/>
  <cols>
    <col min="1" max="1" width="22" customWidth="1"/>
    <col min="2" max="2" width="24" customWidth="1"/>
    <col min="3" max="3" width="16" customWidth="1"/>
    <col min="4" max="4" width="70" customWidth="1"/>
  </cols>
  <sheetData>
    <row r="1" spans="1:4" ht="24" customHeight="1" x14ac:dyDescent="0.3">
      <c r="A1" s="20" t="s">
        <v>904</v>
      </c>
      <c r="B1" s="21"/>
      <c r="C1" s="21"/>
      <c r="D1" s="21"/>
    </row>
    <row r="3" spans="1:4" x14ac:dyDescent="0.3">
      <c r="A3" s="25" t="s">
        <v>905</v>
      </c>
      <c r="B3" s="21"/>
      <c r="C3" s="21"/>
      <c r="D3" s="21"/>
    </row>
    <row r="4" spans="1:4" x14ac:dyDescent="0.3">
      <c r="A4" s="4" t="s">
        <v>906</v>
      </c>
      <c r="B4" s="4" t="s">
        <v>907</v>
      </c>
      <c r="C4" s="4" t="s">
        <v>908</v>
      </c>
      <c r="D4" s="4" t="s">
        <v>32</v>
      </c>
    </row>
    <row r="5" spans="1:4" ht="33" x14ac:dyDescent="0.3">
      <c r="A5" s="2" t="s">
        <v>909</v>
      </c>
      <c r="B5" s="2" t="s">
        <v>910</v>
      </c>
      <c r="C5" s="2" t="s">
        <v>911</v>
      </c>
      <c r="D5" s="2" t="s">
        <v>912</v>
      </c>
    </row>
    <row r="6" spans="1:4" ht="33" x14ac:dyDescent="0.3">
      <c r="A6" s="2" t="s">
        <v>913</v>
      </c>
      <c r="B6" s="2" t="s">
        <v>914</v>
      </c>
      <c r="C6" s="2" t="s">
        <v>915</v>
      </c>
      <c r="D6" s="2" t="s">
        <v>916</v>
      </c>
    </row>
    <row r="7" spans="1:4" x14ac:dyDescent="0.3">
      <c r="A7" s="2" t="s">
        <v>917</v>
      </c>
      <c r="B7" s="2" t="s">
        <v>918</v>
      </c>
      <c r="C7" s="2" t="s">
        <v>911</v>
      </c>
      <c r="D7" s="2" t="s">
        <v>919</v>
      </c>
    </row>
    <row r="8" spans="1:4" ht="33" x14ac:dyDescent="0.3">
      <c r="A8" s="2" t="s">
        <v>920</v>
      </c>
      <c r="B8" s="2" t="s">
        <v>921</v>
      </c>
      <c r="C8" s="2" t="s">
        <v>922</v>
      </c>
      <c r="D8" s="2" t="s">
        <v>923</v>
      </c>
    </row>
    <row r="11" spans="1:4" x14ac:dyDescent="0.3">
      <c r="A11" s="25" t="s">
        <v>924</v>
      </c>
      <c r="B11" s="21"/>
      <c r="C11" s="21"/>
      <c r="D11" s="21"/>
    </row>
    <row r="12" spans="1:4" x14ac:dyDescent="0.3">
      <c r="A12" s="4" t="s">
        <v>925</v>
      </c>
      <c r="B12" s="26" t="s">
        <v>926</v>
      </c>
      <c r="C12" s="27"/>
      <c r="D12" s="27"/>
    </row>
    <row r="13" spans="1:4" ht="42" customHeight="1" x14ac:dyDescent="0.3">
      <c r="A13" s="19" t="s">
        <v>927</v>
      </c>
      <c r="B13" s="24" t="s">
        <v>928</v>
      </c>
      <c r="C13" s="21"/>
      <c r="D13" s="21"/>
    </row>
    <row r="14" spans="1:4" ht="42" customHeight="1" x14ac:dyDescent="0.3">
      <c r="A14" s="19" t="s">
        <v>929</v>
      </c>
      <c r="B14" s="24" t="s">
        <v>930</v>
      </c>
      <c r="C14" s="21"/>
      <c r="D14" s="21"/>
    </row>
    <row r="15" spans="1:4" ht="42" customHeight="1" x14ac:dyDescent="0.3">
      <c r="A15" s="19" t="s">
        <v>931</v>
      </c>
      <c r="B15" s="24" t="s">
        <v>932</v>
      </c>
      <c r="C15" s="21"/>
      <c r="D15" s="21"/>
    </row>
    <row r="16" spans="1:4" ht="42" customHeight="1" x14ac:dyDescent="0.3">
      <c r="A16" s="19" t="s">
        <v>933</v>
      </c>
      <c r="B16" s="24" t="s">
        <v>934</v>
      </c>
      <c r="C16" s="21"/>
      <c r="D16" s="21"/>
    </row>
    <row r="17" spans="1:4" ht="42" customHeight="1" x14ac:dyDescent="0.3">
      <c r="A17" s="19" t="s">
        <v>935</v>
      </c>
      <c r="B17" s="24" t="s">
        <v>936</v>
      </c>
      <c r="C17" s="21"/>
      <c r="D17" s="21"/>
    </row>
    <row r="18" spans="1:4" ht="42" customHeight="1" x14ac:dyDescent="0.3">
      <c r="A18" s="19" t="s">
        <v>937</v>
      </c>
      <c r="B18" s="24" t="s">
        <v>938</v>
      </c>
      <c r="C18" s="21"/>
      <c r="D18" s="21"/>
    </row>
  </sheetData>
  <mergeCells count="10">
    <mergeCell ref="B18:D18"/>
    <mergeCell ref="B13:D13"/>
    <mergeCell ref="A11:D11"/>
    <mergeCell ref="B12:D12"/>
    <mergeCell ref="B16:D16"/>
    <mergeCell ref="A1:D1"/>
    <mergeCell ref="B14:D14"/>
    <mergeCell ref="B15:D15"/>
    <mergeCell ref="A3:D3"/>
    <mergeCell ref="B17:D1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안내</vt:lpstr>
      <vt:lpstr>판정_217건</vt:lpstr>
      <vt:lpstr>판정_규모</vt:lpstr>
      <vt:lpstr>원천_분포</vt:lpstr>
      <vt:lpstr>목표_분포</vt:lpstr>
      <vt:lpstr>원천목표_교차</vt:lpstr>
      <vt:lpstr>대응쌍_12</vt:lpstr>
      <vt:lpstr>대응후보_전체</vt:lpstr>
      <vt:lpstr>반례_54</vt:lpstr>
      <vt:lpstr>감각성_지수</vt:lpstr>
      <vt:lpstr>어휘_목록</vt:lpstr>
      <vt:lpstr>A_B_경계_판정원칙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Research data: Yeolha-Hwasik metaphor study</dc:title>
  <dc:subject>Final coded metaphor data and reproducibility materials</dc:subject>
  <dc:creator>Research dataset</dc:creator>
  <cp:lastModifiedBy>A</cp:lastModifiedBy>
  <dcterms:created xsi:type="dcterms:W3CDTF">2026-08-09T14:46:26Z</dcterms:created>
  <dcterms:modified xsi:type="dcterms:W3CDTF">2026-08-09T21:52:28Z</dcterms:modified>
</cp:coreProperties>
</file>