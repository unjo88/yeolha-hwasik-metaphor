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설계 안내" sheetId="1" state="visible" r:id="rId1"/>
    <sheet xmlns:r="http://schemas.openxmlformats.org/officeDocument/2006/relationships" name="진행 현황" sheetId="2" state="visible" r:id="rId2"/>
    <sheet xmlns:r="http://schemas.openxmlformats.org/officeDocument/2006/relationships" name="화식열전" sheetId="3" state="visible" r:id="rId3"/>
    <sheet xmlns:r="http://schemas.openxmlformats.org/officeDocument/2006/relationships" name="도강록" sheetId="4" state="visible" r:id="rId4"/>
    <sheet xmlns:r="http://schemas.openxmlformats.org/officeDocument/2006/relationships" name="성경잡지" sheetId="5" state="visible" r:id="rId5"/>
    <sheet xmlns:r="http://schemas.openxmlformats.org/officeDocument/2006/relationships" name="일신수필" sheetId="6" state="visible" r:id="rId6"/>
    <sheet xmlns:r="http://schemas.openxmlformats.org/officeDocument/2006/relationships" name="관내정사" sheetId="7" state="visible" r:id="rId7"/>
    <sheet xmlns:r="http://schemas.openxmlformats.org/officeDocument/2006/relationships" name="옥갑야화" sheetId="8" state="visible" r:id="rId8"/>
    <sheet xmlns:r="http://schemas.openxmlformats.org/officeDocument/2006/relationships" name="행재잡록" sheetId="9" state="visible" r:id="rId9"/>
    <sheet xmlns:r="http://schemas.openxmlformats.org/officeDocument/2006/relationships" name="심세편" sheetId="10" state="visible" r:id="rId10"/>
    <sheet xmlns:r="http://schemas.openxmlformats.org/officeDocument/2006/relationships" name="코드 정의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0"/>
      <b val="1"/>
      <color rgb="FFFFFFFF"/>
      <sz val="10"/>
    </font>
    <font>
      <name val="Noto Sans CJK SC"/>
      <charset val="1"/>
      <family val="0"/>
      <b val="1"/>
      <sz val="10"/>
    </font>
    <font>
      <name val="Noto Sans CJK SC"/>
      <charset val="1"/>
      <family val="0"/>
      <sz val="10"/>
    </font>
    <font>
      <name val="Noto Sans CJK SC"/>
      <b val="1"/>
      <color rgb="00FFFFFF"/>
      <sz val="10"/>
    </font>
    <font>
      <name val="Noto Sans CJK SC"/>
      <sz val="10"/>
    </font>
    <font>
      <name val="Noto Sans CJK SC"/>
      <b val="1"/>
      <sz val="10"/>
    </font>
    <font>
      <name val="Noto Sans CJK SC"/>
      <b val="1"/>
      <color rgb="00C00000"/>
      <sz val="10"/>
    </font>
    <font>
      <name val="Noto Sans CJK SC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0044546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5" min="1" max="1"/>
    <col width="100" customWidth="1" style="15" min="2" max="2"/>
  </cols>
  <sheetData>
    <row r="1" ht="19.5" customHeight="1" s="16">
      <c r="A1" s="17" t="inlineStr">
        <is>
          <t>항목</t>
        </is>
      </c>
      <c r="B1" s="17" t="inlineStr">
        <is>
          <t>내용</t>
        </is>
      </c>
    </row>
    <row r="2" ht="29.85" customHeight="1" s="16">
      <c r="A2" s="18" t="inlineStr">
        <is>
          <t>※ 2차 개정 사항</t>
        </is>
      </c>
      <c r="B2" s="19" t="inlineStr">
        <is>
          <t>목표 영역에 「TD-7 경물·감각」을 추가하였습니다. 시범 코딩에서 경물 묘사와 감각·정서 표현이 갈 자리가 없어 TD-6 기타에 몰리는 문제가 확인되었기 때문입니다. 기행문에서 견문을 서술하는 대목은 대체로 TD-7에 듭니다. TD-6은 나머지 여섯에 모두 들지 않을 때만 쓰고, 그때는 비고란에 무엇인지 적어 주십시오.</t>
        </is>
      </c>
    </row>
    <row r="3" ht="29.85" customHeight="1" s="16">
      <c r="A3" s="20" t="inlineStr">
        <is>
          <t>이 파일의 용도</t>
        </is>
      </c>
      <c r="B3" s="21" t="inlineStr">
        <is>
          <t>「화식열전」과 열하일기 7편 전체를 새 설계로 재코딩하기 위한 판정지입니다. 두 판정자가 각자 사본에 독립적으로 입력한 뒤 대조합니다.</t>
        </is>
      </c>
    </row>
    <row r="4" ht="29.85" customHeight="1" s="16">
      <c r="A4" s="20" t="inlineStr">
        <is>
          <t>작업량</t>
        </is>
      </c>
      <c r="B4" s="21" t="inlineStr">
        <is>
          <t>판정 대상 절은 8편 합계 1,880절입니다. 절당 30초로 잡으면 1인 약 16시간입니다. 먼저 한 편을 끝까지 해보고 실제 속도를 확인한 뒤 전체 일정을 잡으시기를 권합니다.</t>
        </is>
      </c>
    </row>
    <row r="5" ht="29.85" customHeight="1" s="16">
      <c r="A5" s="20" t="inlineStr">
        <is>
          <t>작업 순서 권고</t>
        </is>
      </c>
      <c r="B5" s="21" t="inlineStr">
        <is>
          <t>「화식열전」과 「도강록」을 먼저 하십시오. 이 두 편(718절)은 건별 자료가 아예 없어 심사의견 2·5·6·7번의 공통 원인이 되고 있습니다. 나머지 6편은 기존 판정 자료가 남아 있으므로 후순위로 두어도 됩니다.</t>
        </is>
      </c>
    </row>
    <row r="6" ht="29.85" customHeight="1" s="16">
      <c r="A6" s="20" t="inlineStr">
        <is>
          <t>분석 단위 — 절(節)</t>
        </is>
      </c>
      <c r="B6" s="21" t="inlineStr">
        <is>
          <t>두 저본이 각자 표시한 경계를 그대로 씁니다. 「화식열전」은 표점(，。：；)으로, 열하일기는 저본의 띄어쓰기로 나눕니다. 연구자가 임의로 정한 분절이 아닙니다.</t>
        </is>
      </c>
    </row>
    <row r="7" ht="15" customHeight="1" s="16">
      <c r="A7" s="20" t="inlineStr">
        <is>
          <t>두 저본의 절 길이가 사실상 같습니다</t>
        </is>
      </c>
      <c r="B7" s="21" t="inlineStr">
        <is>
          <t>「화식열전」 1,155절 평균 4.14자(중위 4.0), 열하일기 16,278절 평균 4.98자(중위 4.0)입니다. 표점의 쉼표와 저본의 띄어쓰기가 같은 층위의 경계를 표시한다는 뜻이며, 심사의견 4번에 대한 실질적 해결책이 됩니다.</t>
        </is>
      </c>
    </row>
    <row r="8" ht="29.85" customHeight="1" s="16">
      <c r="A8" s="20" t="inlineStr">
        <is>
          <t>판정 대상 선정</t>
        </is>
      </c>
      <c r="B8" s="21" t="inlineStr">
        <is>
          <t>트리거 41개를 포함한 절과 그 앞뒤 각 1절이 대상입니다. 두 문헌에 같은 규칙을 적용합니다.</t>
        </is>
      </c>
    </row>
    <row r="9" ht="29.85" customHeight="1" s="16">
      <c r="A9" s="20" t="inlineStr">
        <is>
          <t>음성 사례를 반드시 남기십시오</t>
        </is>
      </c>
      <c r="B9" s="21" t="inlineStr">
        <is>
          <t>기존 검토표는 은유로 판정된 건만 기록되어 은유 여부의 Kappa를 산출할 수 없었습니다. 이번에는 대상 절 전체를 Y/N으로 판정하므로 음성 사례가 남습니다. 은유가 아닌 절도 빠짐없이 N으로 표시해 주십시오. 빈칸으로 두면 미판정과 구별되지 않습니다.</t>
        </is>
      </c>
    </row>
    <row r="10" ht="44" customHeight="1" s="16">
      <c r="A10" s="20" t="inlineStr">
        <is>
          <t>목표 영역을 함께 코딩합니다</t>
        </is>
      </c>
      <c r="B10" s="21" t="inlineStr">
        <is>
          <t>모든 은유 항목에 목표 영역 코드를 붙입니다. 그러면 원천 × 목표 교차표가 산출되어, 대응쌍을 골라 제시할 필요가 없어집니다. 심사의견 5번이 여기서 해소됩니다.</t>
        </is>
      </c>
    </row>
    <row r="11" ht="29.85" customHeight="1" s="16">
      <c r="A11" s="20" t="inlineStr">
        <is>
          <t>판정 방법</t>
        </is>
      </c>
      <c r="B11" s="21" t="inlineStr">
        <is>
          <t>① 절의 문맥적 의미를 확인합니다. ② 해당 어휘의 기본 의미(더 구체적이고 신체적 경험에 가까우며 역사적으로 앞선 의미)를 떠올립니다. ③ 두 의미가 다르고 전자를 후자와의 비교로 이해할 수 있으면 Y로 판정합니다. ④ Y라면 원천 영역과 목표 영역을 각각 고르고 해당 어휘를 적습니다.</t>
        </is>
      </c>
    </row>
    <row r="12" ht="15" customHeight="1" s="16">
      <c r="A12" s="20" t="inlineStr">
        <is>
          <t>과장·역설의 처리</t>
        </is>
      </c>
      <c r="B12" s="21" t="inlineStr">
        <is>
          <t>과장이나 역설은 두 영역 사이의 사상이 아니므로 원천 영역이 아닙니다. 그것만으로 이루어진 표현은 원천 영역에 「(수사 기제)」를 선택하십시오. 원천 영역과 함께 나타나면 원천 영역을 고르고 비고란에 적으십시오.</t>
        </is>
      </c>
    </row>
    <row r="13" ht="29.85" customHeight="1" s="16">
      <c r="A13" s="20" t="inlineStr">
        <is>
          <t>한 절에 은유가 둘 이상일 때</t>
        </is>
      </c>
      <c r="B13" s="21" t="inlineStr">
        <is>
          <t>대표 은유 하나를 판정하고 나머지는 비고란에 적으십시오. 절당 1건을 원칙으로 해야 두 판정자의 단위가 어긋나지 않습니다.</t>
        </is>
      </c>
    </row>
    <row r="14" ht="29.85" customHeight="1" s="16">
      <c r="A14" s="20" t="inlineStr">
        <is>
          <t>불일치 처리</t>
        </is>
      </c>
      <c r="B14" s="21" t="inlineStr">
        <is>
          <t>판정을 시작하기 전에 절차를 정해 두십시오. 협의 조정인지, 제3자 중재인지, 다수결인지. 판정 후에 정하면 결과에 맞춰 절차를 골랐다는 의심을 삽니다. 일치도는 조정 전 수치로 산출합니다.</t>
        </is>
      </c>
    </row>
    <row r="15">
      <c r="A15" s="20" t="inlineStr">
        <is>
          <t>심세편에 관한 유의</t>
        </is>
      </c>
      <c r="B15" s="21" t="inlineStr">
        <is>
          <t>「심세편」은 판정 대상이 21절에 그칩니다. 재코딩 후에도 정량표에 넣기 어려울 가능성이 높으나, 판정해 두면 제외 근거를 수치로 제시할 수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5" min="1" max="2"/>
    <col width="12" customWidth="1" style="15" min="3" max="3"/>
    <col width="10" customWidth="1" style="15" min="4" max="5"/>
    <col width="12" customWidth="1" style="15" min="6" max="6"/>
  </cols>
  <sheetData>
    <row r="1" ht="19.5" customHeight="1" s="16">
      <c r="A1" s="17" t="inlineStr">
        <is>
          <t>텍스트</t>
        </is>
      </c>
      <c r="B1" s="17" t="inlineStr">
        <is>
          <t>판정 대상 절</t>
        </is>
      </c>
      <c r="C1" s="17" t="inlineStr">
        <is>
          <t>판정 완료</t>
        </is>
      </c>
      <c r="D1" s="17" t="inlineStr">
        <is>
          <t>미판정</t>
        </is>
      </c>
      <c r="E1" s="17" t="inlineStr">
        <is>
          <t>은유(Y)</t>
        </is>
      </c>
      <c r="F1" s="17" t="inlineStr">
        <is>
          <t>비은유(N)</t>
        </is>
      </c>
    </row>
    <row r="2" ht="15" customHeight="1" s="16">
      <c r="A2" s="22" t="inlineStr">
        <is>
          <t>화식열전</t>
        </is>
      </c>
      <c r="B2" s="23" t="n">
        <v>394</v>
      </c>
      <c r="C2" s="23">
        <f>COUNTIF(화식열전!$H$2:$H$395,"Y")+COUNTIF(화식열전!$H$2:$H$395,"N")</f>
        <v/>
      </c>
      <c r="D2" s="23">
        <f>B2-C2</f>
        <v/>
      </c>
      <c r="E2" s="23">
        <f>COUNTIF(화식열전!$H$2:$H$395,"Y")</f>
        <v/>
      </c>
      <c r="F2" s="23">
        <f>COUNTIF(화식열전!$H$2:$H$395,"N")</f>
        <v/>
      </c>
    </row>
    <row r="3" ht="15" customHeight="1" s="16">
      <c r="A3" s="22" t="inlineStr">
        <is>
          <t>도강록</t>
        </is>
      </c>
      <c r="B3" s="23" t="n">
        <v>324</v>
      </c>
      <c r="C3" s="23">
        <f>COUNTIF(도강록!$H$2:$H$325,"Y")+COUNTIF(도강록!$H$2:$H$325,"N")</f>
        <v/>
      </c>
      <c r="D3" s="23">
        <f>B3-C3</f>
        <v/>
      </c>
      <c r="E3" s="23">
        <f>COUNTIF(도강록!$H$2:$H$325,"Y")</f>
        <v/>
      </c>
      <c r="F3" s="23">
        <f>COUNTIF(도강록!$H$2:$H$325,"N")</f>
        <v/>
      </c>
    </row>
    <row r="4" ht="15" customHeight="1" s="16">
      <c r="A4" s="22" t="inlineStr">
        <is>
          <t>성경잡지</t>
        </is>
      </c>
      <c r="B4" s="23" t="n">
        <v>295</v>
      </c>
      <c r="C4" s="23">
        <f>COUNTIF(성경잡지!$H$2:$H$296,"Y")+COUNTIF(성경잡지!$H$2:$H$296,"N")</f>
        <v/>
      </c>
      <c r="D4" s="23">
        <f>B4-C4</f>
        <v/>
      </c>
      <c r="E4" s="23">
        <f>COUNTIF(성경잡지!$H$2:$H$296,"Y")</f>
        <v/>
      </c>
      <c r="F4" s="23">
        <f>COUNTIF(성경잡지!$H$2:$H$296,"N")</f>
        <v/>
      </c>
    </row>
    <row r="5" ht="15" customHeight="1" s="16">
      <c r="A5" s="22" t="inlineStr">
        <is>
          <t>일신수필</t>
        </is>
      </c>
      <c r="B5" s="23" t="n">
        <v>273</v>
      </c>
      <c r="C5" s="23">
        <f>COUNTIF(일신수필!$H$2:$H$274,"Y")+COUNTIF(일신수필!$H$2:$H$274,"N")</f>
        <v/>
      </c>
      <c r="D5" s="23">
        <f>B5-C5</f>
        <v/>
      </c>
      <c r="E5" s="23">
        <f>COUNTIF(일신수필!$H$2:$H$274,"Y")</f>
        <v/>
      </c>
      <c r="F5" s="23">
        <f>COUNTIF(일신수필!$H$2:$H$274,"N")</f>
        <v/>
      </c>
    </row>
    <row r="6" ht="15" customHeight="1" s="16">
      <c r="A6" s="22" t="inlineStr">
        <is>
          <t>관내정사</t>
        </is>
      </c>
      <c r="B6" s="23" t="n">
        <v>254</v>
      </c>
      <c r="C6" s="23">
        <f>COUNTIF(관내정사!$H$2:$H$255,"Y")+COUNTIF(관내정사!$H$2:$H$255,"N")</f>
        <v/>
      </c>
      <c r="D6" s="23">
        <f>B6-C6</f>
        <v/>
      </c>
      <c r="E6" s="23">
        <f>COUNTIF(관내정사!$H$2:$H$255,"Y")</f>
        <v/>
      </c>
      <c r="F6" s="23">
        <f>COUNTIF(관내정사!$H$2:$H$255,"N")</f>
        <v/>
      </c>
    </row>
    <row r="7" ht="15" customHeight="1" s="16">
      <c r="A7" s="22" t="inlineStr">
        <is>
          <t>옥갑야화</t>
        </is>
      </c>
      <c r="B7" s="23" t="n">
        <v>254</v>
      </c>
      <c r="C7" s="23">
        <f>COUNTIF(옥갑야화!$H$2:$H$255,"Y")+COUNTIF(옥갑야화!$H$2:$H$255,"N")</f>
        <v/>
      </c>
      <c r="D7" s="23">
        <f>B7-C7</f>
        <v/>
      </c>
      <c r="E7" s="23">
        <f>COUNTIF(옥갑야화!$H$2:$H$255,"Y")</f>
        <v/>
      </c>
      <c r="F7" s="23">
        <f>COUNTIF(옥갑야화!$H$2:$H$255,"N")</f>
        <v/>
      </c>
    </row>
    <row r="8" ht="15" customHeight="1" s="16">
      <c r="A8" s="22" t="inlineStr">
        <is>
          <t>행재잡록</t>
        </is>
      </c>
      <c r="B8" s="23" t="n">
        <v>65</v>
      </c>
      <c r="C8" s="23">
        <f>COUNTIF(행재잡록!$H$2:$H$66,"Y")+COUNTIF(행재잡록!$H$2:$H$66,"N")</f>
        <v/>
      </c>
      <c r="D8" s="23">
        <f>B8-C8</f>
        <v/>
      </c>
      <c r="E8" s="23">
        <f>COUNTIF(행재잡록!$H$2:$H$66,"Y")</f>
        <v/>
      </c>
      <c r="F8" s="23">
        <f>COUNTIF(행재잡록!$H$2:$H$66,"N")</f>
        <v/>
      </c>
    </row>
    <row r="9" ht="15" customHeight="1" s="16">
      <c r="A9" s="22" t="inlineStr">
        <is>
          <t>심세편</t>
        </is>
      </c>
      <c r="B9" s="23" t="n">
        <v>21</v>
      </c>
      <c r="C9" s="23">
        <f>COUNTIF(심세편!$H$2:$H$22,"Y")+COUNTIF(심세편!$H$2:$H$22,"N")</f>
        <v/>
      </c>
      <c r="D9" s="23">
        <f>B9-C9</f>
        <v/>
      </c>
      <c r="E9" s="23">
        <f>COUNTIF(심세편!$H$2:$H$22,"Y")</f>
        <v/>
      </c>
      <c r="F9" s="23">
        <f>COUNTIF(심세편!$H$2:$H$22,"N")</f>
        <v/>
      </c>
    </row>
    <row r="10" ht="15" customHeight="1" s="16">
      <c r="A10" s="24" t="inlineStr">
        <is>
          <t>합계</t>
        </is>
      </c>
      <c r="B10" s="25">
        <f>SUM(B2:B9)</f>
        <v/>
      </c>
      <c r="C10" s="25">
        <f>SUM(C2:C9)</f>
        <v/>
      </c>
      <c r="D10" s="25">
        <f>SUM(D2:D9)</f>
        <v/>
      </c>
      <c r="E10" s="25">
        <f>SUM(E2:E9)</f>
        <v/>
      </c>
      <c r="F10" s="25">
        <f>SUM(F2:F9)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2</v>
      </c>
      <c r="C2" s="26" t="n">
        <v>13</v>
      </c>
      <c r="D2" s="27" t="inlineStr">
        <is>
          <t>終不能化</t>
        </is>
      </c>
      <c r="E2" s="28" t="inlineStr">
        <is>
          <t>故善者因之</t>
        </is>
      </c>
      <c r="F2" s="27" t="inlineStr">
        <is>
          <t>其次利道之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2</v>
      </c>
      <c r="C3" s="26" t="n">
        <v>14</v>
      </c>
      <c r="D3" s="27" t="inlineStr">
        <is>
          <t>故善者因之</t>
        </is>
      </c>
      <c r="E3" s="32" t="inlineStr">
        <is>
          <t>其次利道之</t>
        </is>
      </c>
      <c r="F3" s="27" t="inlineStr">
        <is>
          <t>其次教誨之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2</v>
      </c>
      <c r="C4" s="26" t="n">
        <v>15</v>
      </c>
      <c r="D4" s="27" t="inlineStr">
        <is>
          <t>其次利道之</t>
        </is>
      </c>
      <c r="E4" s="28" t="inlineStr">
        <is>
          <t>其次教誨之</t>
        </is>
      </c>
      <c r="F4" s="27" t="inlineStr">
        <is>
          <t>其次整齊之</t>
        </is>
      </c>
      <c r="G4" s="26" t="n"/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3</v>
      </c>
      <c r="C5" s="26" t="n">
        <v>38</v>
      </c>
      <c r="D5" s="27" t="inlineStr">
        <is>
          <t>虞而出之</t>
        </is>
      </c>
      <c r="E5" s="28" t="inlineStr">
        <is>
          <t>工而成之</t>
        </is>
      </c>
      <c r="F5" s="27" t="inlineStr">
        <is>
          <t>商而通之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15" customHeight="1" s="16">
      <c r="A6" s="26" t="n">
        <v>5</v>
      </c>
      <c r="B6" s="26" t="n">
        <v>3</v>
      </c>
      <c r="C6" s="26" t="n">
        <v>39</v>
      </c>
      <c r="D6" s="27" t="inlineStr">
        <is>
          <t>工而成之</t>
        </is>
      </c>
      <c r="E6" s="32" t="inlineStr">
        <is>
          <t>商而通之</t>
        </is>
      </c>
      <c r="F6" s="27" t="inlineStr">
        <is>
          <t>此寧有政教發徵期會哉</t>
        </is>
      </c>
      <c r="G6" s="26" t="inlineStr">
        <is>
          <t>●</t>
        </is>
      </c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3</v>
      </c>
      <c r="C7" s="26" t="n">
        <v>40</v>
      </c>
      <c r="D7" s="27" t="inlineStr">
        <is>
          <t>商而通之</t>
        </is>
      </c>
      <c r="E7" s="28" t="inlineStr">
        <is>
          <t>此寧有政教發徵期會哉</t>
        </is>
      </c>
      <c r="F7" s="27" t="inlineStr">
        <is>
          <t>人各任其能</t>
        </is>
      </c>
      <c r="G7" s="26" t="n"/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4</v>
      </c>
      <c r="C8" s="26" t="n">
        <v>3</v>
      </c>
      <c r="D8" s="27" t="inlineStr">
        <is>
          <t>農不出則乏其食</t>
        </is>
      </c>
      <c r="E8" s="28" t="inlineStr">
        <is>
          <t>工不出則乏其事</t>
        </is>
      </c>
      <c r="F8" s="27" t="inlineStr">
        <is>
          <t>商不出則三寶絕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4</v>
      </c>
      <c r="C9" s="26" t="n">
        <v>4</v>
      </c>
      <c r="D9" s="27" t="inlineStr">
        <is>
          <t>工不出則乏其事</t>
        </is>
      </c>
      <c r="E9" s="32" t="inlineStr">
        <is>
          <t>商不出則三寶絕</t>
        </is>
      </c>
      <c r="F9" s="27" t="inlineStr">
        <is>
          <t>虞不出則財匱少</t>
        </is>
      </c>
      <c r="G9" s="26" t="inlineStr">
        <is>
          <t>●</t>
        </is>
      </c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4</v>
      </c>
      <c r="C10" s="26" t="n">
        <v>5</v>
      </c>
      <c r="D10" s="27" t="inlineStr">
        <is>
          <t>商不出則三寶絕</t>
        </is>
      </c>
      <c r="E10" s="32" t="inlineStr">
        <is>
          <t>虞不出則財匱少</t>
        </is>
      </c>
      <c r="F10" s="27" t="inlineStr">
        <is>
          <t>財匱</t>
        </is>
      </c>
      <c r="G10" s="26" t="inlineStr">
        <is>
          <t>●</t>
        </is>
      </c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4</v>
      </c>
      <c r="C11" s="26" t="n">
        <v>6</v>
      </c>
      <c r="D11" s="27" t="inlineStr">
        <is>
          <t>虞不出則財匱少</t>
        </is>
      </c>
      <c r="E11" s="32" t="inlineStr">
        <is>
          <t>財匱</t>
        </is>
      </c>
      <c r="F11" s="27" t="inlineStr">
        <is>
          <t>少而山澤不辟矣</t>
        </is>
      </c>
      <c r="G11" s="26" t="inlineStr">
        <is>
          <t>●</t>
        </is>
      </c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15" customHeight="1" s="16">
      <c r="A12" s="26" t="n">
        <v>11</v>
      </c>
      <c r="B12" s="26" t="n">
        <v>4</v>
      </c>
      <c r="C12" s="26" t="n">
        <v>7</v>
      </c>
      <c r="D12" s="27" t="inlineStr">
        <is>
          <t>財匱</t>
        </is>
      </c>
      <c r="E12" s="28" t="inlineStr">
        <is>
          <t>少而山澤不辟矣</t>
        </is>
      </c>
      <c r="F12" s="27" t="inlineStr">
        <is>
          <t>此四者</t>
        </is>
      </c>
      <c r="G12" s="26" t="n"/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4</v>
      </c>
      <c r="C13" s="26" t="n">
        <v>11</v>
      </c>
      <c r="D13" s="27" t="inlineStr">
        <is>
          <t>原大則饒</t>
        </is>
      </c>
      <c r="E13" s="28" t="inlineStr">
        <is>
          <t>原小則鮮</t>
        </is>
      </c>
      <c r="F13" s="27" t="inlineStr">
        <is>
          <t>上則富國</t>
        </is>
      </c>
      <c r="G13" s="26" t="n"/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4</v>
      </c>
      <c r="C14" s="26" t="n">
        <v>12</v>
      </c>
      <c r="D14" s="27" t="inlineStr">
        <is>
          <t>原小則鮮</t>
        </is>
      </c>
      <c r="E14" s="32" t="inlineStr">
        <is>
          <t>上則富國</t>
        </is>
      </c>
      <c r="F14" s="27" t="inlineStr">
        <is>
          <t>下則富家</t>
        </is>
      </c>
      <c r="G14" s="26" t="inlineStr">
        <is>
          <t>●</t>
        </is>
      </c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4</v>
      </c>
      <c r="C15" s="26" t="n">
        <v>13</v>
      </c>
      <c r="D15" s="27" t="inlineStr">
        <is>
          <t>上則富國</t>
        </is>
      </c>
      <c r="E15" s="32" t="inlineStr">
        <is>
          <t>下則富家</t>
        </is>
      </c>
      <c r="F15" s="27" t="inlineStr">
        <is>
          <t>貧富</t>
        </is>
      </c>
      <c r="G15" s="26" t="inlineStr">
        <is>
          <t>●</t>
        </is>
      </c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15" customHeight="1" s="16">
      <c r="A16" s="26" t="n">
        <v>15</v>
      </c>
      <c r="B16" s="26" t="n">
        <v>4</v>
      </c>
      <c r="C16" s="26" t="n">
        <v>14</v>
      </c>
      <c r="D16" s="27" t="inlineStr">
        <is>
          <t>下則富家</t>
        </is>
      </c>
      <c r="E16" s="32" t="inlineStr">
        <is>
          <t>貧富</t>
        </is>
      </c>
      <c r="F16" s="27" t="inlineStr">
        <is>
          <t>之道</t>
        </is>
      </c>
      <c r="G16" s="26" t="inlineStr">
        <is>
          <t>●</t>
        </is>
      </c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15" customHeight="1" s="16">
      <c r="A17" s="26" t="n">
        <v>16</v>
      </c>
      <c r="B17" s="26" t="n">
        <v>4</v>
      </c>
      <c r="C17" s="26" t="n">
        <v>15</v>
      </c>
      <c r="D17" s="27" t="inlineStr">
        <is>
          <t>貧富</t>
        </is>
      </c>
      <c r="E17" s="28" t="inlineStr">
        <is>
          <t>之道</t>
        </is>
      </c>
      <c r="F17" s="27" t="inlineStr">
        <is>
          <t>莫之奪予</t>
        </is>
      </c>
      <c r="G17" s="26" t="n"/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15" customHeight="1" s="16">
      <c r="A18" s="26" t="n">
        <v>17</v>
      </c>
      <c r="B18" s="26" t="n">
        <v>4</v>
      </c>
      <c r="C18" s="26" t="n">
        <v>39</v>
      </c>
      <c r="D18" s="27" t="inlineStr">
        <is>
          <t>歸</t>
        </is>
      </c>
      <c r="E18" s="28" t="inlineStr">
        <is>
          <t>位在陪臣</t>
        </is>
      </c>
      <c r="F18" s="27" t="inlineStr">
        <is>
          <t>富於列國之君</t>
        </is>
      </c>
      <c r="G18" s="26" t="n"/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4</v>
      </c>
      <c r="C19" s="26" t="n">
        <v>40</v>
      </c>
      <c r="D19" s="27" t="inlineStr">
        <is>
          <t>位在陪臣</t>
        </is>
      </c>
      <c r="E19" s="32" t="inlineStr">
        <is>
          <t>富於列國之君</t>
        </is>
      </c>
      <c r="F19" s="27" t="inlineStr">
        <is>
          <t>是以齊富彊至於威</t>
        </is>
      </c>
      <c r="G19" s="26" t="inlineStr">
        <is>
          <t>●</t>
        </is>
      </c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15" customHeight="1" s="16">
      <c r="A20" s="26" t="n">
        <v>19</v>
      </c>
      <c r="B20" s="26" t="n">
        <v>4</v>
      </c>
      <c r="C20" s="26" t="n">
        <v>41</v>
      </c>
      <c r="D20" s="27" t="inlineStr">
        <is>
          <t>富於列國之君</t>
        </is>
      </c>
      <c r="E20" s="32" t="inlineStr">
        <is>
          <t>是以齊富彊至於威</t>
        </is>
      </c>
      <c r="F20" s="27" t="inlineStr">
        <is>
          <t>宣也</t>
        </is>
      </c>
      <c r="G20" s="26" t="inlineStr">
        <is>
          <t>●</t>
        </is>
      </c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15" customHeight="1" s="16">
      <c r="A21" s="26" t="n">
        <v>20</v>
      </c>
      <c r="B21" s="26" t="n">
        <v>4</v>
      </c>
      <c r="C21" s="26" t="n">
        <v>42</v>
      </c>
      <c r="D21" s="27" t="inlineStr">
        <is>
          <t>是以齊富彊至於威</t>
        </is>
      </c>
      <c r="E21" s="28" t="inlineStr">
        <is>
          <t>宣也</t>
        </is>
      </c>
      <c r="F21" s="27" t="n"/>
      <c r="G21" s="26" t="n"/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15" customHeight="1" s="16">
      <c r="A22" s="26" t="n">
        <v>21</v>
      </c>
      <c r="B22" s="26" t="n">
        <v>5</v>
      </c>
      <c r="C22" s="26" t="n">
        <v>4</v>
      </c>
      <c r="D22" s="27" t="inlineStr">
        <is>
          <t>衣食足而知榮辱</t>
        </is>
      </c>
      <c r="E22" s="28" t="inlineStr">
        <is>
          <t>禮生於有而廢於無</t>
        </is>
      </c>
      <c r="F22" s="27" t="inlineStr">
        <is>
          <t>故君子富</t>
        </is>
      </c>
      <c r="G22" s="26" t="n"/>
      <c r="H22" s="29" t="n"/>
      <c r="I22" s="30" t="n"/>
      <c r="J22" s="30" t="n"/>
      <c r="K22" s="30" t="n"/>
      <c r="L22" s="30" t="n"/>
      <c r="M22" s="31" t="n"/>
      <c r="N22" s="29" t="n"/>
      <c r="O22" s="31" t="n"/>
    </row>
    <row r="23" ht="15" customHeight="1" s="16">
      <c r="A23" s="26" t="n">
        <v>22</v>
      </c>
      <c r="B23" s="26" t="n">
        <v>5</v>
      </c>
      <c r="C23" s="26" t="n">
        <v>5</v>
      </c>
      <c r="D23" s="27" t="inlineStr">
        <is>
          <t>禮生於有而廢於無</t>
        </is>
      </c>
      <c r="E23" s="32" t="inlineStr">
        <is>
          <t>故君子富</t>
        </is>
      </c>
      <c r="F23" s="27" t="inlineStr">
        <is>
          <t>好行其德</t>
        </is>
      </c>
      <c r="G23" s="26" t="inlineStr">
        <is>
          <t>●</t>
        </is>
      </c>
      <c r="H23" s="29" t="n"/>
      <c r="I23" s="30" t="n"/>
      <c r="J23" s="30" t="n"/>
      <c r="K23" s="30" t="n"/>
      <c r="L23" s="30" t="n"/>
      <c r="M23" s="31" t="n"/>
      <c r="N23" s="29" t="n"/>
      <c r="O23" s="31" t="n"/>
    </row>
    <row r="24" ht="15" customHeight="1" s="16">
      <c r="A24" s="26" t="n">
        <v>23</v>
      </c>
      <c r="B24" s="26" t="n">
        <v>5</v>
      </c>
      <c r="C24" s="26" t="n">
        <v>6</v>
      </c>
      <c r="D24" s="27" t="inlineStr">
        <is>
          <t>故君子富</t>
        </is>
      </c>
      <c r="E24" s="28" t="inlineStr">
        <is>
          <t>好行其德</t>
        </is>
      </c>
      <c r="F24" s="27" t="inlineStr">
        <is>
          <t>小人</t>
        </is>
      </c>
      <c r="G24" s="26" t="n"/>
      <c r="H24" s="29" t="n"/>
      <c r="I24" s="30" t="n"/>
      <c r="J24" s="30" t="n"/>
      <c r="K24" s="30" t="n"/>
      <c r="L24" s="30" t="n"/>
      <c r="M24" s="31" t="n"/>
      <c r="N24" s="29" t="n"/>
      <c r="O24" s="31" t="n"/>
    </row>
    <row r="25" ht="15" customHeight="1" s="16">
      <c r="A25" s="26" t="n">
        <v>24</v>
      </c>
      <c r="B25" s="26" t="n">
        <v>5</v>
      </c>
      <c r="C25" s="26" t="n">
        <v>7</v>
      </c>
      <c r="D25" s="27" t="inlineStr">
        <is>
          <t>好行其德</t>
        </is>
      </c>
      <c r="E25" s="28" t="inlineStr">
        <is>
          <t>小人</t>
        </is>
      </c>
      <c r="F25" s="27" t="inlineStr">
        <is>
          <t>富</t>
        </is>
      </c>
      <c r="G25" s="26" t="n"/>
      <c r="H25" s="29" t="n"/>
      <c r="I25" s="30" t="n"/>
      <c r="J25" s="30" t="n"/>
      <c r="K25" s="30" t="n"/>
      <c r="L25" s="30" t="n"/>
      <c r="M25" s="31" t="n"/>
      <c r="N25" s="29" t="n"/>
      <c r="O25" s="31" t="n"/>
    </row>
    <row r="26" ht="15" customHeight="1" s="16">
      <c r="A26" s="26" t="n">
        <v>25</v>
      </c>
      <c r="B26" s="26" t="n">
        <v>5</v>
      </c>
      <c r="C26" s="26" t="n">
        <v>8</v>
      </c>
      <c r="D26" s="27" t="inlineStr">
        <is>
          <t>小人</t>
        </is>
      </c>
      <c r="E26" s="32" t="inlineStr">
        <is>
          <t>富</t>
        </is>
      </c>
      <c r="F26" s="27" t="inlineStr">
        <is>
          <t>以適其力</t>
        </is>
      </c>
      <c r="G26" s="26" t="inlineStr">
        <is>
          <t>●</t>
        </is>
      </c>
      <c r="H26" s="29" t="n"/>
      <c r="I26" s="30" t="n"/>
      <c r="J26" s="30" t="n"/>
      <c r="K26" s="30" t="n"/>
      <c r="L26" s="30" t="n"/>
      <c r="M26" s="31" t="n"/>
      <c r="N26" s="29" t="n"/>
      <c r="O26" s="31" t="n"/>
    </row>
    <row r="27" ht="15" customHeight="1" s="16">
      <c r="A27" s="26" t="n">
        <v>26</v>
      </c>
      <c r="B27" s="26" t="n">
        <v>5</v>
      </c>
      <c r="C27" s="26" t="n">
        <v>9</v>
      </c>
      <c r="D27" s="27" t="inlineStr">
        <is>
          <t>富</t>
        </is>
      </c>
      <c r="E27" s="28" t="inlineStr">
        <is>
          <t>以適其力</t>
        </is>
      </c>
      <c r="F27" s="27" t="inlineStr">
        <is>
          <t>淵深而魚生之</t>
        </is>
      </c>
      <c r="G27" s="26" t="n"/>
      <c r="H27" s="29" t="n"/>
      <c r="I27" s="30" t="n"/>
      <c r="J27" s="30" t="n"/>
      <c r="K27" s="30" t="n"/>
      <c r="L27" s="30" t="n"/>
      <c r="M27" s="31" t="n"/>
      <c r="N27" s="29" t="n"/>
      <c r="O27" s="31" t="n"/>
    </row>
    <row r="28" ht="15" customHeight="1" s="16">
      <c r="A28" s="26" t="n">
        <v>27</v>
      </c>
      <c r="B28" s="26" t="n">
        <v>5</v>
      </c>
      <c r="C28" s="26" t="n">
        <v>11</v>
      </c>
      <c r="D28" s="27" t="inlineStr">
        <is>
          <t>淵深而魚生之</t>
        </is>
      </c>
      <c r="E28" s="28" t="inlineStr">
        <is>
          <t>山深而獸往之</t>
        </is>
      </c>
      <c r="F28" s="27" t="inlineStr">
        <is>
          <t>人富而仁義附焉</t>
        </is>
      </c>
      <c r="G28" s="26" t="n"/>
      <c r="H28" s="29" t="n"/>
      <c r="I28" s="30" t="n"/>
      <c r="J28" s="30" t="n"/>
      <c r="K28" s="30" t="n"/>
      <c r="L28" s="30" t="n"/>
      <c r="M28" s="31" t="n"/>
      <c r="N28" s="29" t="n"/>
      <c r="O28" s="31" t="n"/>
    </row>
    <row r="29" ht="15" customHeight="1" s="16">
      <c r="A29" s="26" t="n">
        <v>28</v>
      </c>
      <c r="B29" s="26" t="n">
        <v>5</v>
      </c>
      <c r="C29" s="26" t="n">
        <v>12</v>
      </c>
      <c r="D29" s="27" t="inlineStr">
        <is>
          <t>山深而獸往之</t>
        </is>
      </c>
      <c r="E29" s="32" t="inlineStr">
        <is>
          <t>人富而仁義附焉</t>
        </is>
      </c>
      <c r="F29" s="27" t="inlineStr">
        <is>
          <t>富者得埶益彰</t>
        </is>
      </c>
      <c r="G29" s="26" t="inlineStr">
        <is>
          <t>●</t>
        </is>
      </c>
      <c r="H29" s="29" t="n"/>
      <c r="I29" s="30" t="n"/>
      <c r="J29" s="30" t="n"/>
      <c r="K29" s="30" t="n"/>
      <c r="L29" s="30" t="n"/>
      <c r="M29" s="31" t="n"/>
      <c r="N29" s="29" t="n"/>
      <c r="O29" s="31" t="n"/>
    </row>
    <row r="30" ht="15" customHeight="1" s="16">
      <c r="A30" s="26" t="n">
        <v>29</v>
      </c>
      <c r="B30" s="26" t="n">
        <v>5</v>
      </c>
      <c r="C30" s="26" t="n">
        <v>13</v>
      </c>
      <c r="D30" s="27" t="inlineStr">
        <is>
          <t>人富而仁義附焉</t>
        </is>
      </c>
      <c r="E30" s="32" t="inlineStr">
        <is>
          <t>富者得埶益彰</t>
        </is>
      </c>
      <c r="F30" s="27" t="inlineStr">
        <is>
          <t>失埶則客無所</t>
        </is>
      </c>
      <c r="G30" s="26" t="inlineStr">
        <is>
          <t>●</t>
        </is>
      </c>
      <c r="H30" s="29" t="n"/>
      <c r="I30" s="30" t="n"/>
      <c r="J30" s="30" t="n"/>
      <c r="K30" s="30" t="n"/>
      <c r="L30" s="30" t="n"/>
      <c r="M30" s="31" t="n"/>
      <c r="N30" s="29" t="n"/>
      <c r="O30" s="31" t="n"/>
    </row>
    <row r="31" ht="15" customHeight="1" s="16">
      <c r="A31" s="26" t="n">
        <v>30</v>
      </c>
      <c r="B31" s="26" t="n">
        <v>5</v>
      </c>
      <c r="C31" s="26" t="n">
        <v>14</v>
      </c>
      <c r="D31" s="27" t="inlineStr">
        <is>
          <t>富者得埶益彰</t>
        </is>
      </c>
      <c r="E31" s="28" t="inlineStr">
        <is>
          <t>失埶則客無所</t>
        </is>
      </c>
      <c r="F31" s="27" t="inlineStr">
        <is>
          <t>之</t>
        </is>
      </c>
      <c r="G31" s="26" t="n"/>
      <c r="H31" s="29" t="n"/>
      <c r="I31" s="30" t="n"/>
      <c r="J31" s="30" t="n"/>
      <c r="K31" s="30" t="n"/>
      <c r="L31" s="30" t="n"/>
      <c r="M31" s="31" t="n"/>
      <c r="N31" s="29" t="n"/>
      <c r="O31" s="31" t="n"/>
    </row>
    <row r="32" ht="15" customHeight="1" s="16">
      <c r="A32" s="26" t="n">
        <v>31</v>
      </c>
      <c r="B32" s="26" t="n">
        <v>5</v>
      </c>
      <c r="C32" s="26" t="n">
        <v>18</v>
      </c>
      <c r="D32" s="27" t="inlineStr">
        <is>
          <t>夷狄益甚</t>
        </is>
      </c>
      <c r="E32" s="28" t="inlineStr">
        <is>
          <t>諺曰</t>
        </is>
      </c>
      <c r="F32" s="27" t="inlineStr">
        <is>
          <t>千金之子</t>
        </is>
      </c>
      <c r="G32" s="26" t="n"/>
      <c r="H32" s="29" t="n"/>
      <c r="I32" s="30" t="n"/>
      <c r="J32" s="30" t="n"/>
      <c r="K32" s="30" t="n"/>
      <c r="L32" s="30" t="n"/>
      <c r="M32" s="31" t="n"/>
      <c r="N32" s="29" t="n"/>
      <c r="O32" s="31" t="n"/>
    </row>
    <row r="33" ht="15" customHeight="1" s="16">
      <c r="A33" s="26" t="n">
        <v>32</v>
      </c>
      <c r="B33" s="26" t="n">
        <v>5</v>
      </c>
      <c r="C33" s="26" t="n">
        <v>19</v>
      </c>
      <c r="D33" s="27" t="inlineStr">
        <is>
          <t>諺曰</t>
        </is>
      </c>
      <c r="E33" s="32" t="inlineStr">
        <is>
          <t>千金之子</t>
        </is>
      </c>
      <c r="F33" s="27" t="inlineStr">
        <is>
          <t>不死於市</t>
        </is>
      </c>
      <c r="G33" s="26" t="inlineStr">
        <is>
          <t>●</t>
        </is>
      </c>
      <c r="H33" s="29" t="n"/>
      <c r="I33" s="30" t="n"/>
      <c r="J33" s="30" t="n"/>
      <c r="K33" s="30" t="n"/>
      <c r="L33" s="30" t="n"/>
      <c r="M33" s="31" t="n"/>
      <c r="N33" s="29" t="n"/>
      <c r="O33" s="31" t="n"/>
    </row>
    <row r="34" ht="15" customHeight="1" s="16">
      <c r="A34" s="26" t="n">
        <v>33</v>
      </c>
      <c r="B34" s="26" t="n">
        <v>5</v>
      </c>
      <c r="C34" s="26" t="n">
        <v>20</v>
      </c>
      <c r="D34" s="27" t="inlineStr">
        <is>
          <t>千金之子</t>
        </is>
      </c>
      <c r="E34" s="28" t="inlineStr">
        <is>
          <t>不死於市</t>
        </is>
      </c>
      <c r="F34" s="27" t="inlineStr">
        <is>
          <t>此非空言也</t>
        </is>
      </c>
      <c r="G34" s="26" t="n"/>
      <c r="H34" s="29" t="n"/>
      <c r="I34" s="30" t="n"/>
      <c r="J34" s="30" t="n"/>
      <c r="K34" s="30" t="n"/>
      <c r="L34" s="30" t="n"/>
      <c r="M34" s="31" t="n"/>
      <c r="N34" s="29" t="n"/>
      <c r="O34" s="31" t="n"/>
    </row>
    <row r="35" ht="15" customHeight="1" s="16">
      <c r="A35" s="26" t="n">
        <v>34</v>
      </c>
      <c r="B35" s="26" t="n">
        <v>5</v>
      </c>
      <c r="C35" s="26" t="n">
        <v>23</v>
      </c>
      <c r="D35" s="27" t="inlineStr">
        <is>
          <t>故曰</t>
        </is>
      </c>
      <c r="E35" s="28" t="inlineStr">
        <is>
          <t>天下熙熙</t>
        </is>
      </c>
      <c r="F35" s="27" t="inlineStr">
        <is>
          <t>皆為利來</t>
        </is>
      </c>
      <c r="G35" s="26" t="n"/>
      <c r="H35" s="29" t="n"/>
      <c r="I35" s="30" t="n"/>
      <c r="J35" s="30" t="n"/>
      <c r="K35" s="30" t="n"/>
      <c r="L35" s="30" t="n"/>
      <c r="M35" s="31" t="n"/>
      <c r="N35" s="29" t="n"/>
      <c r="O35" s="31" t="n"/>
    </row>
    <row r="36" ht="15" customHeight="1" s="16">
      <c r="A36" s="26" t="n">
        <v>35</v>
      </c>
      <c r="B36" s="26" t="n">
        <v>5</v>
      </c>
      <c r="C36" s="26" t="n">
        <v>24</v>
      </c>
      <c r="D36" s="27" t="inlineStr">
        <is>
          <t>天下熙熙</t>
        </is>
      </c>
      <c r="E36" s="32" t="inlineStr">
        <is>
          <t>皆為利來</t>
        </is>
      </c>
      <c r="F36" s="27" t="inlineStr">
        <is>
          <t>天下壤壤</t>
        </is>
      </c>
      <c r="G36" s="26" t="inlineStr">
        <is>
          <t>●</t>
        </is>
      </c>
      <c r="H36" s="29" t="n"/>
      <c r="I36" s="30" t="n"/>
      <c r="J36" s="30" t="n"/>
      <c r="K36" s="30" t="n"/>
      <c r="L36" s="30" t="n"/>
      <c r="M36" s="31" t="n"/>
      <c r="N36" s="29" t="n"/>
      <c r="O36" s="31" t="n"/>
    </row>
    <row r="37" ht="15" customHeight="1" s="16">
      <c r="A37" s="26" t="n">
        <v>36</v>
      </c>
      <c r="B37" s="26" t="n">
        <v>5</v>
      </c>
      <c r="C37" s="26" t="n">
        <v>25</v>
      </c>
      <c r="D37" s="27" t="inlineStr">
        <is>
          <t>皆為利來</t>
        </is>
      </c>
      <c r="E37" s="28" t="inlineStr">
        <is>
          <t>天下壤壤</t>
        </is>
      </c>
      <c r="F37" s="27" t="inlineStr">
        <is>
          <t>皆為利往</t>
        </is>
      </c>
      <c r="G37" s="26" t="n"/>
      <c r="H37" s="29" t="n"/>
      <c r="I37" s="30" t="n"/>
      <c r="J37" s="30" t="n"/>
      <c r="K37" s="30" t="n"/>
      <c r="L37" s="30" t="n"/>
      <c r="M37" s="31" t="n"/>
      <c r="N37" s="29" t="n"/>
      <c r="O37" s="31" t="n"/>
    </row>
    <row r="38" ht="15" customHeight="1" s="16">
      <c r="A38" s="26" t="n">
        <v>37</v>
      </c>
      <c r="B38" s="26" t="n">
        <v>5</v>
      </c>
      <c r="C38" s="26" t="n">
        <v>26</v>
      </c>
      <c r="D38" s="27" t="inlineStr">
        <is>
          <t>天下壤壤</t>
        </is>
      </c>
      <c r="E38" s="32" t="inlineStr">
        <is>
          <t>皆為利往</t>
        </is>
      </c>
      <c r="F38" s="27" t="inlineStr">
        <is>
          <t>夫千乘之王</t>
        </is>
      </c>
      <c r="G38" s="26" t="inlineStr">
        <is>
          <t>●</t>
        </is>
      </c>
      <c r="H38" s="29" t="n"/>
      <c r="I38" s="30" t="n"/>
      <c r="J38" s="30" t="n"/>
      <c r="K38" s="30" t="n"/>
      <c r="L38" s="30" t="n"/>
      <c r="M38" s="31" t="n"/>
      <c r="N38" s="29" t="n"/>
      <c r="O38" s="31" t="n"/>
    </row>
    <row r="39" ht="15" customHeight="1" s="16">
      <c r="A39" s="26" t="n">
        <v>38</v>
      </c>
      <c r="B39" s="26" t="n">
        <v>5</v>
      </c>
      <c r="C39" s="26" t="n">
        <v>27</v>
      </c>
      <c r="D39" s="27" t="inlineStr">
        <is>
          <t>皆為利往</t>
        </is>
      </c>
      <c r="E39" s="28" t="inlineStr">
        <is>
          <t>夫千乘之王</t>
        </is>
      </c>
      <c r="F39" s="27" t="inlineStr">
        <is>
          <t>萬家之侯</t>
        </is>
      </c>
      <c r="G39" s="26" t="n"/>
      <c r="H39" s="29" t="n"/>
      <c r="I39" s="30" t="n"/>
      <c r="J39" s="30" t="n"/>
      <c r="K39" s="30" t="n"/>
      <c r="L39" s="30" t="n"/>
      <c r="M39" s="31" t="n"/>
      <c r="N39" s="29" t="n"/>
      <c r="O39" s="31" t="n"/>
    </row>
    <row r="40" ht="15" customHeight="1" s="16">
      <c r="A40" s="26" t="n">
        <v>39</v>
      </c>
      <c r="B40" s="26" t="n">
        <v>5</v>
      </c>
      <c r="C40" s="26" t="n">
        <v>29</v>
      </c>
      <c r="D40" s="27" t="inlineStr">
        <is>
          <t>萬家之侯</t>
        </is>
      </c>
      <c r="E40" s="28" t="inlineStr">
        <is>
          <t>百室之君</t>
        </is>
      </c>
      <c r="F40" s="27" t="inlineStr">
        <is>
          <t>尚猶患貧</t>
        </is>
      </c>
      <c r="G40" s="26" t="n"/>
      <c r="H40" s="29" t="n"/>
      <c r="I40" s="30" t="n"/>
      <c r="J40" s="30" t="n"/>
      <c r="K40" s="30" t="n"/>
      <c r="L40" s="30" t="n"/>
      <c r="M40" s="31" t="n"/>
      <c r="N40" s="29" t="n"/>
      <c r="O40" s="31" t="n"/>
    </row>
    <row r="41" ht="15" customHeight="1" s="16">
      <c r="A41" s="26" t="n">
        <v>40</v>
      </c>
      <c r="B41" s="26" t="n">
        <v>5</v>
      </c>
      <c r="C41" s="26" t="n">
        <v>30</v>
      </c>
      <c r="D41" s="27" t="inlineStr">
        <is>
          <t>百室之君</t>
        </is>
      </c>
      <c r="E41" s="32" t="inlineStr">
        <is>
          <t>尚猶患貧</t>
        </is>
      </c>
      <c r="F41" s="27" t="inlineStr">
        <is>
          <t>而況匹夫編</t>
        </is>
      </c>
      <c r="G41" s="26" t="inlineStr">
        <is>
          <t>●</t>
        </is>
      </c>
      <c r="H41" s="29" t="n"/>
      <c r="I41" s="30" t="n"/>
      <c r="J41" s="30" t="n"/>
      <c r="K41" s="30" t="n"/>
      <c r="L41" s="30" t="n"/>
      <c r="M41" s="31" t="n"/>
      <c r="N41" s="29" t="n"/>
      <c r="O41" s="31" t="n"/>
    </row>
    <row r="42" ht="15" customHeight="1" s="16">
      <c r="A42" s="26" t="n">
        <v>41</v>
      </c>
      <c r="B42" s="26" t="n">
        <v>5</v>
      </c>
      <c r="C42" s="26" t="n">
        <v>31</v>
      </c>
      <c r="D42" s="27" t="inlineStr">
        <is>
          <t>尚猶患貧</t>
        </is>
      </c>
      <c r="E42" s="28" t="inlineStr">
        <is>
          <t>而況匹夫編</t>
        </is>
      </c>
      <c r="F42" s="27" t="inlineStr">
        <is>
          <t>戶之民乎</t>
        </is>
      </c>
      <c r="G42" s="26" t="n"/>
      <c r="H42" s="29" t="n"/>
      <c r="I42" s="30" t="n"/>
      <c r="J42" s="30" t="n"/>
      <c r="K42" s="30" t="n"/>
      <c r="L42" s="30" t="n"/>
      <c r="M42" s="31" t="n"/>
      <c r="N42" s="29" t="n"/>
      <c r="O42" s="31" t="n"/>
    </row>
    <row r="43" ht="15" customHeight="1" s="16">
      <c r="A43" s="26" t="n">
        <v>42</v>
      </c>
      <c r="B43" s="26" t="n">
        <v>6</v>
      </c>
      <c r="C43" s="26" t="n">
        <v>7</v>
      </c>
      <c r="D43" s="27" t="inlineStr">
        <is>
          <t>時用則知物</t>
        </is>
      </c>
      <c r="E43" s="28" t="inlineStr">
        <is>
          <t>二者形則</t>
        </is>
      </c>
      <c r="F43" s="27" t="inlineStr">
        <is>
          <t>萬貨之情可得而觀已</t>
        </is>
      </c>
      <c r="G43" s="26" t="n"/>
      <c r="H43" s="29" t="n"/>
      <c r="I43" s="30" t="n"/>
      <c r="J43" s="30" t="n"/>
      <c r="K43" s="30" t="n"/>
      <c r="L43" s="30" t="n"/>
      <c r="M43" s="31" t="n"/>
      <c r="N43" s="29" t="n"/>
      <c r="O43" s="31" t="n"/>
    </row>
    <row r="44" ht="15" customHeight="1" s="16">
      <c r="A44" s="26" t="n">
        <v>43</v>
      </c>
      <c r="B44" s="26" t="n">
        <v>6</v>
      </c>
      <c r="C44" s="26" t="n">
        <v>8</v>
      </c>
      <c r="D44" s="27" t="inlineStr">
        <is>
          <t>二者形則</t>
        </is>
      </c>
      <c r="E44" s="32" t="inlineStr">
        <is>
          <t>萬貨之情可得而觀已</t>
        </is>
      </c>
      <c r="F44" s="27" t="inlineStr">
        <is>
          <t>故歲在金</t>
        </is>
      </c>
      <c r="G44" s="26" t="inlineStr">
        <is>
          <t>●</t>
        </is>
      </c>
      <c r="H44" s="29" t="n"/>
      <c r="I44" s="30" t="n"/>
      <c r="J44" s="30" t="n"/>
      <c r="K44" s="30" t="n"/>
      <c r="L44" s="30" t="n"/>
      <c r="M44" s="31" t="n"/>
      <c r="N44" s="29" t="n"/>
      <c r="O44" s="31" t="n"/>
    </row>
    <row r="45" ht="15" customHeight="1" s="16">
      <c r="A45" s="26" t="n">
        <v>44</v>
      </c>
      <c r="B45" s="26" t="n">
        <v>6</v>
      </c>
      <c r="C45" s="26" t="n">
        <v>9</v>
      </c>
      <c r="D45" s="27" t="inlineStr">
        <is>
          <t>萬貨之情可得而觀已</t>
        </is>
      </c>
      <c r="E45" s="28" t="inlineStr">
        <is>
          <t>故歲在金</t>
        </is>
      </c>
      <c r="F45" s="27" t="inlineStr">
        <is>
          <t>穰</t>
        </is>
      </c>
      <c r="G45" s="26" t="n"/>
      <c r="H45" s="29" t="n"/>
      <c r="I45" s="30" t="n"/>
      <c r="J45" s="30" t="n"/>
      <c r="K45" s="30" t="n"/>
      <c r="L45" s="30" t="n"/>
      <c r="M45" s="31" t="n"/>
      <c r="N45" s="29" t="n"/>
      <c r="O45" s="31" t="n"/>
    </row>
    <row r="46" ht="15" customHeight="1" s="16">
      <c r="A46" s="26" t="n">
        <v>45</v>
      </c>
      <c r="B46" s="26" t="n">
        <v>6</v>
      </c>
      <c r="C46" s="26" t="n">
        <v>16</v>
      </c>
      <c r="D46" s="27" t="inlineStr">
        <is>
          <t>火</t>
        </is>
      </c>
      <c r="E46" s="28" t="inlineStr">
        <is>
          <t>旱</t>
        </is>
      </c>
      <c r="F46" s="27" t="inlineStr">
        <is>
          <t>旱則資舟</t>
        </is>
      </c>
      <c r="G46" s="26" t="n"/>
      <c r="H46" s="29" t="n"/>
      <c r="I46" s="30" t="n"/>
      <c r="J46" s="30" t="n"/>
      <c r="K46" s="30" t="n"/>
      <c r="L46" s="30" t="n"/>
      <c r="M46" s="31" t="n"/>
      <c r="N46" s="29" t="n"/>
      <c r="O46" s="31" t="n"/>
    </row>
    <row r="47" ht="15" customHeight="1" s="16">
      <c r="A47" s="26" t="n">
        <v>46</v>
      </c>
      <c r="B47" s="26" t="n">
        <v>6</v>
      </c>
      <c r="C47" s="26" t="n">
        <v>17</v>
      </c>
      <c r="D47" s="27" t="inlineStr">
        <is>
          <t>旱</t>
        </is>
      </c>
      <c r="E47" s="32" t="inlineStr">
        <is>
          <t>旱則資舟</t>
        </is>
      </c>
      <c r="F47" s="27" t="inlineStr">
        <is>
          <t>水則資車</t>
        </is>
      </c>
      <c r="G47" s="26" t="inlineStr">
        <is>
          <t>●</t>
        </is>
      </c>
      <c r="H47" s="29" t="n"/>
      <c r="I47" s="30" t="n"/>
      <c r="J47" s="30" t="n"/>
      <c r="K47" s="30" t="n"/>
      <c r="L47" s="30" t="n"/>
      <c r="M47" s="31" t="n"/>
      <c r="N47" s="29" t="n"/>
      <c r="O47" s="31" t="n"/>
    </row>
    <row r="48" ht="15" customHeight="1" s="16">
      <c r="A48" s="26" t="n">
        <v>47</v>
      </c>
      <c r="B48" s="26" t="n">
        <v>6</v>
      </c>
      <c r="C48" s="26" t="n">
        <v>18</v>
      </c>
      <c r="D48" s="27" t="inlineStr">
        <is>
          <t>旱則資舟</t>
        </is>
      </c>
      <c r="E48" s="32" t="inlineStr">
        <is>
          <t>水則資車</t>
        </is>
      </c>
      <c r="F48" s="27" t="inlineStr">
        <is>
          <t>物之理</t>
        </is>
      </c>
      <c r="G48" s="26" t="inlineStr">
        <is>
          <t>●</t>
        </is>
      </c>
      <c r="H48" s="29" t="n"/>
      <c r="I48" s="30" t="n"/>
      <c r="J48" s="30" t="n"/>
      <c r="K48" s="30" t="n"/>
      <c r="L48" s="30" t="n"/>
      <c r="M48" s="31" t="n"/>
      <c r="N48" s="29" t="n"/>
      <c r="O48" s="31" t="n"/>
    </row>
    <row r="49" ht="15" customHeight="1" s="16">
      <c r="A49" s="26" t="n">
        <v>48</v>
      </c>
      <c r="B49" s="26" t="n">
        <v>6</v>
      </c>
      <c r="C49" s="26" t="n">
        <v>19</v>
      </c>
      <c r="D49" s="27" t="inlineStr">
        <is>
          <t>水則資車</t>
        </is>
      </c>
      <c r="E49" s="28" t="inlineStr">
        <is>
          <t>物之理</t>
        </is>
      </c>
      <c r="F49" s="27" t="inlineStr">
        <is>
          <t>也</t>
        </is>
      </c>
      <c r="G49" s="26" t="n"/>
      <c r="H49" s="29" t="n"/>
      <c r="I49" s="30" t="n"/>
      <c r="J49" s="30" t="n"/>
      <c r="K49" s="30" t="n"/>
      <c r="L49" s="30" t="n"/>
      <c r="M49" s="31" t="n"/>
      <c r="N49" s="29" t="n"/>
      <c r="O49" s="31" t="n"/>
    </row>
    <row r="50" ht="15" customHeight="1" s="16">
      <c r="A50" s="26" t="n">
        <v>49</v>
      </c>
      <c r="B50" s="26" t="n">
        <v>6</v>
      </c>
      <c r="C50" s="26" t="n">
        <v>26</v>
      </c>
      <c r="D50" s="27" t="inlineStr">
        <is>
          <t>二十病農</t>
        </is>
      </c>
      <c r="E50" s="28" t="inlineStr">
        <is>
          <t>九十病末</t>
        </is>
      </c>
      <c r="F50" s="27" t="inlineStr">
        <is>
          <t>末病則財不出</t>
        </is>
      </c>
      <c r="G50" s="26" t="n"/>
      <c r="H50" s="29" t="n"/>
      <c r="I50" s="30" t="n"/>
      <c r="J50" s="30" t="n"/>
      <c r="K50" s="30" t="n"/>
      <c r="L50" s="30" t="n"/>
      <c r="M50" s="31" t="n"/>
      <c r="N50" s="29" t="n"/>
      <c r="O50" s="31" t="n"/>
    </row>
    <row r="51" ht="15" customHeight="1" s="16">
      <c r="A51" s="26" t="n">
        <v>50</v>
      </c>
      <c r="B51" s="26" t="n">
        <v>6</v>
      </c>
      <c r="C51" s="26" t="n">
        <v>27</v>
      </c>
      <c r="D51" s="27" t="inlineStr">
        <is>
          <t>九十病末</t>
        </is>
      </c>
      <c r="E51" s="32" t="inlineStr">
        <is>
          <t>末病則財不出</t>
        </is>
      </c>
      <c r="F51" s="27" t="inlineStr">
        <is>
          <t>農病則草不</t>
        </is>
      </c>
      <c r="G51" s="26" t="inlineStr">
        <is>
          <t>●</t>
        </is>
      </c>
      <c r="H51" s="29" t="n"/>
      <c r="I51" s="30" t="n"/>
      <c r="J51" s="30" t="n"/>
      <c r="K51" s="30" t="n"/>
      <c r="L51" s="30" t="n"/>
      <c r="M51" s="31" t="n"/>
      <c r="N51" s="29" t="n"/>
      <c r="O51" s="31" t="n"/>
    </row>
    <row r="52" ht="15" customHeight="1" s="16">
      <c r="A52" s="26" t="n">
        <v>51</v>
      </c>
      <c r="B52" s="26" t="n">
        <v>6</v>
      </c>
      <c r="C52" s="26" t="n">
        <v>28</v>
      </c>
      <c r="D52" s="27" t="inlineStr">
        <is>
          <t>末病則財不出</t>
        </is>
      </c>
      <c r="E52" s="28" t="inlineStr">
        <is>
          <t>農病則草不</t>
        </is>
      </c>
      <c r="F52" s="27" t="inlineStr">
        <is>
          <t>辟矣</t>
        </is>
      </c>
      <c r="G52" s="26" t="n"/>
      <c r="H52" s="29" t="n"/>
      <c r="I52" s="30" t="n"/>
      <c r="J52" s="30" t="n"/>
      <c r="K52" s="30" t="n"/>
      <c r="L52" s="30" t="n"/>
      <c r="M52" s="31" t="n"/>
      <c r="N52" s="29" t="n"/>
      <c r="O52" s="31" t="n"/>
    </row>
    <row r="53" ht="15" customHeight="1" s="16">
      <c r="A53" s="26" t="n">
        <v>52</v>
      </c>
      <c r="B53" s="26" t="n">
        <v>6</v>
      </c>
      <c r="C53" s="26" t="n">
        <v>31</v>
      </c>
      <c r="D53" s="27" t="inlineStr">
        <is>
          <t>上不過八十</t>
        </is>
      </c>
      <c r="E53" s="28" t="inlineStr">
        <is>
          <t>下不減三十</t>
        </is>
      </c>
      <c r="F53" s="27" t="inlineStr">
        <is>
          <t>則農末俱利</t>
        </is>
      </c>
      <c r="G53" s="26" t="n"/>
      <c r="H53" s="29" t="n"/>
      <c r="I53" s="30" t="n"/>
      <c r="J53" s="30" t="n"/>
      <c r="K53" s="30" t="n"/>
      <c r="L53" s="30" t="n"/>
      <c r="M53" s="31" t="n"/>
      <c r="N53" s="29" t="n"/>
      <c r="O53" s="31" t="n"/>
    </row>
    <row r="54" ht="15" customHeight="1" s="16">
      <c r="A54" s="26" t="n">
        <v>53</v>
      </c>
      <c r="B54" s="26" t="n">
        <v>6</v>
      </c>
      <c r="C54" s="26" t="n">
        <v>32</v>
      </c>
      <c r="D54" s="27" t="inlineStr">
        <is>
          <t>下不減三十</t>
        </is>
      </c>
      <c r="E54" s="32" t="inlineStr">
        <is>
          <t>則農末俱利</t>
        </is>
      </c>
      <c r="F54" s="27" t="inlineStr">
        <is>
          <t>平糶齊物</t>
        </is>
      </c>
      <c r="G54" s="26" t="inlineStr">
        <is>
          <t>●</t>
        </is>
      </c>
      <c r="H54" s="29" t="n"/>
      <c r="I54" s="30" t="n"/>
      <c r="J54" s="30" t="n"/>
      <c r="K54" s="30" t="n"/>
      <c r="L54" s="30" t="n"/>
      <c r="M54" s="31" t="n"/>
      <c r="N54" s="29" t="n"/>
      <c r="O54" s="31" t="n"/>
    </row>
    <row r="55" ht="15" customHeight="1" s="16">
      <c r="A55" s="26" t="n">
        <v>54</v>
      </c>
      <c r="B55" s="26" t="n">
        <v>6</v>
      </c>
      <c r="C55" s="26" t="n">
        <v>33</v>
      </c>
      <c r="D55" s="27" t="inlineStr">
        <is>
          <t>則農末俱利</t>
        </is>
      </c>
      <c r="E55" s="28" t="inlineStr">
        <is>
          <t>平糶齊物</t>
        </is>
      </c>
      <c r="F55" s="27" t="inlineStr">
        <is>
          <t>關市不乏</t>
        </is>
      </c>
      <c r="G55" s="26" t="n"/>
      <c r="H55" s="29" t="n"/>
      <c r="I55" s="30" t="n"/>
      <c r="J55" s="30" t="n"/>
      <c r="K55" s="30" t="n"/>
      <c r="L55" s="30" t="n"/>
      <c r="M55" s="31" t="n"/>
      <c r="N55" s="29" t="n"/>
      <c r="O55" s="31" t="n"/>
    </row>
    <row r="56" ht="15" customHeight="1" s="16">
      <c r="A56" s="26" t="n">
        <v>55</v>
      </c>
      <c r="B56" s="26" t="n">
        <v>6</v>
      </c>
      <c r="C56" s="26" t="n">
        <v>37</v>
      </c>
      <c r="D56" s="27" t="inlineStr">
        <is>
          <t>積著之理</t>
        </is>
      </c>
      <c r="E56" s="28" t="inlineStr">
        <is>
          <t>務完物</t>
        </is>
      </c>
      <c r="F56" s="27" t="inlineStr">
        <is>
          <t>無息幣</t>
        </is>
      </c>
      <c r="G56" s="26" t="n"/>
      <c r="H56" s="29" t="n"/>
      <c r="I56" s="30" t="n"/>
      <c r="J56" s="30" t="n"/>
      <c r="K56" s="30" t="n"/>
      <c r="L56" s="30" t="n"/>
      <c r="M56" s="31" t="n"/>
      <c r="N56" s="29" t="n"/>
      <c r="O56" s="31" t="n"/>
    </row>
    <row r="57" ht="15" customHeight="1" s="16">
      <c r="A57" s="26" t="n">
        <v>56</v>
      </c>
      <c r="B57" s="26" t="n">
        <v>6</v>
      </c>
      <c r="C57" s="26" t="n">
        <v>38</v>
      </c>
      <c r="D57" s="27" t="inlineStr">
        <is>
          <t>務完物</t>
        </is>
      </c>
      <c r="E57" s="32" t="inlineStr">
        <is>
          <t>無息幣</t>
        </is>
      </c>
      <c r="F57" s="27" t="inlineStr">
        <is>
          <t>以物相貿易</t>
        </is>
      </c>
      <c r="G57" s="26" t="inlineStr">
        <is>
          <t>●</t>
        </is>
      </c>
      <c r="H57" s="29" t="n"/>
      <c r="I57" s="30" t="n"/>
      <c r="J57" s="30" t="n"/>
      <c r="K57" s="30" t="n"/>
      <c r="L57" s="30" t="n"/>
      <c r="M57" s="31" t="n"/>
      <c r="N57" s="29" t="n"/>
      <c r="O57" s="31" t="n"/>
    </row>
    <row r="58" ht="15" customHeight="1" s="16">
      <c r="A58" s="26" t="n">
        <v>57</v>
      </c>
      <c r="B58" s="26" t="n">
        <v>6</v>
      </c>
      <c r="C58" s="26" t="n">
        <v>39</v>
      </c>
      <c r="D58" s="27" t="inlineStr">
        <is>
          <t>無息幣</t>
        </is>
      </c>
      <c r="E58" s="32" t="inlineStr">
        <is>
          <t>以物相貿易</t>
        </is>
      </c>
      <c r="F58" s="27" t="inlineStr">
        <is>
          <t>腐敗而食之貨勿留</t>
        </is>
      </c>
      <c r="G58" s="26" t="inlineStr">
        <is>
          <t>●</t>
        </is>
      </c>
      <c r="H58" s="29" t="n"/>
      <c r="I58" s="30" t="n"/>
      <c r="J58" s="30" t="n"/>
      <c r="K58" s="30" t="n"/>
      <c r="L58" s="30" t="n"/>
      <c r="M58" s="31" t="n"/>
      <c r="N58" s="29" t="n"/>
      <c r="O58" s="31" t="n"/>
    </row>
    <row r="59" ht="15" customHeight="1" s="16">
      <c r="A59" s="26" t="n">
        <v>58</v>
      </c>
      <c r="B59" s="26" t="n">
        <v>6</v>
      </c>
      <c r="C59" s="26" t="n">
        <v>40</v>
      </c>
      <c r="D59" s="27" t="inlineStr">
        <is>
          <t>以物相貿易</t>
        </is>
      </c>
      <c r="E59" s="32" t="inlineStr">
        <is>
          <t>腐敗而食之貨勿留</t>
        </is>
      </c>
      <c r="F59" s="27" t="inlineStr">
        <is>
          <t>無敢居貴</t>
        </is>
      </c>
      <c r="G59" s="26" t="inlineStr">
        <is>
          <t>●</t>
        </is>
      </c>
      <c r="H59" s="29" t="n"/>
      <c r="I59" s="30" t="n"/>
      <c r="J59" s="30" t="n"/>
      <c r="K59" s="30" t="n"/>
      <c r="L59" s="30" t="n"/>
      <c r="M59" s="31" t="n"/>
      <c r="N59" s="29" t="n"/>
      <c r="O59" s="31" t="n"/>
    </row>
    <row r="60" ht="15" customHeight="1" s="16">
      <c r="A60" s="26" t="n">
        <v>59</v>
      </c>
      <c r="B60" s="26" t="n">
        <v>6</v>
      </c>
      <c r="C60" s="26" t="n">
        <v>41</v>
      </c>
      <c r="D60" s="27" t="inlineStr">
        <is>
          <t>腐敗而食之貨勿留</t>
        </is>
      </c>
      <c r="E60" s="28" t="inlineStr">
        <is>
          <t>無敢居貴</t>
        </is>
      </c>
      <c r="F60" s="27" t="inlineStr">
        <is>
          <t>論其有餘不足</t>
        </is>
      </c>
      <c r="G60" s="26" t="n"/>
      <c r="H60" s="29" t="n"/>
      <c r="I60" s="30" t="n"/>
      <c r="J60" s="30" t="n"/>
      <c r="K60" s="30" t="n"/>
      <c r="L60" s="30" t="n"/>
      <c r="M60" s="31" t="n"/>
      <c r="N60" s="29" t="n"/>
      <c r="O60" s="31" t="n"/>
    </row>
    <row r="61" ht="15" customHeight="1" s="16">
      <c r="A61" s="26" t="n">
        <v>60</v>
      </c>
      <c r="B61" s="26" t="n">
        <v>6</v>
      </c>
      <c r="C61" s="26" t="n">
        <v>48</v>
      </c>
      <c r="D61" s="27" t="inlineStr">
        <is>
          <t>貴出如糞土</t>
        </is>
      </c>
      <c r="E61" s="28" t="inlineStr">
        <is>
          <t>賤取如珠玉</t>
        </is>
      </c>
      <c r="F61" s="27" t="inlineStr">
        <is>
          <t>財幣欲其行如流水</t>
        </is>
      </c>
      <c r="G61" s="26" t="n"/>
      <c r="H61" s="29" t="n"/>
      <c r="I61" s="30" t="n"/>
      <c r="J61" s="30" t="n"/>
      <c r="K61" s="30" t="n"/>
      <c r="L61" s="30" t="n"/>
      <c r="M61" s="31" t="n"/>
      <c r="N61" s="29" t="n"/>
      <c r="O61" s="31" t="n"/>
    </row>
    <row r="62" ht="15" customHeight="1" s="16">
      <c r="A62" s="26" t="n">
        <v>61</v>
      </c>
      <c r="B62" s="26" t="n">
        <v>6</v>
      </c>
      <c r="C62" s="26" t="n">
        <v>49</v>
      </c>
      <c r="D62" s="27" t="inlineStr">
        <is>
          <t>賤取如珠玉</t>
        </is>
      </c>
      <c r="E62" s="32" t="inlineStr">
        <is>
          <t>財幣欲其行如流水</t>
        </is>
      </c>
      <c r="F62" s="27" t="inlineStr">
        <is>
          <t>修之十年</t>
        </is>
      </c>
      <c r="G62" s="26" t="inlineStr">
        <is>
          <t>●</t>
        </is>
      </c>
      <c r="H62" s="29" t="n"/>
      <c r="I62" s="30" t="n"/>
      <c r="J62" s="30" t="n"/>
      <c r="K62" s="30" t="n"/>
      <c r="L62" s="30" t="n"/>
      <c r="M62" s="31" t="n"/>
      <c r="N62" s="29" t="n"/>
      <c r="O62" s="31" t="n"/>
    </row>
    <row r="63" ht="15" customHeight="1" s="16">
      <c r="A63" s="26" t="n">
        <v>62</v>
      </c>
      <c r="B63" s="26" t="n">
        <v>6</v>
      </c>
      <c r="C63" s="26" t="n">
        <v>50</v>
      </c>
      <c r="D63" s="27" t="inlineStr">
        <is>
          <t>財幣欲其行如流水</t>
        </is>
      </c>
      <c r="E63" s="28" t="inlineStr">
        <is>
          <t>修之十年</t>
        </is>
      </c>
      <c r="F63" s="27" t="inlineStr">
        <is>
          <t>國富</t>
        </is>
      </c>
      <c r="G63" s="26" t="n"/>
      <c r="H63" s="29" t="n"/>
      <c r="I63" s="30" t="n"/>
      <c r="J63" s="30" t="n"/>
      <c r="K63" s="30" t="n"/>
      <c r="L63" s="30" t="n"/>
      <c r="M63" s="31" t="n"/>
      <c r="N63" s="29" t="n"/>
      <c r="O63" s="31" t="n"/>
    </row>
    <row r="64" ht="15" customHeight="1" s="16">
      <c r="A64" s="26" t="n">
        <v>63</v>
      </c>
      <c r="B64" s="26" t="n">
        <v>6</v>
      </c>
      <c r="C64" s="26" t="n">
        <v>51</v>
      </c>
      <c r="D64" s="27" t="inlineStr">
        <is>
          <t>修之十年</t>
        </is>
      </c>
      <c r="E64" s="32" t="inlineStr">
        <is>
          <t>國富</t>
        </is>
      </c>
      <c r="F64" s="27" t="inlineStr">
        <is>
          <t>厚賂戰士</t>
        </is>
      </c>
      <c r="G64" s="26" t="inlineStr">
        <is>
          <t>●</t>
        </is>
      </c>
      <c r="H64" s="29" t="n"/>
      <c r="I64" s="30" t="n"/>
      <c r="J64" s="30" t="n"/>
      <c r="K64" s="30" t="n"/>
      <c r="L64" s="30" t="n"/>
      <c r="M64" s="31" t="n"/>
      <c r="N64" s="29" t="n"/>
      <c r="O64" s="31" t="n"/>
    </row>
    <row r="65" ht="15" customHeight="1" s="16">
      <c r="A65" s="26" t="n">
        <v>64</v>
      </c>
      <c r="B65" s="26" t="n">
        <v>6</v>
      </c>
      <c r="C65" s="26" t="n">
        <v>52</v>
      </c>
      <c r="D65" s="27" t="inlineStr">
        <is>
          <t>國富</t>
        </is>
      </c>
      <c r="E65" s="28" t="inlineStr">
        <is>
          <t>厚賂戰士</t>
        </is>
      </c>
      <c r="F65" s="27" t="inlineStr">
        <is>
          <t>士赴矢石</t>
        </is>
      </c>
      <c r="G65" s="26" t="n"/>
      <c r="H65" s="29" t="n"/>
      <c r="I65" s="30" t="n"/>
      <c r="J65" s="30" t="n"/>
      <c r="K65" s="30" t="n"/>
      <c r="L65" s="30" t="n"/>
      <c r="M65" s="31" t="n"/>
      <c r="N65" s="29" t="n"/>
      <c r="O65" s="31" t="n"/>
    </row>
    <row r="66" ht="15" customHeight="1" s="16">
      <c r="A66" s="26" t="n">
        <v>65</v>
      </c>
      <c r="B66" s="26" t="n">
        <v>7</v>
      </c>
      <c r="C66" s="26" t="n">
        <v>14</v>
      </c>
      <c r="D66" s="27" t="inlineStr">
        <is>
          <t>諸</t>
        </is>
      </c>
      <c r="E66" s="28" t="inlineStr">
        <is>
          <t>侯四通</t>
        </is>
      </c>
      <c r="F66" s="27" t="inlineStr">
        <is>
          <t>貨物所交易也</t>
        </is>
      </c>
      <c r="G66" s="26" t="n"/>
      <c r="H66" s="29" t="n"/>
      <c r="I66" s="30" t="n"/>
      <c r="J66" s="30" t="n"/>
      <c r="K66" s="30" t="n"/>
      <c r="L66" s="30" t="n"/>
      <c r="M66" s="31" t="n"/>
      <c r="N66" s="29" t="n"/>
      <c r="O66" s="31" t="n"/>
    </row>
    <row r="67" ht="15" customHeight="1" s="16">
      <c r="A67" s="26" t="n">
        <v>66</v>
      </c>
      <c r="B67" s="26" t="n">
        <v>7</v>
      </c>
      <c r="C67" s="26" t="n">
        <v>15</v>
      </c>
      <c r="D67" s="27" t="inlineStr">
        <is>
          <t>侯四通</t>
        </is>
      </c>
      <c r="E67" s="32" t="inlineStr">
        <is>
          <t>貨物所交易也</t>
        </is>
      </c>
      <c r="F67" s="27" t="inlineStr">
        <is>
          <t>乃治產積居</t>
        </is>
      </c>
      <c r="G67" s="26" t="inlineStr">
        <is>
          <t>●</t>
        </is>
      </c>
      <c r="H67" s="29" t="n"/>
      <c r="I67" s="30" t="n"/>
      <c r="J67" s="30" t="n"/>
      <c r="K67" s="30" t="n"/>
      <c r="L67" s="30" t="n"/>
      <c r="M67" s="31" t="n"/>
      <c r="N67" s="29" t="n"/>
      <c r="O67" s="31" t="n"/>
    </row>
    <row r="68" ht="15" customHeight="1" s="16">
      <c r="A68" s="26" t="n">
        <v>67</v>
      </c>
      <c r="B68" s="26" t="n">
        <v>7</v>
      </c>
      <c r="C68" s="26" t="n">
        <v>16</v>
      </c>
      <c r="D68" s="27" t="inlineStr">
        <is>
          <t>貨物所交易也</t>
        </is>
      </c>
      <c r="E68" s="32" t="inlineStr">
        <is>
          <t>乃治產積居</t>
        </is>
      </c>
      <c r="F68" s="27" t="inlineStr">
        <is>
          <t>與時逐而不責於人</t>
        </is>
      </c>
      <c r="G68" s="26" t="inlineStr">
        <is>
          <t>●</t>
        </is>
      </c>
      <c r="H68" s="29" t="n"/>
      <c r="I68" s="30" t="n"/>
      <c r="J68" s="30" t="n"/>
      <c r="K68" s="30" t="n"/>
      <c r="L68" s="30" t="n"/>
      <c r="M68" s="31" t="n"/>
      <c r="N68" s="29" t="n"/>
      <c r="O68" s="31" t="n"/>
    </row>
    <row r="69" ht="15" customHeight="1" s="16">
      <c r="A69" s="26" t="n">
        <v>68</v>
      </c>
      <c r="B69" s="26" t="n">
        <v>7</v>
      </c>
      <c r="C69" s="26" t="n">
        <v>17</v>
      </c>
      <c r="D69" s="27" t="inlineStr">
        <is>
          <t>乃治產積居</t>
        </is>
      </c>
      <c r="E69" s="28" t="inlineStr">
        <is>
          <t>與時逐而不責於人</t>
        </is>
      </c>
      <c r="F69" s="27" t="inlineStr">
        <is>
          <t>故善治生者</t>
        </is>
      </c>
      <c r="G69" s="26" t="n"/>
      <c r="H69" s="29" t="n"/>
      <c r="I69" s="30" t="n"/>
      <c r="J69" s="30" t="n"/>
      <c r="K69" s="30" t="n"/>
      <c r="L69" s="30" t="n"/>
      <c r="M69" s="31" t="n"/>
      <c r="N69" s="29" t="n"/>
      <c r="O69" s="31" t="n"/>
    </row>
    <row r="70" ht="15" customHeight="1" s="16">
      <c r="A70" s="26" t="n">
        <v>69</v>
      </c>
      <c r="B70" s="26" t="n">
        <v>7</v>
      </c>
      <c r="C70" s="26" t="n">
        <v>20</v>
      </c>
      <c r="D70" s="27" t="inlineStr">
        <is>
          <t>能擇人而任時</t>
        </is>
      </c>
      <c r="E70" s="28" t="inlineStr">
        <is>
          <t>十九年</t>
        </is>
      </c>
      <c r="F70" s="27" t="inlineStr">
        <is>
          <t>之中三致千金</t>
        </is>
      </c>
      <c r="G70" s="26" t="n"/>
      <c r="H70" s="29" t="n"/>
      <c r="I70" s="30" t="n"/>
      <c r="J70" s="30" t="n"/>
      <c r="K70" s="30" t="n"/>
      <c r="L70" s="30" t="n"/>
      <c r="M70" s="31" t="n"/>
      <c r="N70" s="29" t="n"/>
      <c r="O70" s="31" t="n"/>
    </row>
    <row r="71" ht="15" customHeight="1" s="16">
      <c r="A71" s="26" t="n">
        <v>70</v>
      </c>
      <c r="B71" s="26" t="n">
        <v>7</v>
      </c>
      <c r="C71" s="26" t="n">
        <v>21</v>
      </c>
      <c r="D71" s="27" t="inlineStr">
        <is>
          <t>十九年</t>
        </is>
      </c>
      <c r="E71" s="32" t="inlineStr">
        <is>
          <t>之中三致千金</t>
        </is>
      </c>
      <c r="F71" s="27" t="inlineStr">
        <is>
          <t>再分散與貧交疏昆弟</t>
        </is>
      </c>
      <c r="G71" s="26" t="inlineStr">
        <is>
          <t>●</t>
        </is>
      </c>
      <c r="H71" s="29" t="n"/>
      <c r="I71" s="30" t="n"/>
      <c r="J71" s="30" t="n"/>
      <c r="K71" s="30" t="n"/>
      <c r="L71" s="30" t="n"/>
      <c r="M71" s="31" t="n"/>
      <c r="N71" s="29" t="n"/>
      <c r="O71" s="31" t="n"/>
    </row>
    <row r="72" ht="15" customHeight="1" s="16">
      <c r="A72" s="26" t="n">
        <v>71</v>
      </c>
      <c r="B72" s="26" t="n">
        <v>7</v>
      </c>
      <c r="C72" s="26" t="n">
        <v>22</v>
      </c>
      <c r="D72" s="27" t="inlineStr">
        <is>
          <t>之中三致千金</t>
        </is>
      </c>
      <c r="E72" s="32" t="inlineStr">
        <is>
          <t>再分散與貧交疏昆弟</t>
        </is>
      </c>
      <c r="F72" s="27" t="inlineStr">
        <is>
          <t>此所謂富好行其德者也</t>
        </is>
      </c>
      <c r="G72" s="26" t="inlineStr">
        <is>
          <t>●</t>
        </is>
      </c>
      <c r="H72" s="29" t="n"/>
      <c r="I72" s="30" t="n"/>
      <c r="J72" s="30" t="n"/>
      <c r="K72" s="30" t="n"/>
      <c r="L72" s="30" t="n"/>
      <c r="M72" s="31" t="n"/>
      <c r="N72" s="29" t="n"/>
      <c r="O72" s="31" t="n"/>
    </row>
    <row r="73" ht="15" customHeight="1" s="16">
      <c r="A73" s="26" t="n">
        <v>72</v>
      </c>
      <c r="B73" s="26" t="n">
        <v>7</v>
      </c>
      <c r="C73" s="26" t="n">
        <v>23</v>
      </c>
      <c r="D73" s="27" t="inlineStr">
        <is>
          <t>再分散與貧交疏昆弟</t>
        </is>
      </c>
      <c r="E73" s="32" t="inlineStr">
        <is>
          <t>此所謂富好行其德者也</t>
        </is>
      </c>
      <c r="F73" s="27" t="inlineStr">
        <is>
          <t>後年衰老而聽子孫</t>
        </is>
      </c>
      <c r="G73" s="26" t="inlineStr">
        <is>
          <t>●</t>
        </is>
      </c>
      <c r="H73" s="29" t="n"/>
      <c r="I73" s="30" t="n"/>
      <c r="J73" s="30" t="n"/>
      <c r="K73" s="30" t="n"/>
      <c r="L73" s="30" t="n"/>
      <c r="M73" s="31" t="n"/>
      <c r="N73" s="29" t="n"/>
      <c r="O73" s="31" t="n"/>
    </row>
    <row r="74" ht="15" customHeight="1" s="16">
      <c r="A74" s="26" t="n">
        <v>73</v>
      </c>
      <c r="B74" s="26" t="n">
        <v>7</v>
      </c>
      <c r="C74" s="26" t="n">
        <v>24</v>
      </c>
      <c r="D74" s="27" t="inlineStr">
        <is>
          <t>此所謂富好行其德者也</t>
        </is>
      </c>
      <c r="E74" s="28" t="inlineStr">
        <is>
          <t>後年衰老而聽子孫</t>
        </is>
      </c>
      <c r="F74" s="27" t="inlineStr">
        <is>
          <t>子孫修業而</t>
        </is>
      </c>
      <c r="G74" s="26" t="n"/>
      <c r="H74" s="29" t="n"/>
      <c r="I74" s="30" t="n"/>
      <c r="J74" s="30" t="n"/>
      <c r="K74" s="30" t="n"/>
      <c r="L74" s="30" t="n"/>
      <c r="M74" s="31" t="n"/>
      <c r="N74" s="29" t="n"/>
      <c r="O74" s="31" t="n"/>
    </row>
    <row r="75" ht="15" customHeight="1" s="16">
      <c r="A75" s="26" t="n">
        <v>74</v>
      </c>
      <c r="B75" s="26" t="n">
        <v>7</v>
      </c>
      <c r="C75" s="26" t="n">
        <v>25</v>
      </c>
      <c r="D75" s="27" t="inlineStr">
        <is>
          <t>後年衰老而聽子孫</t>
        </is>
      </c>
      <c r="E75" s="28" t="inlineStr">
        <is>
          <t>子孫修業而</t>
        </is>
      </c>
      <c r="F75" s="27" t="n"/>
      <c r="G75" s="26" t="n"/>
      <c r="H75" s="29" t="n"/>
      <c r="I75" s="30" t="n"/>
      <c r="J75" s="30" t="n"/>
      <c r="K75" s="30" t="n"/>
      <c r="L75" s="30" t="n"/>
      <c r="M75" s="31" t="n"/>
      <c r="N75" s="29" t="n"/>
      <c r="O75" s="31" t="n"/>
    </row>
    <row r="76" ht="15" customHeight="1" s="16">
      <c r="A76" s="26" t="n">
        <v>75</v>
      </c>
      <c r="B76" s="26" t="n">
        <v>8</v>
      </c>
      <c r="C76" s="26" t="n">
        <v>1</v>
      </c>
      <c r="D76" s="27" t="n"/>
      <c r="E76" s="32" t="inlineStr">
        <is>
          <t>息之</t>
        </is>
      </c>
      <c r="F76" s="27" t="inlineStr">
        <is>
          <t>遂至巨萬</t>
        </is>
      </c>
      <c r="G76" s="26" t="inlineStr">
        <is>
          <t>●</t>
        </is>
      </c>
      <c r="H76" s="29" t="n"/>
      <c r="I76" s="30" t="n"/>
      <c r="J76" s="30" t="n"/>
      <c r="K76" s="30" t="n"/>
      <c r="L76" s="30" t="n"/>
      <c r="M76" s="31" t="n"/>
      <c r="N76" s="29" t="n"/>
      <c r="O76" s="31" t="n"/>
    </row>
    <row r="77" ht="15" customHeight="1" s="16">
      <c r="A77" s="26" t="n">
        <v>76</v>
      </c>
      <c r="B77" s="26" t="n">
        <v>8</v>
      </c>
      <c r="C77" s="26" t="n">
        <v>2</v>
      </c>
      <c r="D77" s="27" t="inlineStr">
        <is>
          <t>息之</t>
        </is>
      </c>
      <c r="E77" s="28" t="inlineStr">
        <is>
          <t>遂至巨萬</t>
        </is>
      </c>
      <c r="F77" s="27" t="inlineStr">
        <is>
          <t>故言富者皆稱陶朱公</t>
        </is>
      </c>
      <c r="G77" s="26" t="n"/>
      <c r="H77" s="29" t="n"/>
      <c r="I77" s="30" t="n"/>
      <c r="J77" s="30" t="n"/>
      <c r="K77" s="30" t="n"/>
      <c r="L77" s="30" t="n"/>
      <c r="M77" s="31" t="n"/>
      <c r="N77" s="29" t="n"/>
      <c r="O77" s="31" t="n"/>
    </row>
    <row r="78" ht="15" customHeight="1" s="16">
      <c r="A78" s="26" t="n">
        <v>77</v>
      </c>
      <c r="B78" s="26" t="n">
        <v>8</v>
      </c>
      <c r="C78" s="26" t="n">
        <v>3</v>
      </c>
      <c r="D78" s="27" t="inlineStr">
        <is>
          <t>遂至巨萬</t>
        </is>
      </c>
      <c r="E78" s="32" t="inlineStr">
        <is>
          <t>故言富者皆稱陶朱公</t>
        </is>
      </c>
      <c r="F78" s="27" t="n"/>
      <c r="G78" s="26" t="inlineStr">
        <is>
          <t>●</t>
        </is>
      </c>
      <c r="H78" s="29" t="n"/>
      <c r="I78" s="30" t="n"/>
      <c r="J78" s="30" t="n"/>
      <c r="K78" s="30" t="n"/>
      <c r="L78" s="30" t="n"/>
      <c r="M78" s="31" t="n"/>
      <c r="N78" s="29" t="n"/>
      <c r="O78" s="31" t="n"/>
    </row>
    <row r="79" ht="15" customHeight="1" s="16">
      <c r="A79" s="26" t="n">
        <v>78</v>
      </c>
      <c r="B79" s="26" t="n">
        <v>9</v>
      </c>
      <c r="C79" s="26" t="n">
        <v>1</v>
      </c>
      <c r="D79" s="27" t="n"/>
      <c r="E79" s="28" t="inlineStr">
        <is>
          <t>子贛既學於仲尼</t>
        </is>
      </c>
      <c r="F79" s="27" t="inlineStr">
        <is>
          <t>退而仕於衛</t>
        </is>
      </c>
      <c r="G79" s="26" t="n"/>
      <c r="H79" s="29" t="n"/>
      <c r="I79" s="30" t="n"/>
      <c r="J79" s="30" t="n"/>
      <c r="K79" s="30" t="n"/>
      <c r="L79" s="30" t="n"/>
      <c r="M79" s="31" t="n"/>
      <c r="N79" s="29" t="n"/>
      <c r="O79" s="31" t="n"/>
    </row>
    <row r="80" ht="15" customHeight="1" s="16">
      <c r="A80" s="26" t="n">
        <v>79</v>
      </c>
      <c r="B80" s="26" t="n">
        <v>9</v>
      </c>
      <c r="C80" s="26" t="n">
        <v>2</v>
      </c>
      <c r="D80" s="27" t="inlineStr">
        <is>
          <t>子贛既學於仲尼</t>
        </is>
      </c>
      <c r="E80" s="28" t="inlineStr">
        <is>
          <t>退而仕於衛</t>
        </is>
      </c>
      <c r="F80" s="27" t="inlineStr">
        <is>
          <t>廢著鬻財於曹</t>
        </is>
      </c>
      <c r="G80" s="26" t="n"/>
      <c r="H80" s="29" t="n"/>
      <c r="I80" s="30" t="n"/>
      <c r="J80" s="30" t="n"/>
      <c r="K80" s="30" t="n"/>
      <c r="L80" s="30" t="n"/>
      <c r="M80" s="31" t="n"/>
      <c r="N80" s="29" t="n"/>
      <c r="O80" s="31" t="n"/>
    </row>
    <row r="81" ht="15" customHeight="1" s="16">
      <c r="A81" s="26" t="n">
        <v>80</v>
      </c>
      <c r="B81" s="26" t="n">
        <v>9</v>
      </c>
      <c r="C81" s="26" t="n">
        <v>3</v>
      </c>
      <c r="D81" s="27" t="inlineStr">
        <is>
          <t>退而仕於衛</t>
        </is>
      </c>
      <c r="E81" s="32" t="inlineStr">
        <is>
          <t>廢著鬻財於曹</t>
        </is>
      </c>
      <c r="F81" s="27" t="inlineStr">
        <is>
          <t>魯之閒</t>
        </is>
      </c>
      <c r="G81" s="26" t="inlineStr">
        <is>
          <t>●</t>
        </is>
      </c>
      <c r="H81" s="29" t="n"/>
      <c r="I81" s="30" t="n"/>
      <c r="J81" s="30" t="n"/>
      <c r="K81" s="30" t="n"/>
      <c r="L81" s="30" t="n"/>
      <c r="M81" s="31" t="n"/>
      <c r="N81" s="29" t="n"/>
      <c r="O81" s="31" t="n"/>
    </row>
    <row r="82" ht="15" customHeight="1" s="16">
      <c r="A82" s="26" t="n">
        <v>81</v>
      </c>
      <c r="B82" s="26" t="n">
        <v>9</v>
      </c>
      <c r="C82" s="26" t="n">
        <v>4</v>
      </c>
      <c r="D82" s="27" t="inlineStr">
        <is>
          <t>廢著鬻財於曹</t>
        </is>
      </c>
      <c r="E82" s="28" t="inlineStr">
        <is>
          <t>魯之閒</t>
        </is>
      </c>
      <c r="F82" s="27" t="inlineStr">
        <is>
          <t>七十子之徒</t>
        </is>
      </c>
      <c r="G82" s="26" t="n"/>
      <c r="H82" s="29" t="n"/>
      <c r="I82" s="30" t="n"/>
      <c r="J82" s="30" t="n"/>
      <c r="K82" s="30" t="n"/>
      <c r="L82" s="30" t="n"/>
      <c r="M82" s="31" t="n"/>
      <c r="N82" s="29" t="n"/>
      <c r="O82" s="31" t="n"/>
    </row>
    <row r="83" ht="15" customHeight="1" s="16">
      <c r="A83" s="26" t="n">
        <v>82</v>
      </c>
      <c r="B83" s="26" t="n">
        <v>9</v>
      </c>
      <c r="C83" s="26" t="n">
        <v>9</v>
      </c>
      <c r="D83" s="27" t="inlineStr">
        <is>
          <t>糠</t>
        </is>
      </c>
      <c r="E83" s="28" t="inlineStr">
        <is>
          <t>匿於窮巷</t>
        </is>
      </c>
      <c r="F83" s="27" t="inlineStr">
        <is>
          <t>子貢結駟連騎</t>
        </is>
      </c>
      <c r="G83" s="26" t="n"/>
      <c r="H83" s="29" t="n"/>
      <c r="I83" s="30" t="n"/>
      <c r="J83" s="30" t="n"/>
      <c r="K83" s="30" t="n"/>
      <c r="L83" s="30" t="n"/>
      <c r="M83" s="31" t="n"/>
      <c r="N83" s="29" t="n"/>
      <c r="O83" s="31" t="n"/>
    </row>
    <row r="84" ht="15" customHeight="1" s="16">
      <c r="A84" s="26" t="n">
        <v>83</v>
      </c>
      <c r="B84" s="26" t="n">
        <v>9</v>
      </c>
      <c r="C84" s="26" t="n">
        <v>10</v>
      </c>
      <c r="D84" s="27" t="inlineStr">
        <is>
          <t>匿於窮巷</t>
        </is>
      </c>
      <c r="E84" s="32" t="inlineStr">
        <is>
          <t>子貢結駟連騎</t>
        </is>
      </c>
      <c r="F84" s="27" t="inlineStr">
        <is>
          <t>束帛之幣以聘享諸侯</t>
        </is>
      </c>
      <c r="G84" s="26" t="inlineStr">
        <is>
          <t>●</t>
        </is>
      </c>
      <c r="H84" s="29" t="n"/>
      <c r="I84" s="30" t="n"/>
      <c r="J84" s="30" t="n"/>
      <c r="K84" s="30" t="n"/>
      <c r="L84" s="30" t="n"/>
      <c r="M84" s="31" t="n"/>
      <c r="N84" s="29" t="n"/>
      <c r="O84" s="31" t="n"/>
    </row>
    <row r="85" ht="15" customHeight="1" s="16">
      <c r="A85" s="26" t="n">
        <v>84</v>
      </c>
      <c r="B85" s="26" t="n">
        <v>9</v>
      </c>
      <c r="C85" s="26" t="n">
        <v>11</v>
      </c>
      <c r="D85" s="27" t="inlineStr">
        <is>
          <t>子貢結駟連騎</t>
        </is>
      </c>
      <c r="E85" s="28" t="inlineStr">
        <is>
          <t>束帛之幣以聘享諸侯</t>
        </is>
      </c>
      <c r="F85" s="27" t="inlineStr">
        <is>
          <t>所至</t>
        </is>
      </c>
      <c r="G85" s="26" t="n"/>
      <c r="H85" s="29" t="n"/>
      <c r="I85" s="30" t="n"/>
      <c r="J85" s="30" t="n"/>
      <c r="K85" s="30" t="n"/>
      <c r="L85" s="30" t="n"/>
      <c r="M85" s="31" t="n"/>
      <c r="N85" s="29" t="n"/>
      <c r="O85" s="31" t="n"/>
    </row>
    <row r="86" ht="15" customHeight="1" s="16">
      <c r="A86" s="26" t="n">
        <v>85</v>
      </c>
      <c r="B86" s="26" t="n">
        <v>9</v>
      </c>
      <c r="C86" s="26" t="n">
        <v>15</v>
      </c>
      <c r="D86" s="27" t="inlineStr">
        <is>
          <t>夫使孔子</t>
        </is>
      </c>
      <c r="E86" s="28" t="inlineStr">
        <is>
          <t>名布揚於天下者</t>
        </is>
      </c>
      <c r="F86" s="27" t="inlineStr">
        <is>
          <t>子貢先後之也</t>
        </is>
      </c>
      <c r="G86" s="26" t="n"/>
      <c r="H86" s="29" t="n"/>
      <c r="I86" s="30" t="n"/>
      <c r="J86" s="30" t="n"/>
      <c r="K86" s="30" t="n"/>
      <c r="L86" s="30" t="n"/>
      <c r="M86" s="31" t="n"/>
      <c r="N86" s="29" t="n"/>
      <c r="O86" s="31" t="n"/>
    </row>
    <row r="87" ht="15" customHeight="1" s="16">
      <c r="A87" s="26" t="n">
        <v>86</v>
      </c>
      <c r="B87" s="26" t="n">
        <v>9</v>
      </c>
      <c r="C87" s="26" t="n">
        <v>16</v>
      </c>
      <c r="D87" s="27" t="inlineStr">
        <is>
          <t>名布揚於天下者</t>
        </is>
      </c>
      <c r="E87" s="32" t="inlineStr">
        <is>
          <t>子貢先後之也</t>
        </is>
      </c>
      <c r="F87" s="27" t="inlineStr">
        <is>
          <t>此所謂得埶而益彰者乎</t>
        </is>
      </c>
      <c r="G87" s="26" t="inlineStr">
        <is>
          <t>●</t>
        </is>
      </c>
      <c r="H87" s="29" t="n"/>
      <c r="I87" s="30" t="n"/>
      <c r="J87" s="30" t="n"/>
      <c r="K87" s="30" t="n"/>
      <c r="L87" s="30" t="n"/>
      <c r="M87" s="31" t="n"/>
      <c r="N87" s="29" t="n"/>
      <c r="O87" s="31" t="n"/>
    </row>
    <row r="88" ht="15" customHeight="1" s="16">
      <c r="A88" s="26" t="n">
        <v>87</v>
      </c>
      <c r="B88" s="26" t="n">
        <v>9</v>
      </c>
      <c r="C88" s="26" t="n">
        <v>17</v>
      </c>
      <c r="D88" s="27" t="inlineStr">
        <is>
          <t>子貢先後之也</t>
        </is>
      </c>
      <c r="E88" s="28" t="inlineStr">
        <is>
          <t>此所謂得埶而益彰者乎</t>
        </is>
      </c>
      <c r="F88" s="27" t="n"/>
      <c r="G88" s="26" t="n"/>
      <c r="H88" s="29" t="n"/>
      <c r="I88" s="30" t="n"/>
      <c r="J88" s="30" t="n"/>
      <c r="K88" s="30" t="n"/>
      <c r="L88" s="30" t="n"/>
      <c r="M88" s="31" t="n"/>
      <c r="N88" s="29" t="n"/>
      <c r="O88" s="31" t="n"/>
    </row>
    <row r="89" ht="15" customHeight="1" s="16">
      <c r="A89" s="26" t="n">
        <v>88</v>
      </c>
      <c r="B89" s="26" t="n">
        <v>10</v>
      </c>
      <c r="C89" s="26" t="n">
        <v>26</v>
      </c>
      <c r="D89" s="27" t="inlineStr">
        <is>
          <t>有水</t>
        </is>
      </c>
      <c r="E89" s="28" t="inlineStr">
        <is>
          <t>至卯</t>
        </is>
      </c>
      <c r="F89" s="27" t="inlineStr">
        <is>
          <t>積著率歲倍</t>
        </is>
      </c>
      <c r="G89" s="26" t="n"/>
      <c r="H89" s="29" t="n"/>
      <c r="I89" s="30" t="n"/>
      <c r="J89" s="30" t="n"/>
      <c r="K89" s="30" t="n"/>
      <c r="L89" s="30" t="n"/>
      <c r="M89" s="31" t="n"/>
      <c r="N89" s="29" t="n"/>
      <c r="O89" s="31" t="n"/>
    </row>
    <row r="90" ht="15" customHeight="1" s="16">
      <c r="A90" s="26" t="n">
        <v>89</v>
      </c>
      <c r="B90" s="26" t="n">
        <v>10</v>
      </c>
      <c r="C90" s="26" t="n">
        <v>27</v>
      </c>
      <c r="D90" s="27" t="inlineStr">
        <is>
          <t>至卯</t>
        </is>
      </c>
      <c r="E90" s="32" t="inlineStr">
        <is>
          <t>積著率歲倍</t>
        </is>
      </c>
      <c r="F90" s="27" t="inlineStr">
        <is>
          <t>欲長錢</t>
        </is>
      </c>
      <c r="G90" s="26" t="inlineStr">
        <is>
          <t>●</t>
        </is>
      </c>
      <c r="H90" s="29" t="n"/>
      <c r="I90" s="30" t="n"/>
      <c r="J90" s="30" t="n"/>
      <c r="K90" s="30" t="n"/>
      <c r="L90" s="30" t="n"/>
      <c r="M90" s="31" t="n"/>
      <c r="N90" s="29" t="n"/>
      <c r="O90" s="31" t="n"/>
    </row>
    <row r="91" ht="15" customHeight="1" s="16">
      <c r="A91" s="26" t="n">
        <v>90</v>
      </c>
      <c r="B91" s="26" t="n">
        <v>10</v>
      </c>
      <c r="C91" s="26" t="n">
        <v>28</v>
      </c>
      <c r="D91" s="27" t="inlineStr">
        <is>
          <t>積著率歲倍</t>
        </is>
      </c>
      <c r="E91" s="32" t="inlineStr">
        <is>
          <t>欲長錢</t>
        </is>
      </c>
      <c r="F91" s="27" t="inlineStr">
        <is>
          <t>取下穀</t>
        </is>
      </c>
      <c r="G91" s="26" t="inlineStr">
        <is>
          <t>●</t>
        </is>
      </c>
      <c r="H91" s="29" t="n"/>
      <c r="I91" s="30" t="n"/>
      <c r="J91" s="30" t="n"/>
      <c r="K91" s="30" t="n"/>
      <c r="L91" s="30" t="n"/>
      <c r="M91" s="31" t="n"/>
      <c r="N91" s="29" t="n"/>
      <c r="O91" s="31" t="n"/>
    </row>
    <row r="92" ht="15" customHeight="1" s="16">
      <c r="A92" s="26" t="n">
        <v>91</v>
      </c>
      <c r="B92" s="26" t="n">
        <v>10</v>
      </c>
      <c r="C92" s="26" t="n">
        <v>29</v>
      </c>
      <c r="D92" s="27" t="inlineStr">
        <is>
          <t>欲長錢</t>
        </is>
      </c>
      <c r="E92" s="28" t="inlineStr">
        <is>
          <t>取下穀</t>
        </is>
      </c>
      <c r="F92" s="27" t="inlineStr">
        <is>
          <t>長石斗</t>
        </is>
      </c>
      <c r="G92" s="26" t="n"/>
      <c r="H92" s="29" t="n"/>
      <c r="I92" s="30" t="n"/>
      <c r="J92" s="30" t="n"/>
      <c r="K92" s="30" t="n"/>
      <c r="L92" s="30" t="n"/>
      <c r="M92" s="31" t="n"/>
      <c r="N92" s="29" t="n"/>
      <c r="O92" s="31" t="n"/>
    </row>
    <row r="93" ht="15" customHeight="1" s="16">
      <c r="A93" s="26" t="n">
        <v>92</v>
      </c>
      <c r="B93" s="26" t="n">
        <v>10</v>
      </c>
      <c r="C93" s="26" t="n">
        <v>39</v>
      </c>
      <c r="D93" s="27" t="inlineStr">
        <is>
          <t>故曰</t>
        </is>
      </c>
      <c r="E93" s="28" t="inlineStr">
        <is>
          <t>吾治生</t>
        </is>
      </c>
      <c r="F93" s="27" t="inlineStr">
        <is>
          <t>產</t>
        </is>
      </c>
      <c r="G93" s="26" t="n"/>
      <c r="H93" s="29" t="n"/>
      <c r="I93" s="30" t="n"/>
      <c r="J93" s="30" t="n"/>
      <c r="K93" s="30" t="n"/>
      <c r="L93" s="30" t="n"/>
      <c r="M93" s="31" t="n"/>
      <c r="N93" s="29" t="n"/>
      <c r="O93" s="31" t="n"/>
    </row>
    <row r="94" ht="15" customHeight="1" s="16">
      <c r="A94" s="26" t="n">
        <v>93</v>
      </c>
      <c r="B94" s="26" t="n">
        <v>10</v>
      </c>
      <c r="C94" s="26" t="n">
        <v>40</v>
      </c>
      <c r="D94" s="27" t="inlineStr">
        <is>
          <t>吾治生</t>
        </is>
      </c>
      <c r="E94" s="32" t="inlineStr">
        <is>
          <t>產</t>
        </is>
      </c>
      <c r="F94" s="27" t="inlineStr">
        <is>
          <t>猶伊尹</t>
        </is>
      </c>
      <c r="G94" s="26" t="inlineStr">
        <is>
          <t>●</t>
        </is>
      </c>
      <c r="H94" s="29" t="n"/>
      <c r="I94" s="30" t="n"/>
      <c r="J94" s="30" t="n"/>
      <c r="K94" s="30" t="n"/>
      <c r="L94" s="30" t="n"/>
      <c r="M94" s="31" t="n"/>
      <c r="N94" s="29" t="n"/>
      <c r="O94" s="31" t="n"/>
    </row>
    <row r="95" ht="15" customHeight="1" s="16">
      <c r="A95" s="26" t="n">
        <v>94</v>
      </c>
      <c r="B95" s="26" t="n">
        <v>10</v>
      </c>
      <c r="C95" s="26" t="n">
        <v>41</v>
      </c>
      <c r="D95" s="27" t="inlineStr">
        <is>
          <t>產</t>
        </is>
      </c>
      <c r="E95" s="28" t="inlineStr">
        <is>
          <t>猶伊尹</t>
        </is>
      </c>
      <c r="F95" s="27" t="inlineStr">
        <is>
          <t>呂尚之謀</t>
        </is>
      </c>
      <c r="G95" s="26" t="n"/>
      <c r="H95" s="29" t="n"/>
      <c r="I95" s="30" t="n"/>
      <c r="J95" s="30" t="n"/>
      <c r="K95" s="30" t="n"/>
      <c r="L95" s="30" t="n"/>
      <c r="M95" s="31" t="n"/>
      <c r="N95" s="29" t="n"/>
      <c r="O95" s="31" t="n"/>
    </row>
    <row r="96" ht="15" customHeight="1" s="16">
      <c r="A96" s="26" t="n">
        <v>95</v>
      </c>
      <c r="B96" s="26" t="n">
        <v>10</v>
      </c>
      <c r="C96" s="26" t="n">
        <v>43</v>
      </c>
      <c r="D96" s="27" t="inlineStr">
        <is>
          <t>呂尚之謀</t>
        </is>
      </c>
      <c r="E96" s="28" t="inlineStr">
        <is>
          <t>孫吳用兵</t>
        </is>
      </c>
      <c r="F96" s="27" t="inlineStr">
        <is>
          <t>商鞅行法是也</t>
        </is>
      </c>
      <c r="G96" s="26" t="n"/>
      <c r="H96" s="29" t="n"/>
      <c r="I96" s="30" t="n"/>
      <c r="J96" s="30" t="n"/>
      <c r="K96" s="30" t="n"/>
      <c r="L96" s="30" t="n"/>
      <c r="M96" s="31" t="n"/>
      <c r="N96" s="29" t="n"/>
      <c r="O96" s="31" t="n"/>
    </row>
    <row r="97" ht="15" customHeight="1" s="16">
      <c r="A97" s="26" t="n">
        <v>96</v>
      </c>
      <c r="B97" s="26" t="n">
        <v>10</v>
      </c>
      <c r="C97" s="26" t="n">
        <v>44</v>
      </c>
      <c r="D97" s="27" t="inlineStr">
        <is>
          <t>孫吳用兵</t>
        </is>
      </c>
      <c r="E97" s="32" t="inlineStr">
        <is>
          <t>商鞅行法是也</t>
        </is>
      </c>
      <c r="F97" s="27" t="inlineStr">
        <is>
          <t>是故其智不足與權變</t>
        </is>
      </c>
      <c r="G97" s="26" t="inlineStr">
        <is>
          <t>●</t>
        </is>
      </c>
      <c r="H97" s="29" t="n"/>
      <c r="I97" s="30" t="n"/>
      <c r="J97" s="30" t="n"/>
      <c r="K97" s="30" t="n"/>
      <c r="L97" s="30" t="n"/>
      <c r="M97" s="31" t="n"/>
      <c r="N97" s="29" t="n"/>
      <c r="O97" s="31" t="n"/>
    </row>
    <row r="98" ht="15" customHeight="1" s="16">
      <c r="A98" s="26" t="n">
        <v>97</v>
      </c>
      <c r="B98" s="26" t="n">
        <v>10</v>
      </c>
      <c r="C98" s="26" t="n">
        <v>45</v>
      </c>
      <c r="D98" s="27" t="inlineStr">
        <is>
          <t>商鞅行法是也</t>
        </is>
      </c>
      <c r="E98" s="28" t="inlineStr">
        <is>
          <t>是故其智不足與權變</t>
        </is>
      </c>
      <c r="F98" s="27" t="inlineStr">
        <is>
          <t>勇不足以決斷</t>
        </is>
      </c>
      <c r="G98" s="26" t="n"/>
      <c r="H98" s="29" t="n"/>
      <c r="I98" s="30" t="n"/>
      <c r="J98" s="30" t="n"/>
      <c r="K98" s="30" t="n"/>
      <c r="L98" s="30" t="n"/>
      <c r="M98" s="31" t="n"/>
      <c r="N98" s="29" t="n"/>
      <c r="O98" s="31" t="n"/>
    </row>
    <row r="99" ht="15" customHeight="1" s="16">
      <c r="A99" s="26" t="n">
        <v>98</v>
      </c>
      <c r="B99" s="26" t="n">
        <v>11</v>
      </c>
      <c r="C99" s="26" t="n">
        <v>2</v>
      </c>
      <c r="D99" s="27" t="inlineStr">
        <is>
          <t>猗頓用盬鹽起</t>
        </is>
      </c>
      <c r="E99" s="28" t="inlineStr">
        <is>
          <t>而邯鄲郭縱以鐵冶成業</t>
        </is>
      </c>
      <c r="F99" s="27" t="inlineStr">
        <is>
          <t>與王者埒富</t>
        </is>
      </c>
      <c r="G99" s="26" t="n"/>
      <c r="H99" s="29" t="n"/>
      <c r="I99" s="30" t="n"/>
      <c r="J99" s="30" t="n"/>
      <c r="K99" s="30" t="n"/>
      <c r="L99" s="30" t="n"/>
      <c r="M99" s="31" t="n"/>
      <c r="N99" s="29" t="n"/>
      <c r="O99" s="31" t="n"/>
    </row>
    <row r="100" ht="15" customHeight="1" s="16">
      <c r="A100" s="26" t="n">
        <v>99</v>
      </c>
      <c r="B100" s="26" t="n">
        <v>11</v>
      </c>
      <c r="C100" s="26" t="n">
        <v>3</v>
      </c>
      <c r="D100" s="27" t="inlineStr">
        <is>
          <t>而邯鄲郭縱以鐵冶成業</t>
        </is>
      </c>
      <c r="E100" s="32" t="inlineStr">
        <is>
          <t>與王者埒富</t>
        </is>
      </c>
      <c r="F100" s="27" t="n"/>
      <c r="G100" s="26" t="inlineStr">
        <is>
          <t>●</t>
        </is>
      </c>
      <c r="H100" s="29" t="n"/>
      <c r="I100" s="30" t="n"/>
      <c r="J100" s="30" t="n"/>
      <c r="K100" s="30" t="n"/>
      <c r="L100" s="30" t="n"/>
      <c r="M100" s="31" t="n"/>
      <c r="N100" s="29" t="n"/>
      <c r="O100" s="31" t="n"/>
    </row>
    <row r="101" ht="15" customHeight="1" s="16">
      <c r="A101" s="26" t="n">
        <v>100</v>
      </c>
      <c r="B101" s="26" t="n">
        <v>12</v>
      </c>
      <c r="C101" s="26" t="n">
        <v>1</v>
      </c>
      <c r="D101" s="27" t="n"/>
      <c r="E101" s="28" t="inlineStr">
        <is>
          <t>烏氏倮牧</t>
        </is>
      </c>
      <c r="F101" s="27" t="inlineStr">
        <is>
          <t>及眾</t>
        </is>
      </c>
      <c r="G101" s="26" t="n"/>
      <c r="H101" s="29" t="n"/>
      <c r="I101" s="30" t="n"/>
      <c r="J101" s="30" t="n"/>
      <c r="K101" s="30" t="n"/>
      <c r="L101" s="30" t="n"/>
      <c r="M101" s="31" t="n"/>
      <c r="N101" s="29" t="n"/>
      <c r="O101" s="31" t="n"/>
    </row>
    <row r="102" ht="15" customHeight="1" s="16">
      <c r="A102" s="26" t="n">
        <v>101</v>
      </c>
      <c r="B102" s="26" t="n">
        <v>12</v>
      </c>
      <c r="C102" s="26" t="n">
        <v>2</v>
      </c>
      <c r="D102" s="27" t="inlineStr">
        <is>
          <t>烏氏倮牧</t>
        </is>
      </c>
      <c r="E102" s="28" t="inlineStr">
        <is>
          <t>及眾</t>
        </is>
      </c>
      <c r="F102" s="27" t="inlineStr">
        <is>
          <t>斥賣</t>
        </is>
      </c>
      <c r="G102" s="26" t="n"/>
      <c r="H102" s="29" t="n"/>
      <c r="I102" s="30" t="n"/>
      <c r="J102" s="30" t="n"/>
      <c r="K102" s="30" t="n"/>
      <c r="L102" s="30" t="n"/>
      <c r="M102" s="31" t="n"/>
      <c r="N102" s="29" t="n"/>
      <c r="O102" s="31" t="n"/>
    </row>
    <row r="103" ht="15" customHeight="1" s="16">
      <c r="A103" s="26" t="n">
        <v>102</v>
      </c>
      <c r="B103" s="26" t="n">
        <v>12</v>
      </c>
      <c r="C103" s="26" t="n">
        <v>3</v>
      </c>
      <c r="D103" s="27" t="inlineStr">
        <is>
          <t>及眾</t>
        </is>
      </c>
      <c r="E103" s="32" t="inlineStr">
        <is>
          <t>斥賣</t>
        </is>
      </c>
      <c r="F103" s="27" t="inlineStr">
        <is>
          <t>求奇繒物</t>
        </is>
      </c>
      <c r="G103" s="26" t="inlineStr">
        <is>
          <t>●</t>
        </is>
      </c>
      <c r="H103" s="29" t="n"/>
      <c r="I103" s="30" t="n"/>
      <c r="J103" s="30" t="n"/>
      <c r="K103" s="30" t="n"/>
      <c r="L103" s="30" t="n"/>
      <c r="M103" s="31" t="n"/>
      <c r="N103" s="29" t="n"/>
      <c r="O103" s="31" t="n"/>
    </row>
    <row r="104" ht="15" customHeight="1" s="16">
      <c r="A104" s="26" t="n">
        <v>103</v>
      </c>
      <c r="B104" s="26" t="n">
        <v>12</v>
      </c>
      <c r="C104" s="26" t="n">
        <v>4</v>
      </c>
      <c r="D104" s="27" t="inlineStr">
        <is>
          <t>斥賣</t>
        </is>
      </c>
      <c r="E104" s="28" t="inlineStr">
        <is>
          <t>求奇繒物</t>
        </is>
      </c>
      <c r="F104" s="27" t="inlineStr">
        <is>
          <t>閒獻遺戎王</t>
        </is>
      </c>
      <c r="G104" s="26" t="n"/>
      <c r="H104" s="29" t="n"/>
      <c r="I104" s="30" t="n"/>
      <c r="J104" s="30" t="n"/>
      <c r="K104" s="30" t="n"/>
      <c r="L104" s="30" t="n"/>
      <c r="M104" s="31" t="n"/>
      <c r="N104" s="29" t="n"/>
      <c r="O104" s="31" t="n"/>
    </row>
    <row r="105" ht="15" customHeight="1" s="16">
      <c r="A105" s="26" t="n">
        <v>104</v>
      </c>
      <c r="B105" s="26" t="n">
        <v>12</v>
      </c>
      <c r="C105" s="26" t="n">
        <v>5</v>
      </c>
      <c r="D105" s="27" t="inlineStr">
        <is>
          <t>求奇繒物</t>
        </is>
      </c>
      <c r="E105" s="28" t="inlineStr">
        <is>
          <t>閒獻遺戎王</t>
        </is>
      </c>
      <c r="F105" s="27" t="inlineStr">
        <is>
          <t>戎王什倍其償</t>
        </is>
      </c>
      <c r="G105" s="26" t="n"/>
      <c r="H105" s="29" t="n"/>
      <c r="I105" s="30" t="n"/>
      <c r="J105" s="30" t="n"/>
      <c r="K105" s="30" t="n"/>
      <c r="L105" s="30" t="n"/>
      <c r="M105" s="31" t="n"/>
      <c r="N105" s="29" t="n"/>
      <c r="O105" s="31" t="n"/>
    </row>
    <row r="106" ht="15" customHeight="1" s="16">
      <c r="A106" s="26" t="n">
        <v>105</v>
      </c>
      <c r="B106" s="26" t="n">
        <v>12</v>
      </c>
      <c r="C106" s="26" t="n">
        <v>6</v>
      </c>
      <c r="D106" s="27" t="inlineStr">
        <is>
          <t>閒獻遺戎王</t>
        </is>
      </c>
      <c r="E106" s="32" t="inlineStr">
        <is>
          <t>戎王什倍其償</t>
        </is>
      </c>
      <c r="F106" s="27" t="inlineStr">
        <is>
          <t>與之畜</t>
        </is>
      </c>
      <c r="G106" s="26" t="inlineStr">
        <is>
          <t>●</t>
        </is>
      </c>
      <c r="H106" s="29" t="n"/>
      <c r="I106" s="30" t="n"/>
      <c r="J106" s="30" t="n"/>
      <c r="K106" s="30" t="n"/>
      <c r="L106" s="30" t="n"/>
      <c r="M106" s="31" t="n"/>
      <c r="N106" s="29" t="n"/>
      <c r="O106" s="31" t="n"/>
    </row>
    <row r="107" ht="15" customHeight="1" s="16">
      <c r="A107" s="26" t="n">
        <v>106</v>
      </c>
      <c r="B107" s="26" t="n">
        <v>12</v>
      </c>
      <c r="C107" s="26" t="n">
        <v>7</v>
      </c>
      <c r="D107" s="27" t="inlineStr">
        <is>
          <t>戎王什倍其償</t>
        </is>
      </c>
      <c r="E107" s="28" t="inlineStr">
        <is>
          <t>與之畜</t>
        </is>
      </c>
      <c r="F107" s="27" t="inlineStr">
        <is>
          <t>畜至用谷量馬牛</t>
        </is>
      </c>
      <c r="G107" s="26" t="n"/>
      <c r="H107" s="29" t="n"/>
      <c r="I107" s="30" t="n"/>
      <c r="J107" s="30" t="n"/>
      <c r="K107" s="30" t="n"/>
      <c r="L107" s="30" t="n"/>
      <c r="M107" s="31" t="n"/>
      <c r="N107" s="29" t="n"/>
      <c r="O107" s="31" t="n"/>
    </row>
    <row r="108" ht="15" customHeight="1" s="16">
      <c r="A108" s="26" t="n">
        <v>107</v>
      </c>
      <c r="B108" s="26" t="n">
        <v>12</v>
      </c>
      <c r="C108" s="26" t="n">
        <v>13</v>
      </c>
      <c r="D108" s="27" t="inlineStr">
        <is>
          <t>而巴蜀寡婦清</t>
        </is>
      </c>
      <c r="E108" s="28" t="inlineStr">
        <is>
          <t>其先得丹穴</t>
        </is>
      </c>
      <c r="F108" s="27" t="inlineStr">
        <is>
          <t>而擅其利數世</t>
        </is>
      </c>
      <c r="G108" s="26" t="n"/>
      <c r="H108" s="29" t="n"/>
      <c r="I108" s="30" t="n"/>
      <c r="J108" s="30" t="n"/>
      <c r="K108" s="30" t="n"/>
      <c r="L108" s="30" t="n"/>
      <c r="M108" s="31" t="n"/>
      <c r="N108" s="29" t="n"/>
      <c r="O108" s="31" t="n"/>
    </row>
    <row r="109" ht="15" customHeight="1" s="16">
      <c r="A109" s="26" t="n">
        <v>108</v>
      </c>
      <c r="B109" s="26" t="n">
        <v>12</v>
      </c>
      <c r="C109" s="26" t="n">
        <v>14</v>
      </c>
      <c r="D109" s="27" t="inlineStr">
        <is>
          <t>其先得丹穴</t>
        </is>
      </c>
      <c r="E109" s="32" t="inlineStr">
        <is>
          <t>而擅其利數世</t>
        </is>
      </c>
      <c r="F109" s="27" t="inlineStr">
        <is>
          <t>家亦不</t>
        </is>
      </c>
      <c r="G109" s="26" t="inlineStr">
        <is>
          <t>●</t>
        </is>
      </c>
      <c r="H109" s="29" t="n"/>
      <c r="I109" s="30" t="n"/>
      <c r="J109" s="30" t="n"/>
      <c r="K109" s="30" t="n"/>
      <c r="L109" s="30" t="n"/>
      <c r="M109" s="31" t="n"/>
      <c r="N109" s="29" t="n"/>
      <c r="O109" s="31" t="n"/>
    </row>
    <row r="110" ht="15" customHeight="1" s="16">
      <c r="A110" s="26" t="n">
        <v>109</v>
      </c>
      <c r="B110" s="26" t="n">
        <v>12</v>
      </c>
      <c r="C110" s="26" t="n">
        <v>15</v>
      </c>
      <c r="D110" s="27" t="inlineStr">
        <is>
          <t>而擅其利數世</t>
        </is>
      </c>
      <c r="E110" s="28" t="inlineStr">
        <is>
          <t>家亦不</t>
        </is>
      </c>
      <c r="F110" s="27" t="inlineStr">
        <is>
          <t>訾</t>
        </is>
      </c>
      <c r="G110" s="26" t="n"/>
      <c r="H110" s="29" t="n"/>
      <c r="I110" s="30" t="n"/>
      <c r="J110" s="30" t="n"/>
      <c r="K110" s="30" t="n"/>
      <c r="L110" s="30" t="n"/>
      <c r="M110" s="31" t="n"/>
      <c r="N110" s="29" t="n"/>
      <c r="O110" s="31" t="n"/>
    </row>
    <row r="111" ht="15" customHeight="1" s="16">
      <c r="A111" s="26" t="n">
        <v>110</v>
      </c>
      <c r="B111" s="26" t="n">
        <v>12</v>
      </c>
      <c r="C111" s="26" t="n">
        <v>19</v>
      </c>
      <c r="D111" s="27" t="inlineStr">
        <is>
          <t>寡婦也</t>
        </is>
      </c>
      <c r="E111" s="28" t="inlineStr">
        <is>
          <t>能守其業</t>
        </is>
      </c>
      <c r="F111" s="27" t="inlineStr">
        <is>
          <t>用財自衛</t>
        </is>
      </c>
      <c r="G111" s="26" t="n"/>
      <c r="H111" s="29" t="n"/>
      <c r="I111" s="30" t="n"/>
      <c r="J111" s="30" t="n"/>
      <c r="K111" s="30" t="n"/>
      <c r="L111" s="30" t="n"/>
      <c r="M111" s="31" t="n"/>
      <c r="N111" s="29" t="n"/>
      <c r="O111" s="31" t="n"/>
    </row>
    <row r="112" ht="15" customHeight="1" s="16">
      <c r="A112" s="26" t="n">
        <v>111</v>
      </c>
      <c r="B112" s="26" t="n">
        <v>12</v>
      </c>
      <c r="C112" s="26" t="n">
        <v>20</v>
      </c>
      <c r="D112" s="27" t="inlineStr">
        <is>
          <t>能守其業</t>
        </is>
      </c>
      <c r="E112" s="32" t="inlineStr">
        <is>
          <t>用財自衛</t>
        </is>
      </c>
      <c r="F112" s="27" t="inlineStr">
        <is>
          <t>不見侵犯</t>
        </is>
      </c>
      <c r="G112" s="26" t="inlineStr">
        <is>
          <t>●</t>
        </is>
      </c>
      <c r="H112" s="29" t="n"/>
      <c r="I112" s="30" t="n"/>
      <c r="J112" s="30" t="n"/>
      <c r="K112" s="30" t="n"/>
      <c r="L112" s="30" t="n"/>
      <c r="M112" s="31" t="n"/>
      <c r="N112" s="29" t="n"/>
      <c r="O112" s="31" t="n"/>
    </row>
    <row r="113" ht="15" customHeight="1" s="16">
      <c r="A113" s="26" t="n">
        <v>112</v>
      </c>
      <c r="B113" s="26" t="n">
        <v>12</v>
      </c>
      <c r="C113" s="26" t="n">
        <v>21</v>
      </c>
      <c r="D113" s="27" t="inlineStr">
        <is>
          <t>用財自衛</t>
        </is>
      </c>
      <c r="E113" s="28" t="inlineStr">
        <is>
          <t>不見侵犯</t>
        </is>
      </c>
      <c r="F113" s="27" t="inlineStr">
        <is>
          <t>秦皇帝以為貞婦而客之</t>
        </is>
      </c>
      <c r="G113" s="26" t="n"/>
      <c r="H113" s="29" t="n"/>
      <c r="I113" s="30" t="n"/>
      <c r="J113" s="30" t="n"/>
      <c r="K113" s="30" t="n"/>
      <c r="L113" s="30" t="n"/>
      <c r="M113" s="31" t="n"/>
      <c r="N113" s="29" t="n"/>
      <c r="O113" s="31" t="n"/>
    </row>
    <row r="114" ht="15" customHeight="1" s="16">
      <c r="A114" s="26" t="n">
        <v>113</v>
      </c>
      <c r="B114" s="26" t="n">
        <v>12</v>
      </c>
      <c r="C114" s="26" t="n">
        <v>28</v>
      </c>
      <c r="D114" s="27" t="inlineStr">
        <is>
          <t>禮抗萬乘</t>
        </is>
      </c>
      <c r="E114" s="28" t="inlineStr">
        <is>
          <t>名顯天下</t>
        </is>
      </c>
      <c r="F114" s="27" t="inlineStr">
        <is>
          <t>豈非以富邪</t>
        </is>
      </c>
      <c r="G114" s="26" t="n"/>
      <c r="H114" s="29" t="n"/>
      <c r="I114" s="30" t="n"/>
      <c r="J114" s="30" t="n"/>
      <c r="K114" s="30" t="n"/>
      <c r="L114" s="30" t="n"/>
      <c r="M114" s="31" t="n"/>
      <c r="N114" s="29" t="n"/>
      <c r="O114" s="31" t="n"/>
    </row>
    <row r="115" ht="15" customHeight="1" s="16">
      <c r="A115" s="26" t="n">
        <v>114</v>
      </c>
      <c r="B115" s="26" t="n">
        <v>12</v>
      </c>
      <c r="C115" s="26" t="n">
        <v>29</v>
      </c>
      <c r="D115" s="27" t="inlineStr">
        <is>
          <t>名顯天下</t>
        </is>
      </c>
      <c r="E115" s="32" t="inlineStr">
        <is>
          <t>豈非以富邪</t>
        </is>
      </c>
      <c r="F115" s="27" t="n"/>
      <c r="G115" s="26" t="inlineStr">
        <is>
          <t>●</t>
        </is>
      </c>
      <c r="H115" s="29" t="n"/>
      <c r="I115" s="30" t="n"/>
      <c r="J115" s="30" t="n"/>
      <c r="K115" s="30" t="n"/>
      <c r="L115" s="30" t="n"/>
      <c r="M115" s="31" t="n"/>
      <c r="N115" s="29" t="n"/>
      <c r="O115" s="31" t="n"/>
    </row>
    <row r="116" ht="15" customHeight="1" s="16">
      <c r="A116" s="26" t="n">
        <v>115</v>
      </c>
      <c r="B116" s="26" t="n">
        <v>13</v>
      </c>
      <c r="C116" s="26" t="n">
        <v>1</v>
      </c>
      <c r="D116" s="27" t="n"/>
      <c r="E116" s="28" t="inlineStr">
        <is>
          <t>漢興</t>
        </is>
      </c>
      <c r="F116" s="27" t="inlineStr">
        <is>
          <t>海內為一</t>
        </is>
      </c>
      <c r="G116" s="26" t="n"/>
      <c r="H116" s="29" t="n"/>
      <c r="I116" s="30" t="n"/>
      <c r="J116" s="30" t="n"/>
      <c r="K116" s="30" t="n"/>
      <c r="L116" s="30" t="n"/>
      <c r="M116" s="31" t="n"/>
      <c r="N116" s="29" t="n"/>
      <c r="O116" s="31" t="n"/>
    </row>
    <row r="117" ht="15" customHeight="1" s="16">
      <c r="A117" s="26" t="n">
        <v>116</v>
      </c>
      <c r="B117" s="26" t="n">
        <v>13</v>
      </c>
      <c r="C117" s="26" t="n">
        <v>4</v>
      </c>
      <c r="D117" s="27" t="inlineStr">
        <is>
          <t>開關梁</t>
        </is>
      </c>
      <c r="E117" s="28" t="inlineStr">
        <is>
          <t>弛山澤之禁</t>
        </is>
      </c>
      <c r="F117" s="27" t="inlineStr">
        <is>
          <t>是以富商大賈周流天下</t>
        </is>
      </c>
      <c r="G117" s="26" t="n"/>
      <c r="H117" s="29" t="n"/>
      <c r="I117" s="30" t="n"/>
      <c r="J117" s="30" t="n"/>
      <c r="K117" s="30" t="n"/>
      <c r="L117" s="30" t="n"/>
      <c r="M117" s="31" t="n"/>
      <c r="N117" s="29" t="n"/>
      <c r="O117" s="31" t="n"/>
    </row>
    <row r="118" ht="15" customHeight="1" s="16">
      <c r="A118" s="26" t="n">
        <v>117</v>
      </c>
      <c r="B118" s="26" t="n">
        <v>13</v>
      </c>
      <c r="C118" s="26" t="n">
        <v>5</v>
      </c>
      <c r="D118" s="27" t="inlineStr">
        <is>
          <t>弛山澤之禁</t>
        </is>
      </c>
      <c r="E118" s="32" t="inlineStr">
        <is>
          <t>是以富商大賈周流天下</t>
        </is>
      </c>
      <c r="F118" s="27" t="inlineStr">
        <is>
          <t>交易之物莫不通</t>
        </is>
      </c>
      <c r="G118" s="26" t="inlineStr">
        <is>
          <t>●</t>
        </is>
      </c>
      <c r="H118" s="29" t="n"/>
      <c r="I118" s="30" t="n"/>
      <c r="J118" s="30" t="n"/>
      <c r="K118" s="30" t="n"/>
      <c r="L118" s="30" t="n"/>
      <c r="M118" s="31" t="n"/>
      <c r="N118" s="29" t="n"/>
      <c r="O118" s="31" t="n"/>
    </row>
    <row r="119" ht="15" customHeight="1" s="16">
      <c r="A119" s="26" t="n">
        <v>118</v>
      </c>
      <c r="B119" s="26" t="n">
        <v>13</v>
      </c>
      <c r="C119" s="26" t="n">
        <v>6</v>
      </c>
      <c r="D119" s="27" t="inlineStr">
        <is>
          <t>是以富商大賈周流天下</t>
        </is>
      </c>
      <c r="E119" s="28" t="inlineStr">
        <is>
          <t>交易之物莫不通</t>
        </is>
      </c>
      <c r="F119" s="27" t="inlineStr">
        <is>
          <t>得其所欲</t>
        </is>
      </c>
      <c r="G119" s="26" t="n"/>
      <c r="H119" s="29" t="n"/>
      <c r="I119" s="30" t="n"/>
      <c r="J119" s="30" t="n"/>
      <c r="K119" s="30" t="n"/>
      <c r="L119" s="30" t="n"/>
      <c r="M119" s="31" t="n"/>
      <c r="N119" s="29" t="n"/>
      <c r="O119" s="31" t="n"/>
    </row>
    <row r="120" ht="15" customHeight="1" s="16">
      <c r="A120" s="26" t="n">
        <v>119</v>
      </c>
      <c r="B120" s="26" t="n">
        <v>14</v>
      </c>
      <c r="C120" s="26" t="n">
        <v>4</v>
      </c>
      <c r="D120" s="27" t="inlineStr">
        <is>
          <t>華</t>
        </is>
      </c>
      <c r="E120" s="28" t="inlineStr">
        <is>
          <t>膏壤沃野千里</t>
        </is>
      </c>
      <c r="F120" s="27" t="inlineStr">
        <is>
          <t>自虞夏之貢以為上田</t>
        </is>
      </c>
      <c r="G120" s="26" t="n"/>
      <c r="H120" s="29" t="n"/>
      <c r="I120" s="30" t="n"/>
      <c r="J120" s="30" t="n"/>
      <c r="K120" s="30" t="n"/>
      <c r="L120" s="30" t="n"/>
      <c r="M120" s="31" t="n"/>
      <c r="N120" s="29" t="n"/>
      <c r="O120" s="31" t="n"/>
    </row>
    <row r="121" ht="15" customHeight="1" s="16">
      <c r="A121" s="26" t="n">
        <v>120</v>
      </c>
      <c r="B121" s="26" t="n">
        <v>14</v>
      </c>
      <c r="C121" s="26" t="n">
        <v>5</v>
      </c>
      <c r="D121" s="27" t="inlineStr">
        <is>
          <t>膏壤沃野千里</t>
        </is>
      </c>
      <c r="E121" s="32" t="inlineStr">
        <is>
          <t>自虞夏之貢以為上田</t>
        </is>
      </c>
      <c r="F121" s="27" t="inlineStr">
        <is>
          <t>而公劉適邠</t>
        </is>
      </c>
      <c r="G121" s="26" t="inlineStr">
        <is>
          <t>●</t>
        </is>
      </c>
      <c r="H121" s="29" t="n"/>
      <c r="I121" s="30" t="n"/>
      <c r="J121" s="30" t="n"/>
      <c r="K121" s="30" t="n"/>
      <c r="L121" s="30" t="n"/>
      <c r="M121" s="31" t="n"/>
      <c r="N121" s="29" t="n"/>
      <c r="O121" s="31" t="n"/>
    </row>
    <row r="122" ht="15" customHeight="1" s="16">
      <c r="A122" s="26" t="n">
        <v>121</v>
      </c>
      <c r="B122" s="26" t="n">
        <v>14</v>
      </c>
      <c r="C122" s="26" t="n">
        <v>6</v>
      </c>
      <c r="D122" s="27" t="inlineStr">
        <is>
          <t>自虞夏之貢以為上田</t>
        </is>
      </c>
      <c r="E122" s="28" t="inlineStr">
        <is>
          <t>而公劉適邠</t>
        </is>
      </c>
      <c r="F122" s="27" t="inlineStr">
        <is>
          <t>大王</t>
        </is>
      </c>
      <c r="G122" s="26" t="n"/>
      <c r="H122" s="29" t="n"/>
      <c r="I122" s="30" t="n"/>
      <c r="J122" s="30" t="n"/>
      <c r="K122" s="30" t="n"/>
      <c r="L122" s="30" t="n"/>
      <c r="M122" s="31" t="n"/>
      <c r="N122" s="29" t="n"/>
      <c r="O122" s="31" t="n"/>
    </row>
    <row r="123" ht="15" customHeight="1" s="16">
      <c r="A123" s="26" t="n">
        <v>122</v>
      </c>
      <c r="B123" s="26" t="n">
        <v>14</v>
      </c>
      <c r="C123" s="26" t="n">
        <v>13</v>
      </c>
      <c r="D123" s="27" t="inlineStr">
        <is>
          <t>故其民猶有先王之遺風</t>
        </is>
      </c>
      <c r="E123" s="28" t="inlineStr">
        <is>
          <t>好稼穡</t>
        </is>
      </c>
      <c r="F123" s="27" t="inlineStr">
        <is>
          <t>殖五穀</t>
        </is>
      </c>
      <c r="G123" s="26" t="n"/>
      <c r="H123" s="29" t="n"/>
      <c r="I123" s="30" t="n"/>
      <c r="J123" s="30" t="n"/>
      <c r="K123" s="30" t="n"/>
      <c r="L123" s="30" t="n"/>
      <c r="M123" s="31" t="n"/>
      <c r="N123" s="29" t="n"/>
      <c r="O123" s="31" t="n"/>
    </row>
    <row r="124" ht="15" customHeight="1" s="16">
      <c r="A124" s="26" t="n">
        <v>123</v>
      </c>
      <c r="B124" s="26" t="n">
        <v>14</v>
      </c>
      <c r="C124" s="26" t="n">
        <v>14</v>
      </c>
      <c r="D124" s="27" t="inlineStr">
        <is>
          <t>好稼穡</t>
        </is>
      </c>
      <c r="E124" s="32" t="inlineStr">
        <is>
          <t>殖五穀</t>
        </is>
      </c>
      <c r="F124" s="27" t="inlineStr">
        <is>
          <t>地重</t>
        </is>
      </c>
      <c r="G124" s="26" t="inlineStr">
        <is>
          <t>●</t>
        </is>
      </c>
      <c r="H124" s="29" t="n"/>
      <c r="I124" s="30" t="n"/>
      <c r="J124" s="30" t="n"/>
      <c r="K124" s="30" t="n"/>
      <c r="L124" s="30" t="n"/>
      <c r="M124" s="31" t="n"/>
      <c r="N124" s="29" t="n"/>
      <c r="O124" s="31" t="n"/>
    </row>
    <row r="125" ht="15" customHeight="1" s="16">
      <c r="A125" s="26" t="n">
        <v>124</v>
      </c>
      <c r="B125" s="26" t="n">
        <v>14</v>
      </c>
      <c r="C125" s="26" t="n">
        <v>15</v>
      </c>
      <c r="D125" s="27" t="inlineStr">
        <is>
          <t>殖五穀</t>
        </is>
      </c>
      <c r="E125" s="28" t="inlineStr">
        <is>
          <t>地重</t>
        </is>
      </c>
      <c r="F125" s="27" t="inlineStr">
        <is>
          <t>重為邪</t>
        </is>
      </c>
      <c r="G125" s="26" t="n"/>
      <c r="H125" s="29" t="n"/>
      <c r="I125" s="30" t="n"/>
      <c r="J125" s="30" t="n"/>
      <c r="K125" s="30" t="n"/>
      <c r="L125" s="30" t="n"/>
      <c r="M125" s="31" t="n"/>
      <c r="N125" s="29" t="n"/>
      <c r="O125" s="31" t="n"/>
    </row>
    <row r="126" ht="15" customHeight="1" s="16">
      <c r="A126" s="26" t="n">
        <v>125</v>
      </c>
      <c r="B126" s="26" t="n">
        <v>14</v>
      </c>
      <c r="C126" s="26" t="n">
        <v>20</v>
      </c>
      <c r="D126" s="27" t="inlineStr">
        <is>
          <t>德</t>
        </is>
      </c>
      <c r="E126" s="28" t="inlineStr">
        <is>
          <t>繆居雍</t>
        </is>
      </c>
      <c r="F126" s="27" t="inlineStr">
        <is>
          <t>隙隴蜀之貨物而多賈</t>
        </is>
      </c>
      <c r="G126" s="26" t="n"/>
      <c r="H126" s="29" t="n"/>
      <c r="I126" s="30" t="n"/>
      <c r="J126" s="30" t="n"/>
      <c r="K126" s="30" t="n"/>
      <c r="L126" s="30" t="n"/>
      <c r="M126" s="31" t="n"/>
      <c r="N126" s="29" t="n"/>
      <c r="O126" s="31" t="n"/>
    </row>
    <row r="127" ht="15" customHeight="1" s="16">
      <c r="A127" s="26" t="n">
        <v>126</v>
      </c>
      <c r="B127" s="26" t="n">
        <v>14</v>
      </c>
      <c r="C127" s="26" t="n">
        <v>21</v>
      </c>
      <c r="D127" s="27" t="inlineStr">
        <is>
          <t>繆居雍</t>
        </is>
      </c>
      <c r="E127" s="32" t="inlineStr">
        <is>
          <t>隙隴蜀之貨物而多賈</t>
        </is>
      </c>
      <c r="F127" s="27" t="inlineStr">
        <is>
          <t>獻</t>
        </is>
      </c>
      <c r="G127" s="26" t="inlineStr">
        <is>
          <t>●</t>
        </is>
      </c>
      <c r="H127" s="29" t="n"/>
      <c r="I127" s="30" t="n"/>
      <c r="J127" s="30" t="n"/>
      <c r="K127" s="30" t="n"/>
      <c r="L127" s="30" t="n"/>
      <c r="M127" s="31" t="n"/>
      <c r="N127" s="29" t="n"/>
      <c r="O127" s="31" t="n"/>
    </row>
    <row r="128" ht="15" customHeight="1" s="16">
      <c r="A128" s="26" t="n">
        <v>127</v>
      </c>
      <c r="B128" s="26" t="n">
        <v>14</v>
      </c>
      <c r="C128" s="26" t="n">
        <v>22</v>
      </c>
      <c r="D128" s="27" t="inlineStr">
        <is>
          <t>隙隴蜀之貨物而多賈</t>
        </is>
      </c>
      <c r="E128" s="28" t="inlineStr">
        <is>
          <t>獻</t>
        </is>
      </c>
      <c r="F128" s="27" t="inlineStr">
        <is>
          <t>孝</t>
        </is>
      </c>
      <c r="G128" s="26" t="n"/>
      <c r="H128" s="29" t="n"/>
      <c r="I128" s="30" t="n"/>
      <c r="J128" s="30" t="n"/>
      <c r="K128" s="30" t="n"/>
      <c r="L128" s="30" t="n"/>
      <c r="M128" s="31" t="n"/>
      <c r="N128" s="29" t="n"/>
      <c r="O128" s="31" t="n"/>
    </row>
    <row r="129" ht="15" customHeight="1" s="16">
      <c r="A129" s="26" t="n">
        <v>128</v>
      </c>
      <c r="B129" s="26" t="n">
        <v>14</v>
      </c>
      <c r="C129" s="26" t="n">
        <v>26</v>
      </c>
      <c r="D129" s="27" t="inlineStr">
        <is>
          <t>櫟邑北卻戎翟</t>
        </is>
      </c>
      <c r="E129" s="28" t="inlineStr">
        <is>
          <t>東通三晉</t>
        </is>
      </c>
      <c r="F129" s="27" t="inlineStr">
        <is>
          <t>亦多大賈</t>
        </is>
      </c>
      <c r="G129" s="26" t="n"/>
      <c r="H129" s="29" t="n"/>
      <c r="I129" s="30" t="n"/>
      <c r="J129" s="30" t="n"/>
      <c r="K129" s="30" t="n"/>
      <c r="L129" s="30" t="n"/>
      <c r="M129" s="31" t="n"/>
      <c r="N129" s="29" t="n"/>
      <c r="O129" s="31" t="n"/>
    </row>
    <row r="130" ht="15" customHeight="1" s="16">
      <c r="A130" s="26" t="n">
        <v>129</v>
      </c>
      <c r="B130" s="26" t="n">
        <v>14</v>
      </c>
      <c r="C130" s="26" t="n">
        <v>27</v>
      </c>
      <c r="D130" s="27" t="inlineStr">
        <is>
          <t>東通三晉</t>
        </is>
      </c>
      <c r="E130" s="32" t="inlineStr">
        <is>
          <t>亦多大賈</t>
        </is>
      </c>
      <c r="F130" s="27" t="inlineStr">
        <is>
          <t>武</t>
        </is>
      </c>
      <c r="G130" s="26" t="inlineStr">
        <is>
          <t>●</t>
        </is>
      </c>
      <c r="H130" s="29" t="n"/>
      <c r="I130" s="30" t="n"/>
      <c r="J130" s="30" t="n"/>
      <c r="K130" s="30" t="n"/>
      <c r="L130" s="30" t="n"/>
      <c r="M130" s="31" t="n"/>
      <c r="N130" s="29" t="n"/>
      <c r="O130" s="31" t="n"/>
    </row>
    <row r="131" ht="15" customHeight="1" s="16">
      <c r="A131" s="26" t="n">
        <v>130</v>
      </c>
      <c r="B131" s="26" t="n">
        <v>14</v>
      </c>
      <c r="C131" s="26" t="n">
        <v>28</v>
      </c>
      <c r="D131" s="27" t="inlineStr">
        <is>
          <t>亦多大賈</t>
        </is>
      </c>
      <c r="E131" s="28" t="inlineStr">
        <is>
          <t>武</t>
        </is>
      </c>
      <c r="F131" s="27" t="inlineStr">
        <is>
          <t>孝</t>
        </is>
      </c>
      <c r="G131" s="26" t="n"/>
      <c r="H131" s="29" t="n"/>
      <c r="I131" s="30" t="n"/>
      <c r="J131" s="30" t="n"/>
      <c r="K131" s="30" t="n"/>
      <c r="L131" s="30" t="n"/>
      <c r="M131" s="31" t="n"/>
      <c r="N131" s="29" t="n"/>
      <c r="O131" s="31" t="n"/>
    </row>
    <row r="132" ht="15" customHeight="1" s="16">
      <c r="A132" s="26" t="n">
        <v>131</v>
      </c>
      <c r="B132" s="26" t="n">
        <v>14</v>
      </c>
      <c r="C132" s="26" t="n">
        <v>61</v>
      </c>
      <c r="D132" s="27" t="inlineStr">
        <is>
          <t>北地</t>
        </is>
      </c>
      <c r="E132" s="28" t="inlineStr">
        <is>
          <t>上郡與關中同俗</t>
        </is>
      </c>
      <c r="F132" s="27" t="inlineStr">
        <is>
          <t>然西有羌中之利</t>
        </is>
      </c>
      <c r="G132" s="26" t="n"/>
      <c r="H132" s="29" t="n"/>
      <c r="I132" s="30" t="n"/>
      <c r="J132" s="30" t="n"/>
      <c r="K132" s="30" t="n"/>
      <c r="L132" s="30" t="n"/>
      <c r="M132" s="31" t="n"/>
      <c r="N132" s="29" t="n"/>
      <c r="O132" s="31" t="n"/>
    </row>
    <row r="133" ht="15" customHeight="1" s="16">
      <c r="A133" s="26" t="n">
        <v>132</v>
      </c>
      <c r="B133" s="26" t="n">
        <v>14</v>
      </c>
      <c r="C133" s="26" t="n">
        <v>62</v>
      </c>
      <c r="D133" s="27" t="inlineStr">
        <is>
          <t>上郡與關中同俗</t>
        </is>
      </c>
      <c r="E133" s="32" t="inlineStr">
        <is>
          <t>然西有羌中之利</t>
        </is>
      </c>
      <c r="F133" s="27" t="inlineStr">
        <is>
          <t>北有戎翟之畜</t>
        </is>
      </c>
      <c r="G133" s="26" t="inlineStr">
        <is>
          <t>●</t>
        </is>
      </c>
      <c r="H133" s="29" t="n"/>
      <c r="I133" s="30" t="n"/>
      <c r="J133" s="30" t="n"/>
      <c r="K133" s="30" t="n"/>
      <c r="L133" s="30" t="n"/>
      <c r="M133" s="31" t="n"/>
      <c r="N133" s="29" t="n"/>
      <c r="O133" s="31" t="n"/>
    </row>
    <row r="134" ht="15" customHeight="1" s="16">
      <c r="A134" s="26" t="n">
        <v>133</v>
      </c>
      <c r="B134" s="26" t="n">
        <v>14</v>
      </c>
      <c r="C134" s="26" t="n">
        <v>63</v>
      </c>
      <c r="D134" s="27" t="inlineStr">
        <is>
          <t>然西有羌中之利</t>
        </is>
      </c>
      <c r="E134" s="28" t="inlineStr">
        <is>
          <t>北有戎翟之畜</t>
        </is>
      </c>
      <c r="F134" s="27" t="inlineStr">
        <is>
          <t>畜牧為天</t>
        </is>
      </c>
      <c r="G134" s="26" t="n"/>
      <c r="H134" s="29" t="n"/>
      <c r="I134" s="30" t="n"/>
      <c r="J134" s="30" t="n"/>
      <c r="K134" s="30" t="n"/>
      <c r="L134" s="30" t="n"/>
      <c r="M134" s="31" t="n"/>
      <c r="N134" s="29" t="n"/>
      <c r="O134" s="31" t="n"/>
    </row>
    <row r="135" ht="15" customHeight="1" s="16">
      <c r="A135" s="26" t="n">
        <v>134</v>
      </c>
      <c r="B135" s="26" t="n">
        <v>14</v>
      </c>
      <c r="C135" s="26" t="n">
        <v>69</v>
      </c>
      <c r="D135" s="27" t="inlineStr">
        <is>
          <t>故關中之地</t>
        </is>
      </c>
      <c r="E135" s="28" t="inlineStr">
        <is>
          <t>於天下三分之一</t>
        </is>
      </c>
      <c r="F135" s="27" t="inlineStr">
        <is>
          <t>而人眾不過什三</t>
        </is>
      </c>
      <c r="G135" s="26" t="n"/>
      <c r="H135" s="29" t="n"/>
      <c r="I135" s="30" t="n"/>
      <c r="J135" s="30" t="n"/>
      <c r="K135" s="30" t="n"/>
      <c r="L135" s="30" t="n"/>
      <c r="M135" s="31" t="n"/>
      <c r="N135" s="29" t="n"/>
      <c r="O135" s="31" t="n"/>
    </row>
    <row r="136" ht="15" customHeight="1" s="16">
      <c r="A136" s="26" t="n">
        <v>135</v>
      </c>
      <c r="B136" s="26" t="n">
        <v>14</v>
      </c>
      <c r="C136" s="26" t="n">
        <v>70</v>
      </c>
      <c r="D136" s="27" t="inlineStr">
        <is>
          <t>於天下三分之一</t>
        </is>
      </c>
      <c r="E136" s="32" t="inlineStr">
        <is>
          <t>而人眾不過什三</t>
        </is>
      </c>
      <c r="F136" s="27" t="inlineStr">
        <is>
          <t>然量其</t>
        </is>
      </c>
      <c r="G136" s="26" t="inlineStr">
        <is>
          <t>●</t>
        </is>
      </c>
      <c r="H136" s="29" t="n"/>
      <c r="I136" s="30" t="n"/>
      <c r="J136" s="30" t="n"/>
      <c r="K136" s="30" t="n"/>
      <c r="L136" s="30" t="n"/>
      <c r="M136" s="31" t="n"/>
      <c r="N136" s="29" t="n"/>
      <c r="O136" s="31" t="n"/>
    </row>
    <row r="137" ht="15" customHeight="1" s="16">
      <c r="A137" s="26" t="n">
        <v>136</v>
      </c>
      <c r="B137" s="26" t="n">
        <v>14</v>
      </c>
      <c r="C137" s="26" t="n">
        <v>71</v>
      </c>
      <c r="D137" s="27" t="inlineStr">
        <is>
          <t>而人眾不過什三</t>
        </is>
      </c>
      <c r="E137" s="28" t="inlineStr">
        <is>
          <t>然量其</t>
        </is>
      </c>
      <c r="F137" s="27" t="inlineStr">
        <is>
          <t>富</t>
        </is>
      </c>
      <c r="G137" s="26" t="n"/>
      <c r="H137" s="29" t="n"/>
      <c r="I137" s="30" t="n"/>
      <c r="J137" s="30" t="n"/>
      <c r="K137" s="30" t="n"/>
      <c r="L137" s="30" t="n"/>
      <c r="M137" s="31" t="n"/>
      <c r="N137" s="29" t="n"/>
      <c r="O137" s="31" t="n"/>
    </row>
    <row r="138" ht="15" customHeight="1" s="16">
      <c r="A138" s="26" t="n">
        <v>137</v>
      </c>
      <c r="B138" s="26" t="n">
        <v>14</v>
      </c>
      <c r="C138" s="26" t="n">
        <v>72</v>
      </c>
      <c r="D138" s="27" t="inlineStr">
        <is>
          <t>然量其</t>
        </is>
      </c>
      <c r="E138" s="32" t="inlineStr">
        <is>
          <t>富</t>
        </is>
      </c>
      <c r="F138" s="27" t="inlineStr">
        <is>
          <t>什居其六</t>
        </is>
      </c>
      <c r="G138" s="26" t="inlineStr">
        <is>
          <t>●</t>
        </is>
      </c>
      <c r="H138" s="29" t="n"/>
      <c r="I138" s="30" t="n"/>
      <c r="J138" s="30" t="n"/>
      <c r="K138" s="30" t="n"/>
      <c r="L138" s="30" t="n"/>
      <c r="M138" s="31" t="n"/>
      <c r="N138" s="29" t="n"/>
      <c r="O138" s="31" t="n"/>
    </row>
    <row r="139" ht="15" customHeight="1" s="16">
      <c r="A139" s="26" t="n">
        <v>138</v>
      </c>
      <c r="B139" s="26" t="n">
        <v>14</v>
      </c>
      <c r="C139" s="26" t="n">
        <v>73</v>
      </c>
      <c r="D139" s="27" t="inlineStr">
        <is>
          <t>富</t>
        </is>
      </c>
      <c r="E139" s="32" t="inlineStr">
        <is>
          <t>什居其六</t>
        </is>
      </c>
      <c r="F139" s="27" t="n"/>
      <c r="G139" s="26" t="inlineStr">
        <is>
          <t>●</t>
        </is>
      </c>
      <c r="H139" s="29" t="n"/>
      <c r="I139" s="30" t="n"/>
      <c r="J139" s="30" t="n"/>
      <c r="K139" s="30" t="n"/>
      <c r="L139" s="30" t="n"/>
      <c r="M139" s="31" t="n"/>
      <c r="N139" s="29" t="n"/>
      <c r="O139" s="31" t="n"/>
    </row>
    <row r="140" ht="15" customHeight="1" s="16">
      <c r="A140" s="26" t="n">
        <v>139</v>
      </c>
      <c r="B140" s="26" t="n">
        <v>15</v>
      </c>
      <c r="C140" s="26" t="n">
        <v>1</v>
      </c>
      <c r="D140" s="27" t="n"/>
      <c r="E140" s="28" t="inlineStr">
        <is>
          <t>昔唐人都河東</t>
        </is>
      </c>
      <c r="F140" s="27" t="inlineStr">
        <is>
          <t>殷人都河內</t>
        </is>
      </c>
      <c r="G140" s="26" t="n"/>
      <c r="H140" s="29" t="n"/>
      <c r="I140" s="30" t="n"/>
      <c r="J140" s="30" t="n"/>
      <c r="K140" s="30" t="n"/>
      <c r="L140" s="30" t="n"/>
      <c r="M140" s="31" t="n"/>
      <c r="N140" s="29" t="n"/>
      <c r="O140" s="31" t="n"/>
    </row>
    <row r="141" ht="15" customHeight="1" s="16">
      <c r="A141" s="26" t="n">
        <v>140</v>
      </c>
      <c r="B141" s="26" t="n">
        <v>15</v>
      </c>
      <c r="C141" s="26" t="n">
        <v>11</v>
      </c>
      <c r="D141" s="27" t="inlineStr">
        <is>
          <t>民人眾</t>
        </is>
      </c>
      <c r="E141" s="28" t="inlineStr">
        <is>
          <t>都國諸侯所聚會</t>
        </is>
      </c>
      <c r="F141" s="27" t="inlineStr">
        <is>
          <t>故其俗纖儉習事</t>
        </is>
      </c>
      <c r="G141" s="26" t="n"/>
      <c r="H141" s="29" t="n"/>
      <c r="I141" s="30" t="n"/>
      <c r="J141" s="30" t="n"/>
      <c r="K141" s="30" t="n"/>
      <c r="L141" s="30" t="n"/>
      <c r="M141" s="31" t="n"/>
      <c r="N141" s="29" t="n"/>
      <c r="O141" s="31" t="n"/>
    </row>
    <row r="142" ht="15" customHeight="1" s="16">
      <c r="A142" s="26" t="n">
        <v>141</v>
      </c>
      <c r="B142" s="26" t="n">
        <v>15</v>
      </c>
      <c r="C142" s="26" t="n">
        <v>12</v>
      </c>
      <c r="D142" s="27" t="inlineStr">
        <is>
          <t>都國諸侯所聚會</t>
        </is>
      </c>
      <c r="E142" s="32" t="inlineStr">
        <is>
          <t>故其俗纖儉習事</t>
        </is>
      </c>
      <c r="F142" s="27" t="inlineStr">
        <is>
          <t>楊</t>
        </is>
      </c>
      <c r="G142" s="26" t="inlineStr">
        <is>
          <t>●</t>
        </is>
      </c>
      <c r="H142" s="29" t="n"/>
      <c r="I142" s="30" t="n"/>
      <c r="J142" s="30" t="n"/>
      <c r="K142" s="30" t="n"/>
      <c r="L142" s="30" t="n"/>
      <c r="M142" s="31" t="n"/>
      <c r="N142" s="29" t="n"/>
      <c r="O142" s="31" t="n"/>
    </row>
    <row r="143" ht="15" customHeight="1" s="16">
      <c r="A143" s="26" t="n">
        <v>142</v>
      </c>
      <c r="B143" s="26" t="n">
        <v>15</v>
      </c>
      <c r="C143" s="26" t="n">
        <v>13</v>
      </c>
      <c r="D143" s="27" t="inlineStr">
        <is>
          <t>故其俗纖儉習事</t>
        </is>
      </c>
      <c r="E143" s="28" t="inlineStr">
        <is>
          <t>楊</t>
        </is>
      </c>
      <c r="F143" s="27" t="inlineStr">
        <is>
          <t>平陽陳西賈秦</t>
        </is>
      </c>
      <c r="G143" s="26" t="n"/>
      <c r="H143" s="29" t="n"/>
      <c r="I143" s="30" t="n"/>
      <c r="J143" s="30" t="n"/>
      <c r="K143" s="30" t="n"/>
      <c r="L143" s="30" t="n"/>
      <c r="M143" s="31" t="n"/>
      <c r="N143" s="29" t="n"/>
      <c r="O143" s="31" t="n"/>
    </row>
    <row r="144" ht="15" customHeight="1" s="16">
      <c r="A144" s="26" t="n">
        <v>143</v>
      </c>
      <c r="B144" s="26" t="n">
        <v>15</v>
      </c>
      <c r="C144" s="26" t="n">
        <v>14</v>
      </c>
      <c r="D144" s="27" t="inlineStr">
        <is>
          <t>楊</t>
        </is>
      </c>
      <c r="E144" s="32" t="inlineStr">
        <is>
          <t>平陽陳西賈秦</t>
        </is>
      </c>
      <c r="F144" s="27" t="inlineStr">
        <is>
          <t>翟</t>
        </is>
      </c>
      <c r="G144" s="26" t="inlineStr">
        <is>
          <t>●</t>
        </is>
      </c>
      <c r="H144" s="29" t="n"/>
      <c r="I144" s="30" t="n"/>
      <c r="J144" s="30" t="n"/>
      <c r="K144" s="30" t="n"/>
      <c r="L144" s="30" t="n"/>
      <c r="M144" s="31" t="n"/>
      <c r="N144" s="29" t="n"/>
      <c r="O144" s="31" t="n"/>
    </row>
    <row r="145" ht="15" customHeight="1" s="16">
      <c r="A145" s="26" t="n">
        <v>144</v>
      </c>
      <c r="B145" s="26" t="n">
        <v>15</v>
      </c>
      <c r="C145" s="26" t="n">
        <v>15</v>
      </c>
      <c r="D145" s="27" t="inlineStr">
        <is>
          <t>平陽陳西賈秦</t>
        </is>
      </c>
      <c r="E145" s="28" t="inlineStr">
        <is>
          <t>翟</t>
        </is>
      </c>
      <c r="F145" s="27" t="inlineStr">
        <is>
          <t>北</t>
        </is>
      </c>
      <c r="G145" s="26" t="n"/>
      <c r="H145" s="29" t="n"/>
      <c r="I145" s="30" t="n"/>
      <c r="J145" s="30" t="n"/>
      <c r="K145" s="30" t="n"/>
      <c r="L145" s="30" t="n"/>
      <c r="M145" s="31" t="n"/>
      <c r="N145" s="29" t="n"/>
      <c r="O145" s="31" t="n"/>
    </row>
    <row r="146" ht="15" customHeight="1" s="16">
      <c r="A146" s="26" t="n">
        <v>145</v>
      </c>
      <c r="B146" s="26" t="n">
        <v>15</v>
      </c>
      <c r="C146" s="26" t="n">
        <v>16</v>
      </c>
      <c r="D146" s="27" t="inlineStr">
        <is>
          <t>翟</t>
        </is>
      </c>
      <c r="E146" s="28" t="inlineStr">
        <is>
          <t>北</t>
        </is>
      </c>
      <c r="F146" s="27" t="inlineStr">
        <is>
          <t>賈種</t>
        </is>
      </c>
      <c r="G146" s="26" t="n"/>
      <c r="H146" s="29" t="n"/>
      <c r="I146" s="30" t="n"/>
      <c r="J146" s="30" t="n"/>
      <c r="K146" s="30" t="n"/>
      <c r="L146" s="30" t="n"/>
      <c r="M146" s="31" t="n"/>
      <c r="N146" s="29" t="n"/>
      <c r="O146" s="31" t="n"/>
    </row>
    <row r="147" ht="15" customHeight="1" s="16">
      <c r="A147" s="26" t="n">
        <v>146</v>
      </c>
      <c r="B147" s="26" t="n">
        <v>15</v>
      </c>
      <c r="C147" s="26" t="n">
        <v>17</v>
      </c>
      <c r="D147" s="27" t="inlineStr">
        <is>
          <t>北</t>
        </is>
      </c>
      <c r="E147" s="32" t="inlineStr">
        <is>
          <t>賈種</t>
        </is>
      </c>
      <c r="F147" s="27" t="inlineStr">
        <is>
          <t>代</t>
        </is>
      </c>
      <c r="G147" s="26" t="inlineStr">
        <is>
          <t>●</t>
        </is>
      </c>
      <c r="H147" s="29" t="n"/>
      <c r="I147" s="30" t="n"/>
      <c r="J147" s="30" t="n"/>
      <c r="K147" s="30" t="n"/>
      <c r="L147" s="30" t="n"/>
      <c r="M147" s="31" t="n"/>
      <c r="N147" s="29" t="n"/>
      <c r="O147" s="31" t="n"/>
    </row>
    <row r="148" ht="15" customHeight="1" s="16">
      <c r="A148" s="26" t="n">
        <v>147</v>
      </c>
      <c r="B148" s="26" t="n">
        <v>15</v>
      </c>
      <c r="C148" s="26" t="n">
        <v>18</v>
      </c>
      <c r="D148" s="27" t="inlineStr">
        <is>
          <t>賈種</t>
        </is>
      </c>
      <c r="E148" s="28" t="inlineStr">
        <is>
          <t>代</t>
        </is>
      </c>
      <c r="F148" s="27" t="inlineStr">
        <is>
          <t>種</t>
        </is>
      </c>
      <c r="G148" s="26" t="n"/>
      <c r="H148" s="29" t="n"/>
      <c r="I148" s="30" t="n"/>
      <c r="J148" s="30" t="n"/>
      <c r="K148" s="30" t="n"/>
      <c r="L148" s="30" t="n"/>
      <c r="M148" s="31" t="n"/>
      <c r="N148" s="29" t="n"/>
      <c r="O148" s="31" t="n"/>
    </row>
    <row r="149" ht="15" customHeight="1" s="16">
      <c r="A149" s="26" t="n">
        <v>148</v>
      </c>
      <c r="B149" s="26" t="n">
        <v>15</v>
      </c>
      <c r="C149" s="26" t="n">
        <v>26</v>
      </c>
      <c r="D149" s="27" t="inlineStr">
        <is>
          <t>好氣</t>
        </is>
      </c>
      <c r="E149" s="28" t="inlineStr">
        <is>
          <t>任俠為姦</t>
        </is>
      </c>
      <c r="F149" s="27" t="inlineStr">
        <is>
          <t>不事農商</t>
        </is>
      </c>
      <c r="G149" s="26" t="n"/>
      <c r="H149" s="29" t="n"/>
      <c r="I149" s="30" t="n"/>
      <c r="J149" s="30" t="n"/>
      <c r="K149" s="30" t="n"/>
      <c r="L149" s="30" t="n"/>
      <c r="M149" s="31" t="n"/>
      <c r="N149" s="29" t="n"/>
      <c r="O149" s="31" t="n"/>
    </row>
    <row r="150" ht="15" customHeight="1" s="16">
      <c r="A150" s="26" t="n">
        <v>149</v>
      </c>
      <c r="B150" s="26" t="n">
        <v>15</v>
      </c>
      <c r="C150" s="26" t="n">
        <v>27</v>
      </c>
      <c r="D150" s="27" t="inlineStr">
        <is>
          <t>任俠為姦</t>
        </is>
      </c>
      <c r="E150" s="32" t="inlineStr">
        <is>
          <t>不事農商</t>
        </is>
      </c>
      <c r="F150" s="27" t="inlineStr">
        <is>
          <t>然迫</t>
        </is>
      </c>
      <c r="G150" s="26" t="inlineStr">
        <is>
          <t>●</t>
        </is>
      </c>
      <c r="H150" s="29" t="n"/>
      <c r="I150" s="30" t="n"/>
      <c r="J150" s="30" t="n"/>
      <c r="K150" s="30" t="n"/>
      <c r="L150" s="30" t="n"/>
      <c r="M150" s="31" t="n"/>
      <c r="N150" s="29" t="n"/>
      <c r="O150" s="31" t="n"/>
    </row>
    <row r="151" ht="15" customHeight="1" s="16">
      <c r="A151" s="26" t="n">
        <v>150</v>
      </c>
      <c r="B151" s="26" t="n">
        <v>15</v>
      </c>
      <c r="C151" s="26" t="n">
        <v>28</v>
      </c>
      <c r="D151" s="27" t="inlineStr">
        <is>
          <t>不事農商</t>
        </is>
      </c>
      <c r="E151" s="28" t="inlineStr">
        <is>
          <t>然迫</t>
        </is>
      </c>
      <c r="F151" s="27" t="inlineStr">
        <is>
          <t>近北夷</t>
        </is>
      </c>
      <c r="G151" s="26" t="n"/>
      <c r="H151" s="29" t="n"/>
      <c r="I151" s="30" t="n"/>
      <c r="J151" s="30" t="n"/>
      <c r="K151" s="30" t="n"/>
      <c r="L151" s="30" t="n"/>
      <c r="M151" s="31" t="n"/>
      <c r="N151" s="29" t="n"/>
      <c r="O151" s="31" t="n"/>
    </row>
    <row r="152" ht="15" customHeight="1" s="16">
      <c r="A152" s="26" t="n">
        <v>151</v>
      </c>
      <c r="B152" s="26" t="n">
        <v>15</v>
      </c>
      <c r="C152" s="26" t="n">
        <v>30</v>
      </c>
      <c r="D152" s="27" t="inlineStr">
        <is>
          <t>近北夷</t>
        </is>
      </c>
      <c r="E152" s="28" t="inlineStr">
        <is>
          <t>師旅亟往</t>
        </is>
      </c>
      <c r="F152" s="27" t="inlineStr">
        <is>
          <t>中國委輸時有奇羨</t>
        </is>
      </c>
      <c r="G152" s="26" t="n"/>
      <c r="H152" s="29" t="n"/>
      <c r="I152" s="30" t="n"/>
      <c r="J152" s="30" t="n"/>
      <c r="K152" s="30" t="n"/>
      <c r="L152" s="30" t="n"/>
      <c r="M152" s="31" t="n"/>
      <c r="N152" s="29" t="n"/>
      <c r="O152" s="31" t="n"/>
    </row>
    <row r="153" ht="15" customHeight="1" s="16">
      <c r="A153" s="26" t="n">
        <v>152</v>
      </c>
      <c r="B153" s="26" t="n">
        <v>15</v>
      </c>
      <c r="C153" s="26" t="n">
        <v>31</v>
      </c>
      <c r="D153" s="27" t="inlineStr">
        <is>
          <t>師旅亟往</t>
        </is>
      </c>
      <c r="E153" s="32" t="inlineStr">
        <is>
          <t>中國委輸時有奇羨</t>
        </is>
      </c>
      <c r="F153" s="27" t="inlineStr">
        <is>
          <t>其民羯羠不均</t>
        </is>
      </c>
      <c r="G153" s="26" t="inlineStr">
        <is>
          <t>●</t>
        </is>
      </c>
      <c r="H153" s="29" t="n"/>
      <c r="I153" s="30" t="n"/>
      <c r="J153" s="30" t="n"/>
      <c r="K153" s="30" t="n"/>
      <c r="L153" s="30" t="n"/>
      <c r="M153" s="31" t="n"/>
      <c r="N153" s="29" t="n"/>
      <c r="O153" s="31" t="n"/>
    </row>
    <row r="154" ht="29.85" customHeight="1" s="16">
      <c r="A154" s="26" t="n">
        <v>153</v>
      </c>
      <c r="B154" s="26" t="n">
        <v>15</v>
      </c>
      <c r="C154" s="26" t="n">
        <v>32</v>
      </c>
      <c r="D154" s="27" t="inlineStr">
        <is>
          <t>中國委輸時有奇羨</t>
        </is>
      </c>
      <c r="E154" s="28" t="inlineStr">
        <is>
          <t>其民羯羠不均</t>
        </is>
      </c>
      <c r="F154" s="27" t="inlineStr">
        <is>
          <t>自全晉之時固已患其僄悍</t>
        </is>
      </c>
      <c r="G154" s="26" t="n"/>
      <c r="H154" s="29" t="n"/>
      <c r="I154" s="30" t="n"/>
      <c r="J154" s="30" t="n"/>
      <c r="K154" s="30" t="n"/>
      <c r="L154" s="30" t="n"/>
      <c r="M154" s="31" t="n"/>
      <c r="N154" s="29" t="n"/>
      <c r="O154" s="31" t="n"/>
    </row>
    <row r="155" ht="15" customHeight="1" s="16">
      <c r="A155" s="26" t="n">
        <v>154</v>
      </c>
      <c r="B155" s="26" t="n">
        <v>15</v>
      </c>
      <c r="C155" s="26" t="n">
        <v>40</v>
      </c>
      <c r="D155" s="27" t="inlineStr">
        <is>
          <t>得所欲</t>
        </is>
      </c>
      <c r="E155" s="28" t="inlineStr">
        <is>
          <t>溫</t>
        </is>
      </c>
      <c r="F155" s="27" t="inlineStr">
        <is>
          <t>軹西賈上黨</t>
        </is>
      </c>
      <c r="G155" s="26" t="n"/>
      <c r="H155" s="29" t="n"/>
      <c r="I155" s="30" t="n"/>
      <c r="J155" s="30" t="n"/>
      <c r="K155" s="30" t="n"/>
      <c r="L155" s="30" t="n"/>
      <c r="M155" s="31" t="n"/>
      <c r="N155" s="29" t="n"/>
      <c r="O155" s="31" t="n"/>
    </row>
    <row r="156" ht="15" customHeight="1" s="16">
      <c r="A156" s="26" t="n">
        <v>155</v>
      </c>
      <c r="B156" s="26" t="n">
        <v>15</v>
      </c>
      <c r="C156" s="26" t="n">
        <v>41</v>
      </c>
      <c r="D156" s="27" t="inlineStr">
        <is>
          <t>溫</t>
        </is>
      </c>
      <c r="E156" s="32" t="inlineStr">
        <is>
          <t>軹西賈上黨</t>
        </is>
      </c>
      <c r="F156" s="27" t="inlineStr">
        <is>
          <t>北賈趙</t>
        </is>
      </c>
      <c r="G156" s="26" t="inlineStr">
        <is>
          <t>●</t>
        </is>
      </c>
      <c r="H156" s="29" t="n"/>
      <c r="I156" s="30" t="n"/>
      <c r="J156" s="30" t="n"/>
      <c r="K156" s="30" t="n"/>
      <c r="L156" s="30" t="n"/>
      <c r="M156" s="31" t="n"/>
      <c r="N156" s="29" t="n"/>
      <c r="O156" s="31" t="n"/>
    </row>
    <row r="157" ht="15" customHeight="1" s="16">
      <c r="A157" s="26" t="n">
        <v>156</v>
      </c>
      <c r="B157" s="26" t="n">
        <v>15</v>
      </c>
      <c r="C157" s="26" t="n">
        <v>42</v>
      </c>
      <c r="D157" s="27" t="inlineStr">
        <is>
          <t>軹西賈上黨</t>
        </is>
      </c>
      <c r="E157" s="32" t="inlineStr">
        <is>
          <t>北賈趙</t>
        </is>
      </c>
      <c r="F157" s="27" t="inlineStr">
        <is>
          <t>中山</t>
        </is>
      </c>
      <c r="G157" s="26" t="inlineStr">
        <is>
          <t>●</t>
        </is>
      </c>
      <c r="H157" s="29" t="n"/>
      <c r="I157" s="30" t="n"/>
      <c r="J157" s="30" t="n"/>
      <c r="K157" s="30" t="n"/>
      <c r="L157" s="30" t="n"/>
      <c r="M157" s="31" t="n"/>
      <c r="N157" s="29" t="n"/>
      <c r="O157" s="31" t="n"/>
    </row>
    <row r="158" ht="15" customHeight="1" s="16">
      <c r="A158" s="26" t="n">
        <v>157</v>
      </c>
      <c r="B158" s="26" t="n">
        <v>15</v>
      </c>
      <c r="C158" s="26" t="n">
        <v>43</v>
      </c>
      <c r="D158" s="27" t="inlineStr">
        <is>
          <t>北賈趙</t>
        </is>
      </c>
      <c r="E158" s="28" t="inlineStr">
        <is>
          <t>中山</t>
        </is>
      </c>
      <c r="F158" s="27" t="inlineStr">
        <is>
          <t>中山地薄人眾</t>
        </is>
      </c>
      <c r="G158" s="26" t="n"/>
      <c r="H158" s="29" t="n"/>
      <c r="I158" s="30" t="n"/>
      <c r="J158" s="30" t="n"/>
      <c r="K158" s="30" t="n"/>
      <c r="L158" s="30" t="n"/>
      <c r="M158" s="31" t="n"/>
      <c r="N158" s="29" t="n"/>
      <c r="O158" s="31" t="n"/>
    </row>
    <row r="159" ht="15" customHeight="1" s="16">
      <c r="A159" s="26" t="n">
        <v>158</v>
      </c>
      <c r="B159" s="26" t="n">
        <v>15</v>
      </c>
      <c r="C159" s="26" t="n">
        <v>46</v>
      </c>
      <c r="D159" s="27" t="inlineStr">
        <is>
          <t>猶有沙丘紂淫地餘民</t>
        </is>
      </c>
      <c r="E159" s="28" t="inlineStr">
        <is>
          <t>民俗懁急</t>
        </is>
      </c>
      <c r="F159" s="27" t="inlineStr">
        <is>
          <t>仰機利而食</t>
        </is>
      </c>
      <c r="G159" s="26" t="n"/>
      <c r="H159" s="29" t="n"/>
      <c r="I159" s="30" t="n"/>
      <c r="J159" s="30" t="n"/>
      <c r="K159" s="30" t="n"/>
      <c r="L159" s="30" t="n"/>
      <c r="M159" s="31" t="n"/>
      <c r="N159" s="29" t="n"/>
      <c r="O159" s="31" t="n"/>
    </row>
    <row r="160" ht="15" customHeight="1" s="16">
      <c r="A160" s="26" t="n">
        <v>159</v>
      </c>
      <c r="B160" s="26" t="n">
        <v>15</v>
      </c>
      <c r="C160" s="26" t="n">
        <v>47</v>
      </c>
      <c r="D160" s="27" t="inlineStr">
        <is>
          <t>民俗懁急</t>
        </is>
      </c>
      <c r="E160" s="32" t="inlineStr">
        <is>
          <t>仰機利而食</t>
        </is>
      </c>
      <c r="F160" s="27" t="inlineStr">
        <is>
          <t>丈夫相聚游戲</t>
        </is>
      </c>
      <c r="G160" s="26" t="inlineStr">
        <is>
          <t>●</t>
        </is>
      </c>
      <c r="H160" s="29" t="n"/>
      <c r="I160" s="30" t="n"/>
      <c r="J160" s="30" t="n"/>
      <c r="K160" s="30" t="n"/>
      <c r="L160" s="30" t="n"/>
      <c r="M160" s="31" t="n"/>
      <c r="N160" s="29" t="n"/>
      <c r="O160" s="31" t="n"/>
    </row>
    <row r="161" ht="15" customHeight="1" s="16">
      <c r="A161" s="26" t="n">
        <v>160</v>
      </c>
      <c r="B161" s="26" t="n">
        <v>15</v>
      </c>
      <c r="C161" s="26" t="n">
        <v>48</v>
      </c>
      <c r="D161" s="27" t="inlineStr">
        <is>
          <t>仰機利而食</t>
        </is>
      </c>
      <c r="E161" s="28" t="inlineStr">
        <is>
          <t>丈夫相聚游戲</t>
        </is>
      </c>
      <c r="F161" s="27" t="inlineStr">
        <is>
          <t>悲歌慨</t>
        </is>
      </c>
      <c r="G161" s="26" t="n"/>
      <c r="H161" s="29" t="n"/>
      <c r="I161" s="30" t="n"/>
      <c r="J161" s="30" t="n"/>
      <c r="K161" s="30" t="n"/>
      <c r="L161" s="30" t="n"/>
      <c r="M161" s="31" t="n"/>
      <c r="N161" s="29" t="n"/>
      <c r="O161" s="31" t="n"/>
    </row>
    <row r="162" ht="15" customHeight="1" s="16">
      <c r="A162" s="26" t="n">
        <v>161</v>
      </c>
      <c r="B162" s="26" t="n">
        <v>15</v>
      </c>
      <c r="C162" s="26" t="n">
        <v>56</v>
      </c>
      <c r="D162" s="27" t="inlineStr">
        <is>
          <t>女子則鼓鳴瑟</t>
        </is>
      </c>
      <c r="E162" s="28" t="inlineStr">
        <is>
          <t>跕屣</t>
        </is>
      </c>
      <c r="F162" s="27" t="inlineStr">
        <is>
          <t>游媚貴富</t>
        </is>
      </c>
      <c r="G162" s="26" t="n"/>
      <c r="H162" s="29" t="n"/>
      <c r="I162" s="30" t="n"/>
      <c r="J162" s="30" t="n"/>
      <c r="K162" s="30" t="n"/>
      <c r="L162" s="30" t="n"/>
      <c r="M162" s="31" t="n"/>
      <c r="N162" s="29" t="n"/>
      <c r="O162" s="31" t="n"/>
    </row>
    <row r="163" ht="15" customHeight="1" s="16">
      <c r="A163" s="26" t="n">
        <v>162</v>
      </c>
      <c r="B163" s="26" t="n">
        <v>15</v>
      </c>
      <c r="C163" s="26" t="n">
        <v>57</v>
      </c>
      <c r="D163" s="27" t="inlineStr">
        <is>
          <t>跕屣</t>
        </is>
      </c>
      <c r="E163" s="32" t="inlineStr">
        <is>
          <t>游媚貴富</t>
        </is>
      </c>
      <c r="F163" s="27" t="inlineStr">
        <is>
          <t>入後宮</t>
        </is>
      </c>
      <c r="G163" s="26" t="inlineStr">
        <is>
          <t>●</t>
        </is>
      </c>
      <c r="H163" s="29" t="n"/>
      <c r="I163" s="30" t="n"/>
      <c r="J163" s="30" t="n"/>
      <c r="K163" s="30" t="n"/>
      <c r="L163" s="30" t="n"/>
      <c r="M163" s="31" t="n"/>
      <c r="N163" s="29" t="n"/>
      <c r="O163" s="31" t="n"/>
    </row>
    <row r="164" ht="15" customHeight="1" s="16">
      <c r="A164" s="26" t="n">
        <v>163</v>
      </c>
      <c r="B164" s="26" t="n">
        <v>15</v>
      </c>
      <c r="C164" s="26" t="n">
        <v>58</v>
      </c>
      <c r="D164" s="27" t="inlineStr">
        <is>
          <t>游媚貴富</t>
        </is>
      </c>
      <c r="E164" s="28" t="inlineStr">
        <is>
          <t>入後宮</t>
        </is>
      </c>
      <c r="F164" s="27" t="inlineStr">
        <is>
          <t>遍諸</t>
        </is>
      </c>
      <c r="G164" s="26" t="n"/>
      <c r="H164" s="29" t="n"/>
      <c r="I164" s="30" t="n"/>
      <c r="J164" s="30" t="n"/>
      <c r="K164" s="30" t="n"/>
      <c r="L164" s="30" t="n"/>
      <c r="M164" s="31" t="n"/>
      <c r="N164" s="29" t="n"/>
      <c r="O164" s="31" t="n"/>
    </row>
    <row r="165" ht="15" customHeight="1" s="16">
      <c r="A165" s="26" t="n">
        <v>164</v>
      </c>
      <c r="B165" s="26" t="n">
        <v>18</v>
      </c>
      <c r="C165" s="26" t="n">
        <v>18</v>
      </c>
      <c r="D165" s="27" t="inlineStr">
        <is>
          <t>朝鮮</t>
        </is>
      </c>
      <c r="E165" s="28" t="inlineStr">
        <is>
          <t>真番</t>
        </is>
      </c>
      <c r="F165" s="27" t="inlineStr">
        <is>
          <t>之利</t>
        </is>
      </c>
      <c r="G165" s="26" t="n"/>
      <c r="H165" s="29" t="n"/>
      <c r="I165" s="30" t="n"/>
      <c r="J165" s="30" t="n"/>
      <c r="K165" s="30" t="n"/>
      <c r="L165" s="30" t="n"/>
      <c r="M165" s="31" t="n"/>
      <c r="N165" s="29" t="n"/>
      <c r="O165" s="31" t="n"/>
    </row>
    <row r="166" ht="15" customHeight="1" s="16">
      <c r="A166" s="26" t="n">
        <v>165</v>
      </c>
      <c r="B166" s="26" t="n">
        <v>18</v>
      </c>
      <c r="C166" s="26" t="n">
        <v>19</v>
      </c>
      <c r="D166" s="27" t="inlineStr">
        <is>
          <t>真番</t>
        </is>
      </c>
      <c r="E166" s="32" t="inlineStr">
        <is>
          <t>之利</t>
        </is>
      </c>
      <c r="F166" s="27" t="n"/>
      <c r="G166" s="26" t="inlineStr">
        <is>
          <t>●</t>
        </is>
      </c>
      <c r="H166" s="29" t="n"/>
      <c r="I166" s="30" t="n"/>
      <c r="J166" s="30" t="n"/>
      <c r="K166" s="30" t="n"/>
      <c r="L166" s="30" t="n"/>
      <c r="M166" s="31" t="n"/>
      <c r="N166" s="29" t="n"/>
      <c r="O166" s="31" t="n"/>
    </row>
    <row r="167" ht="15" customHeight="1" s="16">
      <c r="A167" s="26" t="n">
        <v>166</v>
      </c>
      <c r="B167" s="26" t="n">
        <v>19</v>
      </c>
      <c r="C167" s="26" t="n">
        <v>1</v>
      </c>
      <c r="D167" s="27" t="n"/>
      <c r="E167" s="32" t="inlineStr">
        <is>
          <t>洛陽東賈齊</t>
        </is>
      </c>
      <c r="F167" s="27" t="inlineStr">
        <is>
          <t>魯</t>
        </is>
      </c>
      <c r="G167" s="26" t="inlineStr">
        <is>
          <t>●</t>
        </is>
      </c>
      <c r="H167" s="29" t="n"/>
      <c r="I167" s="30" t="n"/>
      <c r="J167" s="30" t="n"/>
      <c r="K167" s="30" t="n"/>
      <c r="L167" s="30" t="n"/>
      <c r="M167" s="31" t="n"/>
      <c r="N167" s="29" t="n"/>
      <c r="O167" s="31" t="n"/>
    </row>
    <row r="168" ht="15" customHeight="1" s="16">
      <c r="A168" s="26" t="n">
        <v>167</v>
      </c>
      <c r="B168" s="26" t="n">
        <v>19</v>
      </c>
      <c r="C168" s="26" t="n">
        <v>2</v>
      </c>
      <c r="D168" s="27" t="inlineStr">
        <is>
          <t>洛陽東賈齊</t>
        </is>
      </c>
      <c r="E168" s="28" t="inlineStr">
        <is>
          <t>魯</t>
        </is>
      </c>
      <c r="F168" s="27" t="inlineStr">
        <is>
          <t>南賈梁</t>
        </is>
      </c>
      <c r="G168" s="26" t="n"/>
      <c r="H168" s="29" t="n"/>
      <c r="I168" s="30" t="n"/>
      <c r="J168" s="30" t="n"/>
      <c r="K168" s="30" t="n"/>
      <c r="L168" s="30" t="n"/>
      <c r="M168" s="31" t="n"/>
      <c r="N168" s="29" t="n"/>
      <c r="O168" s="31" t="n"/>
    </row>
    <row r="169" ht="15" customHeight="1" s="16">
      <c r="A169" s="26" t="n">
        <v>168</v>
      </c>
      <c r="B169" s="26" t="n">
        <v>19</v>
      </c>
      <c r="C169" s="26" t="n">
        <v>3</v>
      </c>
      <c r="D169" s="27" t="inlineStr">
        <is>
          <t>魯</t>
        </is>
      </c>
      <c r="E169" s="32" t="inlineStr">
        <is>
          <t>南賈梁</t>
        </is>
      </c>
      <c r="F169" s="27" t="inlineStr">
        <is>
          <t>楚</t>
        </is>
      </c>
      <c r="G169" s="26" t="inlineStr">
        <is>
          <t>●</t>
        </is>
      </c>
      <c r="H169" s="29" t="n"/>
      <c r="I169" s="30" t="n"/>
      <c r="J169" s="30" t="n"/>
      <c r="K169" s="30" t="n"/>
      <c r="L169" s="30" t="n"/>
      <c r="M169" s="31" t="n"/>
      <c r="N169" s="29" t="n"/>
      <c r="O169" s="31" t="n"/>
    </row>
    <row r="170" ht="15" customHeight="1" s="16">
      <c r="A170" s="26" t="n">
        <v>169</v>
      </c>
      <c r="B170" s="26" t="n">
        <v>19</v>
      </c>
      <c r="C170" s="26" t="n">
        <v>4</v>
      </c>
      <c r="D170" s="27" t="inlineStr">
        <is>
          <t>南賈梁</t>
        </is>
      </c>
      <c r="E170" s="28" t="inlineStr">
        <is>
          <t>楚</t>
        </is>
      </c>
      <c r="F170" s="27" t="inlineStr">
        <is>
          <t>故泰山之陽則魯</t>
        </is>
      </c>
      <c r="G170" s="26" t="n"/>
      <c r="H170" s="29" t="n"/>
      <c r="I170" s="30" t="n"/>
      <c r="J170" s="30" t="n"/>
      <c r="K170" s="30" t="n"/>
      <c r="L170" s="30" t="n"/>
      <c r="M170" s="31" t="n"/>
      <c r="N170" s="29" t="n"/>
      <c r="O170" s="31" t="n"/>
    </row>
    <row r="171" ht="15" customHeight="1" s="16">
      <c r="A171" s="26" t="n">
        <v>170</v>
      </c>
      <c r="B171" s="26" t="n">
        <v>20</v>
      </c>
      <c r="C171" s="26" t="n">
        <v>11</v>
      </c>
      <c r="D171" s="27" t="inlineStr">
        <is>
          <t>饒</t>
        </is>
      </c>
      <c r="E171" s="28" t="inlineStr">
        <is>
          <t>地小人眾</t>
        </is>
      </c>
      <c r="F171" s="27" t="inlineStr">
        <is>
          <t>儉嗇</t>
        </is>
      </c>
      <c r="G171" s="26" t="n"/>
      <c r="H171" s="29" t="n"/>
      <c r="I171" s="30" t="n"/>
      <c r="J171" s="30" t="n"/>
      <c r="K171" s="30" t="n"/>
      <c r="L171" s="30" t="n"/>
      <c r="M171" s="31" t="n"/>
      <c r="N171" s="29" t="n"/>
      <c r="O171" s="31" t="n"/>
    </row>
    <row r="172" ht="15" customHeight="1" s="16">
      <c r="A172" s="26" t="n">
        <v>171</v>
      </c>
      <c r="B172" s="26" t="n">
        <v>20</v>
      </c>
      <c r="C172" s="26" t="n">
        <v>12</v>
      </c>
      <c r="D172" s="27" t="inlineStr">
        <is>
          <t>地小人眾</t>
        </is>
      </c>
      <c r="E172" s="32" t="inlineStr">
        <is>
          <t>儉嗇</t>
        </is>
      </c>
      <c r="F172" s="27" t="inlineStr">
        <is>
          <t>畏罪遠邪</t>
        </is>
      </c>
      <c r="G172" s="26" t="inlineStr">
        <is>
          <t>●</t>
        </is>
      </c>
      <c r="H172" s="29" t="n"/>
      <c r="I172" s="30" t="n"/>
      <c r="J172" s="30" t="n"/>
      <c r="K172" s="30" t="n"/>
      <c r="L172" s="30" t="n"/>
      <c r="M172" s="31" t="n"/>
      <c r="N172" s="29" t="n"/>
      <c r="O172" s="31" t="n"/>
    </row>
    <row r="173" ht="15" customHeight="1" s="16">
      <c r="A173" s="26" t="n">
        <v>172</v>
      </c>
      <c r="B173" s="26" t="n">
        <v>20</v>
      </c>
      <c r="C173" s="26" t="n">
        <v>13</v>
      </c>
      <c r="D173" s="27" t="inlineStr">
        <is>
          <t>儉嗇</t>
        </is>
      </c>
      <c r="E173" s="28" t="inlineStr">
        <is>
          <t>畏罪遠邪</t>
        </is>
      </c>
      <c r="F173" s="27" t="inlineStr">
        <is>
          <t>及其衰</t>
        </is>
      </c>
      <c r="G173" s="26" t="n"/>
      <c r="H173" s="29" t="n"/>
      <c r="I173" s="30" t="n"/>
      <c r="J173" s="30" t="n"/>
      <c r="K173" s="30" t="n"/>
      <c r="L173" s="30" t="n"/>
      <c r="M173" s="31" t="n"/>
      <c r="N173" s="29" t="n"/>
      <c r="O173" s="31" t="n"/>
    </row>
    <row r="174" ht="15" customHeight="1" s="16">
      <c r="A174" s="26" t="n">
        <v>173</v>
      </c>
      <c r="B174" s="26" t="n">
        <v>20</v>
      </c>
      <c r="C174" s="26" t="n">
        <v>14</v>
      </c>
      <c r="D174" s="27" t="inlineStr">
        <is>
          <t>畏罪遠邪</t>
        </is>
      </c>
      <c r="E174" s="28" t="inlineStr">
        <is>
          <t>及其衰</t>
        </is>
      </c>
      <c r="F174" s="27" t="inlineStr">
        <is>
          <t>好賈趨利</t>
        </is>
      </c>
      <c r="G174" s="26" t="n"/>
      <c r="H174" s="29" t="n"/>
      <c r="I174" s="30" t="n"/>
      <c r="J174" s="30" t="n"/>
      <c r="K174" s="30" t="n"/>
      <c r="L174" s="30" t="n"/>
      <c r="M174" s="31" t="n"/>
      <c r="N174" s="29" t="n"/>
      <c r="O174" s="31" t="n"/>
    </row>
    <row r="175" ht="15" customHeight="1" s="16">
      <c r="A175" s="26" t="n">
        <v>174</v>
      </c>
      <c r="B175" s="26" t="n">
        <v>20</v>
      </c>
      <c r="C175" s="26" t="n">
        <v>15</v>
      </c>
      <c r="D175" s="27" t="inlineStr">
        <is>
          <t>及其衰</t>
        </is>
      </c>
      <c r="E175" s="32" t="inlineStr">
        <is>
          <t>好賈趨利</t>
        </is>
      </c>
      <c r="F175" s="27" t="inlineStr">
        <is>
          <t>甚於周人</t>
        </is>
      </c>
      <c r="G175" s="26" t="inlineStr">
        <is>
          <t>●</t>
        </is>
      </c>
      <c r="H175" s="29" t="n"/>
      <c r="I175" s="30" t="n"/>
      <c r="J175" s="30" t="n"/>
      <c r="K175" s="30" t="n"/>
      <c r="L175" s="30" t="n"/>
      <c r="M175" s="31" t="n"/>
      <c r="N175" s="29" t="n"/>
      <c r="O175" s="31" t="n"/>
    </row>
    <row r="176" ht="15" customHeight="1" s="16">
      <c r="A176" s="26" t="n">
        <v>175</v>
      </c>
      <c r="B176" s="26" t="n">
        <v>20</v>
      </c>
      <c r="C176" s="26" t="n">
        <v>16</v>
      </c>
      <c r="D176" s="27" t="inlineStr">
        <is>
          <t>好賈趨利</t>
        </is>
      </c>
      <c r="E176" s="28" t="inlineStr">
        <is>
          <t>甚於周人</t>
        </is>
      </c>
      <c r="F176" s="27" t="n"/>
      <c r="G176" s="26" t="n"/>
      <c r="H176" s="29" t="n"/>
      <c r="I176" s="30" t="n"/>
      <c r="J176" s="30" t="n"/>
      <c r="K176" s="30" t="n"/>
      <c r="L176" s="30" t="n"/>
      <c r="M176" s="31" t="n"/>
      <c r="N176" s="29" t="n"/>
      <c r="O176" s="31" t="n"/>
    </row>
    <row r="177" ht="15" customHeight="1" s="16">
      <c r="A177" s="26" t="n">
        <v>176</v>
      </c>
      <c r="B177" s="26" t="n">
        <v>22</v>
      </c>
      <c r="C177" s="26" t="n">
        <v>17</v>
      </c>
      <c r="D177" s="27" t="inlineStr">
        <is>
          <t>東有雲夢之饒</t>
        </is>
      </c>
      <c r="E177" s="28" t="inlineStr">
        <is>
          <t>陳在楚夏之交</t>
        </is>
      </c>
      <c r="F177" s="27" t="inlineStr">
        <is>
          <t>通魚鹽之貨</t>
        </is>
      </c>
      <c r="G177" s="26" t="n"/>
      <c r="H177" s="29" t="n"/>
      <c r="I177" s="30" t="n"/>
      <c r="J177" s="30" t="n"/>
      <c r="K177" s="30" t="n"/>
      <c r="L177" s="30" t="n"/>
      <c r="M177" s="31" t="n"/>
      <c r="N177" s="29" t="n"/>
      <c r="O177" s="31" t="n"/>
    </row>
    <row r="178" ht="15" customHeight="1" s="16">
      <c r="A178" s="26" t="n">
        <v>177</v>
      </c>
      <c r="B178" s="26" t="n">
        <v>22</v>
      </c>
      <c r="C178" s="26" t="n">
        <v>18</v>
      </c>
      <c r="D178" s="27" t="inlineStr">
        <is>
          <t>陳在楚夏之交</t>
        </is>
      </c>
      <c r="E178" s="32" t="inlineStr">
        <is>
          <t>通魚鹽之貨</t>
        </is>
      </c>
      <c r="F178" s="27" t="inlineStr">
        <is>
          <t>其民多賈</t>
        </is>
      </c>
      <c r="G178" s="26" t="inlineStr">
        <is>
          <t>●</t>
        </is>
      </c>
      <c r="H178" s="29" t="n"/>
      <c r="I178" s="30" t="n"/>
      <c r="J178" s="30" t="n"/>
      <c r="K178" s="30" t="n"/>
      <c r="L178" s="30" t="n"/>
      <c r="M178" s="31" t="n"/>
      <c r="N178" s="29" t="n"/>
      <c r="O178" s="31" t="n"/>
    </row>
    <row r="179" ht="15" customHeight="1" s="16">
      <c r="A179" s="26" t="n">
        <v>178</v>
      </c>
      <c r="B179" s="26" t="n">
        <v>22</v>
      </c>
      <c r="C179" s="26" t="n">
        <v>19</v>
      </c>
      <c r="D179" s="27" t="inlineStr">
        <is>
          <t>通魚鹽之貨</t>
        </is>
      </c>
      <c r="E179" s="32" t="inlineStr">
        <is>
          <t>其民多賈</t>
        </is>
      </c>
      <c r="F179" s="27" t="inlineStr">
        <is>
          <t>徐</t>
        </is>
      </c>
      <c r="G179" s="26" t="inlineStr">
        <is>
          <t>●</t>
        </is>
      </c>
      <c r="H179" s="29" t="n"/>
      <c r="I179" s="30" t="n"/>
      <c r="J179" s="30" t="n"/>
      <c r="K179" s="30" t="n"/>
      <c r="L179" s="30" t="n"/>
      <c r="M179" s="31" t="n"/>
      <c r="N179" s="29" t="n"/>
      <c r="O179" s="31" t="n"/>
    </row>
    <row r="180" ht="15" customHeight="1" s="16">
      <c r="A180" s="26" t="n">
        <v>179</v>
      </c>
      <c r="B180" s="26" t="n">
        <v>22</v>
      </c>
      <c r="C180" s="26" t="n">
        <v>20</v>
      </c>
      <c r="D180" s="27" t="inlineStr">
        <is>
          <t>其民多賈</t>
        </is>
      </c>
      <c r="E180" s="28" t="inlineStr">
        <is>
          <t>徐</t>
        </is>
      </c>
      <c r="F180" s="27" t="inlineStr">
        <is>
          <t>僮</t>
        </is>
      </c>
      <c r="G180" s="26" t="n"/>
      <c r="H180" s="29" t="n"/>
      <c r="I180" s="30" t="n"/>
      <c r="J180" s="30" t="n"/>
      <c r="K180" s="30" t="n"/>
      <c r="L180" s="30" t="n"/>
      <c r="M180" s="31" t="n"/>
      <c r="N180" s="29" t="n"/>
      <c r="O180" s="31" t="n"/>
    </row>
    <row r="181" ht="15" customHeight="1" s="16">
      <c r="A181" s="26" t="n">
        <v>180</v>
      </c>
      <c r="B181" s="26" t="n">
        <v>23</v>
      </c>
      <c r="C181" s="26" t="n">
        <v>18</v>
      </c>
      <c r="D181" s="27" t="inlineStr">
        <is>
          <t>章山之銅</t>
        </is>
      </c>
      <c r="E181" s="28" t="inlineStr">
        <is>
          <t>三江</t>
        </is>
      </c>
      <c r="F181" s="27" t="inlineStr">
        <is>
          <t>五湖之利</t>
        </is>
      </c>
      <c r="G181" s="26" t="n"/>
      <c r="H181" s="29" t="n"/>
      <c r="I181" s="30" t="n"/>
      <c r="J181" s="30" t="n"/>
      <c r="K181" s="30" t="n"/>
      <c r="L181" s="30" t="n"/>
      <c r="M181" s="31" t="n"/>
      <c r="N181" s="29" t="n"/>
      <c r="O181" s="31" t="n"/>
    </row>
    <row r="182" ht="15" customHeight="1" s="16">
      <c r="A182" s="26" t="n">
        <v>181</v>
      </c>
      <c r="B182" s="26" t="n">
        <v>23</v>
      </c>
      <c r="C182" s="26" t="n">
        <v>19</v>
      </c>
      <c r="D182" s="27" t="inlineStr">
        <is>
          <t>三江</t>
        </is>
      </c>
      <c r="E182" s="32" t="inlineStr">
        <is>
          <t>五湖之利</t>
        </is>
      </c>
      <c r="F182" s="27" t="inlineStr">
        <is>
          <t>亦江東一都會也</t>
        </is>
      </c>
      <c r="G182" s="26" t="inlineStr">
        <is>
          <t>●</t>
        </is>
      </c>
      <c r="H182" s="29" t="n"/>
      <c r="I182" s="30" t="n"/>
      <c r="J182" s="30" t="n"/>
      <c r="K182" s="30" t="n"/>
      <c r="L182" s="30" t="n"/>
      <c r="M182" s="31" t="n"/>
      <c r="N182" s="29" t="n"/>
      <c r="O182" s="31" t="n"/>
    </row>
    <row r="183" ht="15" customHeight="1" s="16">
      <c r="A183" s="26" t="n">
        <v>182</v>
      </c>
      <c r="B183" s="26" t="n">
        <v>23</v>
      </c>
      <c r="C183" s="26" t="n">
        <v>20</v>
      </c>
      <c r="D183" s="27" t="inlineStr">
        <is>
          <t>五湖之利</t>
        </is>
      </c>
      <c r="E183" s="28" t="inlineStr">
        <is>
          <t>亦江東一都會也</t>
        </is>
      </c>
      <c r="F183" s="27" t="n"/>
      <c r="G183" s="26" t="n"/>
      <c r="H183" s="29" t="n"/>
      <c r="I183" s="30" t="n"/>
      <c r="J183" s="30" t="n"/>
      <c r="K183" s="30" t="n"/>
      <c r="L183" s="30" t="n"/>
      <c r="M183" s="31" t="n"/>
      <c r="N183" s="29" t="n"/>
      <c r="O183" s="31" t="n"/>
    </row>
    <row r="184" ht="15" customHeight="1" s="16">
      <c r="A184" s="26" t="n">
        <v>183</v>
      </c>
      <c r="B184" s="26" t="n">
        <v>25</v>
      </c>
      <c r="C184" s="26" t="n">
        <v>16</v>
      </c>
      <c r="D184" s="27" t="inlineStr">
        <is>
          <t>宛亦一都會也</t>
        </is>
      </c>
      <c r="E184" s="28" t="inlineStr">
        <is>
          <t>俗雜好事</t>
        </is>
      </c>
      <c r="F184" s="27" t="inlineStr">
        <is>
          <t>業多賈</t>
        </is>
      </c>
      <c r="G184" s="26" t="n"/>
      <c r="H184" s="29" t="n"/>
      <c r="I184" s="30" t="n"/>
      <c r="J184" s="30" t="n"/>
      <c r="K184" s="30" t="n"/>
      <c r="L184" s="30" t="n"/>
      <c r="M184" s="31" t="n"/>
      <c r="N184" s="29" t="n"/>
      <c r="O184" s="31" t="n"/>
    </row>
    <row r="185" ht="15" customHeight="1" s="16">
      <c r="A185" s="26" t="n">
        <v>184</v>
      </c>
      <c r="B185" s="26" t="n">
        <v>25</v>
      </c>
      <c r="C185" s="26" t="n">
        <v>17</v>
      </c>
      <c r="D185" s="27" t="inlineStr">
        <is>
          <t>俗雜好事</t>
        </is>
      </c>
      <c r="E185" s="32" t="inlineStr">
        <is>
          <t>業多賈</t>
        </is>
      </c>
      <c r="F185" s="27" t="inlineStr">
        <is>
          <t>其任俠</t>
        </is>
      </c>
      <c r="G185" s="26" t="inlineStr">
        <is>
          <t>●</t>
        </is>
      </c>
      <c r="H185" s="29" t="n"/>
      <c r="I185" s="30" t="n"/>
      <c r="J185" s="30" t="n"/>
      <c r="K185" s="30" t="n"/>
      <c r="L185" s="30" t="n"/>
      <c r="M185" s="31" t="n"/>
      <c r="N185" s="29" t="n"/>
      <c r="O185" s="31" t="n"/>
    </row>
    <row r="186" ht="15" customHeight="1" s="16">
      <c r="A186" s="26" t="n">
        <v>185</v>
      </c>
      <c r="B186" s="26" t="n">
        <v>25</v>
      </c>
      <c r="C186" s="26" t="n">
        <v>18</v>
      </c>
      <c r="D186" s="27" t="inlineStr">
        <is>
          <t>業多賈</t>
        </is>
      </c>
      <c r="E186" s="28" t="inlineStr">
        <is>
          <t>其任俠</t>
        </is>
      </c>
      <c r="F186" s="27" t="inlineStr">
        <is>
          <t>交通潁川</t>
        </is>
      </c>
      <c r="G186" s="26" t="n"/>
      <c r="H186" s="29" t="n"/>
      <c r="I186" s="30" t="n"/>
      <c r="J186" s="30" t="n"/>
      <c r="K186" s="30" t="n"/>
      <c r="L186" s="30" t="n"/>
      <c r="M186" s="31" t="n"/>
      <c r="N186" s="29" t="n"/>
      <c r="O186" s="31" t="n"/>
    </row>
    <row r="187" ht="15" customHeight="1" s="16">
      <c r="A187" s="26" t="n">
        <v>186</v>
      </c>
      <c r="B187" s="26" t="n">
        <v>27</v>
      </c>
      <c r="C187" s="26" t="n">
        <v>6</v>
      </c>
      <c r="D187" s="27" t="inlineStr">
        <is>
          <t>或火耕而水耨</t>
        </is>
      </c>
      <c r="E187" s="28" t="inlineStr">
        <is>
          <t>果隋蠃蛤</t>
        </is>
      </c>
      <c r="F187" s="27" t="inlineStr">
        <is>
          <t>不待賈而足</t>
        </is>
      </c>
      <c r="G187" s="26" t="n"/>
      <c r="H187" s="29" t="n"/>
      <c r="I187" s="30" t="n"/>
      <c r="J187" s="30" t="n"/>
      <c r="K187" s="30" t="n"/>
      <c r="L187" s="30" t="n"/>
      <c r="M187" s="31" t="n"/>
      <c r="N187" s="29" t="n"/>
      <c r="O187" s="31" t="n"/>
    </row>
    <row r="188" ht="15" customHeight="1" s="16">
      <c r="A188" s="26" t="n">
        <v>187</v>
      </c>
      <c r="B188" s="26" t="n">
        <v>27</v>
      </c>
      <c r="C188" s="26" t="n">
        <v>7</v>
      </c>
      <c r="D188" s="27" t="inlineStr">
        <is>
          <t>果隋蠃蛤</t>
        </is>
      </c>
      <c r="E188" s="32" t="inlineStr">
        <is>
          <t>不待賈而足</t>
        </is>
      </c>
      <c r="F188" s="27" t="inlineStr">
        <is>
          <t>地埶饒食</t>
        </is>
      </c>
      <c r="G188" s="26" t="inlineStr">
        <is>
          <t>●</t>
        </is>
      </c>
      <c r="H188" s="29" t="n"/>
      <c r="I188" s="30" t="n"/>
      <c r="J188" s="30" t="n"/>
      <c r="K188" s="30" t="n"/>
      <c r="L188" s="30" t="n"/>
      <c r="M188" s="31" t="n"/>
      <c r="N188" s="29" t="n"/>
      <c r="O188" s="31" t="n"/>
    </row>
    <row r="189" ht="15" customHeight="1" s="16">
      <c r="A189" s="26" t="n">
        <v>188</v>
      </c>
      <c r="B189" s="26" t="n">
        <v>27</v>
      </c>
      <c r="C189" s="26" t="n">
        <v>8</v>
      </c>
      <c r="D189" s="27" t="inlineStr">
        <is>
          <t>不待賈而足</t>
        </is>
      </c>
      <c r="E189" s="28" t="inlineStr">
        <is>
          <t>地埶饒食</t>
        </is>
      </c>
      <c r="F189" s="27" t="inlineStr">
        <is>
          <t>無</t>
        </is>
      </c>
      <c r="G189" s="26" t="n"/>
      <c r="H189" s="29" t="n"/>
      <c r="I189" s="30" t="n"/>
      <c r="J189" s="30" t="n"/>
      <c r="K189" s="30" t="n"/>
      <c r="L189" s="30" t="n"/>
      <c r="M189" s="31" t="n"/>
      <c r="N189" s="29" t="n"/>
      <c r="O189" s="31" t="n"/>
    </row>
    <row r="190" ht="15" customHeight="1" s="16">
      <c r="A190" s="26" t="n">
        <v>189</v>
      </c>
      <c r="B190" s="26" t="n">
        <v>27</v>
      </c>
      <c r="C190" s="26" t="n">
        <v>11</v>
      </c>
      <c r="D190" s="27" t="inlineStr">
        <is>
          <t>饑饉之患</t>
        </is>
      </c>
      <c r="E190" s="28" t="inlineStr">
        <is>
          <t>以故呰窳偷生</t>
        </is>
      </c>
      <c r="F190" s="27" t="inlineStr">
        <is>
          <t>無積聚而多貧</t>
        </is>
      </c>
      <c r="G190" s="26" t="n"/>
      <c r="H190" s="29" t="n"/>
      <c r="I190" s="30" t="n"/>
      <c r="J190" s="30" t="n"/>
      <c r="K190" s="30" t="n"/>
      <c r="L190" s="30" t="n"/>
      <c r="M190" s="31" t="n"/>
      <c r="N190" s="29" t="n"/>
      <c r="O190" s="31" t="n"/>
    </row>
    <row r="191" ht="15" customHeight="1" s="16">
      <c r="A191" s="26" t="n">
        <v>190</v>
      </c>
      <c r="B191" s="26" t="n">
        <v>27</v>
      </c>
      <c r="C191" s="26" t="n">
        <v>12</v>
      </c>
      <c r="D191" s="27" t="inlineStr">
        <is>
          <t>以故呰窳偷生</t>
        </is>
      </c>
      <c r="E191" s="32" t="inlineStr">
        <is>
          <t>無積聚而多貧</t>
        </is>
      </c>
      <c r="F191" s="27" t="inlineStr">
        <is>
          <t>是故江淮以南</t>
        </is>
      </c>
      <c r="G191" s="26" t="inlineStr">
        <is>
          <t>●</t>
        </is>
      </c>
      <c r="H191" s="29" t="n"/>
      <c r="I191" s="30" t="n"/>
      <c r="J191" s="30" t="n"/>
      <c r="K191" s="30" t="n"/>
      <c r="L191" s="30" t="n"/>
      <c r="M191" s="31" t="n"/>
      <c r="N191" s="29" t="n"/>
      <c r="O191" s="31" t="n"/>
    </row>
    <row r="192" ht="15" customHeight="1" s="16">
      <c r="A192" s="26" t="n">
        <v>191</v>
      </c>
      <c r="B192" s="26" t="n">
        <v>27</v>
      </c>
      <c r="C192" s="26" t="n">
        <v>13</v>
      </c>
      <c r="D192" s="27" t="inlineStr">
        <is>
          <t>無積聚而多貧</t>
        </is>
      </c>
      <c r="E192" s="28" t="inlineStr">
        <is>
          <t>是故江淮以南</t>
        </is>
      </c>
      <c r="F192" s="27" t="inlineStr">
        <is>
          <t>無凍餓之人</t>
        </is>
      </c>
      <c r="G192" s="26" t="n"/>
      <c r="H192" s="29" t="n"/>
      <c r="I192" s="30" t="n"/>
      <c r="J192" s="30" t="n"/>
      <c r="K192" s="30" t="n"/>
      <c r="L192" s="30" t="n"/>
      <c r="M192" s="31" t="n"/>
      <c r="N192" s="29" t="n"/>
      <c r="O192" s="31" t="n"/>
    </row>
    <row r="193" ht="15" customHeight="1" s="16">
      <c r="A193" s="26" t="n">
        <v>192</v>
      </c>
      <c r="B193" s="26" t="n">
        <v>27</v>
      </c>
      <c r="C193" s="26" t="n">
        <v>14</v>
      </c>
      <c r="D193" s="27" t="inlineStr">
        <is>
          <t>是故江淮以南</t>
        </is>
      </c>
      <c r="E193" s="28" t="inlineStr">
        <is>
          <t>無凍餓之人</t>
        </is>
      </c>
      <c r="F193" s="27" t="inlineStr">
        <is>
          <t>亦無千金之家</t>
        </is>
      </c>
      <c r="G193" s="26" t="n"/>
      <c r="H193" s="29" t="n"/>
      <c r="I193" s="30" t="n"/>
      <c r="J193" s="30" t="n"/>
      <c r="K193" s="30" t="n"/>
      <c r="L193" s="30" t="n"/>
      <c r="M193" s="31" t="n"/>
      <c r="N193" s="29" t="n"/>
      <c r="O193" s="31" t="n"/>
    </row>
    <row r="194" ht="15" customHeight="1" s="16">
      <c r="A194" s="26" t="n">
        <v>193</v>
      </c>
      <c r="B194" s="26" t="n">
        <v>27</v>
      </c>
      <c r="C194" s="26" t="n">
        <v>15</v>
      </c>
      <c r="D194" s="27" t="inlineStr">
        <is>
          <t>無凍餓之人</t>
        </is>
      </c>
      <c r="E194" s="32" t="inlineStr">
        <is>
          <t>亦無千金之家</t>
        </is>
      </c>
      <c r="F194" s="27" t="inlineStr">
        <is>
          <t>沂</t>
        </is>
      </c>
      <c r="G194" s="26" t="inlineStr">
        <is>
          <t>●</t>
        </is>
      </c>
      <c r="H194" s="29" t="n"/>
      <c r="I194" s="30" t="n"/>
      <c r="J194" s="30" t="n"/>
      <c r="K194" s="30" t="n"/>
      <c r="L194" s="30" t="n"/>
      <c r="M194" s="31" t="n"/>
      <c r="N194" s="29" t="n"/>
      <c r="O194" s="31" t="n"/>
    </row>
    <row r="195" ht="15" customHeight="1" s="16">
      <c r="A195" s="26" t="n">
        <v>194</v>
      </c>
      <c r="B195" s="26" t="n">
        <v>27</v>
      </c>
      <c r="C195" s="26" t="n">
        <v>16</v>
      </c>
      <c r="D195" s="27" t="inlineStr">
        <is>
          <t>亦無千金之家</t>
        </is>
      </c>
      <c r="E195" s="28" t="inlineStr">
        <is>
          <t>沂</t>
        </is>
      </c>
      <c r="F195" s="27" t="inlineStr">
        <is>
          <t>泗</t>
        </is>
      </c>
      <c r="G195" s="26" t="n"/>
      <c r="H195" s="29" t="n"/>
      <c r="I195" s="30" t="n"/>
      <c r="J195" s="30" t="n"/>
      <c r="K195" s="30" t="n"/>
      <c r="L195" s="30" t="n"/>
      <c r="M195" s="31" t="n"/>
      <c r="N195" s="29" t="n"/>
      <c r="O195" s="31" t="n"/>
    </row>
    <row r="196" ht="15" customHeight="1" s="16">
      <c r="A196" s="26" t="n">
        <v>195</v>
      </c>
      <c r="B196" s="26" t="n">
        <v>27</v>
      </c>
      <c r="C196" s="26" t="n">
        <v>30</v>
      </c>
      <c r="D196" s="27" t="inlineStr">
        <is>
          <t>宛</t>
        </is>
      </c>
      <c r="E196" s="28" t="inlineStr">
        <is>
          <t>陳亦然</t>
        </is>
      </c>
      <c r="F196" s="27" t="inlineStr">
        <is>
          <t>加以商賈</t>
        </is>
      </c>
      <c r="G196" s="26" t="n"/>
      <c r="H196" s="29" t="n"/>
      <c r="I196" s="30" t="n"/>
      <c r="J196" s="30" t="n"/>
      <c r="K196" s="30" t="n"/>
      <c r="L196" s="30" t="n"/>
      <c r="M196" s="31" t="n"/>
      <c r="N196" s="29" t="n"/>
      <c r="O196" s="31" t="n"/>
    </row>
    <row r="197" ht="15" customHeight="1" s="16">
      <c r="A197" s="26" t="n">
        <v>196</v>
      </c>
      <c r="B197" s="26" t="n">
        <v>27</v>
      </c>
      <c r="C197" s="26" t="n">
        <v>31</v>
      </c>
      <c r="D197" s="27" t="inlineStr">
        <is>
          <t>陳亦然</t>
        </is>
      </c>
      <c r="E197" s="32" t="inlineStr">
        <is>
          <t>加以商賈</t>
        </is>
      </c>
      <c r="F197" s="27" t="inlineStr">
        <is>
          <t>齊</t>
        </is>
      </c>
      <c r="G197" s="26" t="inlineStr">
        <is>
          <t>●</t>
        </is>
      </c>
      <c r="H197" s="29" t="n"/>
      <c r="I197" s="30" t="n"/>
      <c r="J197" s="30" t="n"/>
      <c r="K197" s="30" t="n"/>
      <c r="L197" s="30" t="n"/>
      <c r="M197" s="31" t="n"/>
      <c r="N197" s="29" t="n"/>
      <c r="O197" s="31" t="n"/>
    </row>
    <row r="198" ht="15" customHeight="1" s="16">
      <c r="A198" s="26" t="n">
        <v>197</v>
      </c>
      <c r="B198" s="26" t="n">
        <v>27</v>
      </c>
      <c r="C198" s="26" t="n">
        <v>32</v>
      </c>
      <c r="D198" s="27" t="inlineStr">
        <is>
          <t>加以商賈</t>
        </is>
      </c>
      <c r="E198" s="28" t="inlineStr">
        <is>
          <t>齊</t>
        </is>
      </c>
      <c r="F198" s="27" t="inlineStr">
        <is>
          <t>趙設智巧</t>
        </is>
      </c>
      <c r="G198" s="26" t="n"/>
      <c r="H198" s="29" t="n"/>
      <c r="I198" s="30" t="n"/>
      <c r="J198" s="30" t="n"/>
      <c r="K198" s="30" t="n"/>
      <c r="L198" s="30" t="n"/>
      <c r="M198" s="31" t="n"/>
      <c r="N198" s="29" t="n"/>
      <c r="O198" s="31" t="n"/>
    </row>
    <row r="199" ht="15" customHeight="1" s="16">
      <c r="A199" s="26" t="n">
        <v>198</v>
      </c>
      <c r="B199" s="26" t="n">
        <v>27</v>
      </c>
      <c r="C199" s="26" t="n">
        <v>33</v>
      </c>
      <c r="D199" s="27" t="inlineStr">
        <is>
          <t>齊</t>
        </is>
      </c>
      <c r="E199" s="28" t="inlineStr">
        <is>
          <t>趙設智巧</t>
        </is>
      </c>
      <c r="F199" s="27" t="inlineStr">
        <is>
          <t>仰機利</t>
        </is>
      </c>
      <c r="G199" s="26" t="n"/>
      <c r="H199" s="29" t="n"/>
      <c r="I199" s="30" t="n"/>
      <c r="J199" s="30" t="n"/>
      <c r="K199" s="30" t="n"/>
      <c r="L199" s="30" t="n"/>
      <c r="M199" s="31" t="n"/>
      <c r="N199" s="29" t="n"/>
      <c r="O199" s="31" t="n"/>
    </row>
    <row r="200" ht="15" customHeight="1" s="16">
      <c r="A200" s="26" t="n">
        <v>199</v>
      </c>
      <c r="B200" s="26" t="n">
        <v>27</v>
      </c>
      <c r="C200" s="26" t="n">
        <v>34</v>
      </c>
      <c r="D200" s="27" t="inlineStr">
        <is>
          <t>趙設智巧</t>
        </is>
      </c>
      <c r="E200" s="32" t="inlineStr">
        <is>
          <t>仰機利</t>
        </is>
      </c>
      <c r="F200" s="27" t="inlineStr">
        <is>
          <t>燕</t>
        </is>
      </c>
      <c r="G200" s="26" t="inlineStr">
        <is>
          <t>●</t>
        </is>
      </c>
      <c r="H200" s="29" t="n"/>
      <c r="I200" s="30" t="n"/>
      <c r="J200" s="30" t="n"/>
      <c r="K200" s="30" t="n"/>
      <c r="L200" s="30" t="n"/>
      <c r="M200" s="31" t="n"/>
      <c r="N200" s="29" t="n"/>
      <c r="O200" s="31" t="n"/>
    </row>
    <row r="201" ht="15" customHeight="1" s="16">
      <c r="A201" s="26" t="n">
        <v>200</v>
      </c>
      <c r="B201" s="26" t="n">
        <v>27</v>
      </c>
      <c r="C201" s="26" t="n">
        <v>35</v>
      </c>
      <c r="D201" s="27" t="inlineStr">
        <is>
          <t>仰機利</t>
        </is>
      </c>
      <c r="E201" s="28" t="inlineStr">
        <is>
          <t>燕</t>
        </is>
      </c>
      <c r="F201" s="27" t="inlineStr">
        <is>
          <t>代田畜而事蠶</t>
        </is>
      </c>
      <c r="G201" s="26" t="n"/>
      <c r="H201" s="29" t="n"/>
      <c r="I201" s="30" t="n"/>
      <c r="J201" s="30" t="n"/>
      <c r="K201" s="30" t="n"/>
      <c r="L201" s="30" t="n"/>
      <c r="M201" s="31" t="n"/>
      <c r="N201" s="29" t="n"/>
      <c r="O201" s="31" t="n"/>
    </row>
    <row r="202" ht="29.85" customHeight="1" s="16">
      <c r="A202" s="26" t="n">
        <v>201</v>
      </c>
      <c r="B202" s="26" t="n">
        <v>28</v>
      </c>
      <c r="C202" s="26" t="n">
        <v>4</v>
      </c>
      <c r="D202" s="27" t="inlineStr">
        <is>
          <t>論議朝廷</t>
        </is>
      </c>
      <c r="E202" s="28" t="inlineStr">
        <is>
          <t>守信死節隱居巖穴之士設為名高者安歸乎</t>
        </is>
      </c>
      <c r="F202" s="27" t="inlineStr">
        <is>
          <t>歸於富厚</t>
        </is>
      </c>
      <c r="G202" s="26" t="n"/>
      <c r="H202" s="29" t="n"/>
      <c r="I202" s="30" t="n"/>
      <c r="J202" s="30" t="n"/>
      <c r="K202" s="30" t="n"/>
      <c r="L202" s="30" t="n"/>
      <c r="M202" s="31" t="n"/>
      <c r="N202" s="29" t="n"/>
      <c r="O202" s="31" t="n"/>
    </row>
    <row r="203" ht="29.85" customHeight="1" s="16">
      <c r="A203" s="26" t="n">
        <v>202</v>
      </c>
      <c r="B203" s="26" t="n">
        <v>28</v>
      </c>
      <c r="C203" s="26" t="n">
        <v>5</v>
      </c>
      <c r="D203" s="27" t="inlineStr">
        <is>
          <t>守信死節隱居巖穴之士設為名高者安歸乎</t>
        </is>
      </c>
      <c r="E203" s="32" t="inlineStr">
        <is>
          <t>歸於富厚</t>
        </is>
      </c>
      <c r="F203" s="27" t="inlineStr">
        <is>
          <t>也</t>
        </is>
      </c>
      <c r="G203" s="26" t="inlineStr">
        <is>
          <t>●</t>
        </is>
      </c>
      <c r="H203" s="29" t="n"/>
      <c r="I203" s="30" t="n"/>
      <c r="J203" s="30" t="n"/>
      <c r="K203" s="30" t="n"/>
      <c r="L203" s="30" t="n"/>
      <c r="M203" s="31" t="n"/>
      <c r="N203" s="29" t="n"/>
      <c r="O203" s="31" t="n"/>
    </row>
    <row r="204" ht="15" customHeight="1" s="16">
      <c r="A204" s="26" t="n">
        <v>203</v>
      </c>
      <c r="B204" s="26" t="n">
        <v>28</v>
      </c>
      <c r="C204" s="26" t="n">
        <v>6</v>
      </c>
      <c r="D204" s="27" t="inlineStr">
        <is>
          <t>歸於富厚</t>
        </is>
      </c>
      <c r="E204" s="28" t="inlineStr">
        <is>
          <t>也</t>
        </is>
      </c>
      <c r="F204" s="27" t="inlineStr">
        <is>
          <t>是以廉吏久</t>
        </is>
      </c>
      <c r="G204" s="26" t="n"/>
      <c r="H204" s="29" t="n"/>
      <c r="I204" s="30" t="n"/>
      <c r="J204" s="30" t="n"/>
      <c r="K204" s="30" t="n"/>
      <c r="L204" s="30" t="n"/>
      <c r="M204" s="31" t="n"/>
      <c r="N204" s="29" t="n"/>
      <c r="O204" s="31" t="n"/>
    </row>
    <row r="205" ht="15" customHeight="1" s="16">
      <c r="A205" s="26" t="n">
        <v>204</v>
      </c>
      <c r="B205" s="26" t="n">
        <v>28</v>
      </c>
      <c r="C205" s="26" t="n">
        <v>7</v>
      </c>
      <c r="D205" s="27" t="inlineStr">
        <is>
          <t>也</t>
        </is>
      </c>
      <c r="E205" s="28" t="inlineStr">
        <is>
          <t>是以廉吏久</t>
        </is>
      </c>
      <c r="F205" s="27" t="inlineStr">
        <is>
          <t>久更富</t>
        </is>
      </c>
      <c r="G205" s="26" t="n"/>
      <c r="H205" s="29" t="n"/>
      <c r="I205" s="30" t="n"/>
      <c r="J205" s="30" t="n"/>
      <c r="K205" s="30" t="n"/>
      <c r="L205" s="30" t="n"/>
      <c r="M205" s="31" t="n"/>
      <c r="N205" s="29" t="n"/>
      <c r="O205" s="31" t="n"/>
    </row>
    <row r="206" ht="15" customHeight="1" s="16">
      <c r="A206" s="26" t="n">
        <v>205</v>
      </c>
      <c r="B206" s="26" t="n">
        <v>28</v>
      </c>
      <c r="C206" s="26" t="n">
        <v>8</v>
      </c>
      <c r="D206" s="27" t="inlineStr">
        <is>
          <t>是以廉吏久</t>
        </is>
      </c>
      <c r="E206" s="32" t="inlineStr">
        <is>
          <t>久更富</t>
        </is>
      </c>
      <c r="F206" s="27" t="inlineStr">
        <is>
          <t>廉賈歸富</t>
        </is>
      </c>
      <c r="G206" s="26" t="inlineStr">
        <is>
          <t>●</t>
        </is>
      </c>
      <c r="H206" s="29" t="n"/>
      <c r="I206" s="30" t="n"/>
      <c r="J206" s="30" t="n"/>
      <c r="K206" s="30" t="n"/>
      <c r="L206" s="30" t="n"/>
      <c r="M206" s="31" t="n"/>
      <c r="N206" s="29" t="n"/>
      <c r="O206" s="31" t="n"/>
    </row>
    <row r="207" ht="15" customHeight="1" s="16">
      <c r="A207" s="26" t="n">
        <v>206</v>
      </c>
      <c r="B207" s="26" t="n">
        <v>28</v>
      </c>
      <c r="C207" s="26" t="n">
        <v>9</v>
      </c>
      <c r="D207" s="27" t="inlineStr">
        <is>
          <t>久更富</t>
        </is>
      </c>
      <c r="E207" s="32" t="inlineStr">
        <is>
          <t>廉賈歸富</t>
        </is>
      </c>
      <c r="F207" s="27" t="inlineStr">
        <is>
          <t>富者</t>
        </is>
      </c>
      <c r="G207" s="26" t="inlineStr">
        <is>
          <t>●</t>
        </is>
      </c>
      <c r="H207" s="29" t="n"/>
      <c r="I207" s="30" t="n"/>
      <c r="J207" s="30" t="n"/>
      <c r="K207" s="30" t="n"/>
      <c r="L207" s="30" t="n"/>
      <c r="M207" s="31" t="n"/>
      <c r="N207" s="29" t="n"/>
      <c r="O207" s="31" t="n"/>
    </row>
    <row r="208" ht="15" customHeight="1" s="16">
      <c r="A208" s="26" t="n">
        <v>207</v>
      </c>
      <c r="B208" s="26" t="n">
        <v>28</v>
      </c>
      <c r="C208" s="26" t="n">
        <v>10</v>
      </c>
      <c r="D208" s="27" t="inlineStr">
        <is>
          <t>廉賈歸富</t>
        </is>
      </c>
      <c r="E208" s="32" t="inlineStr">
        <is>
          <t>富者</t>
        </is>
      </c>
      <c r="F208" s="27" t="inlineStr">
        <is>
          <t>人之情性</t>
        </is>
      </c>
      <c r="G208" s="26" t="inlineStr">
        <is>
          <t>●</t>
        </is>
      </c>
      <c r="H208" s="29" t="n"/>
      <c r="I208" s="30" t="n"/>
      <c r="J208" s="30" t="n"/>
      <c r="K208" s="30" t="n"/>
      <c r="L208" s="30" t="n"/>
      <c r="M208" s="31" t="n"/>
      <c r="N208" s="29" t="n"/>
      <c r="O208" s="31" t="n"/>
    </row>
    <row r="209" ht="15" customHeight="1" s="16">
      <c r="A209" s="26" t="n">
        <v>208</v>
      </c>
      <c r="B209" s="26" t="n">
        <v>28</v>
      </c>
      <c r="C209" s="26" t="n">
        <v>11</v>
      </c>
      <c r="D209" s="27" t="inlineStr">
        <is>
          <t>富者</t>
        </is>
      </c>
      <c r="E209" s="28" t="inlineStr">
        <is>
          <t>人之情性</t>
        </is>
      </c>
      <c r="F209" s="27" t="inlineStr">
        <is>
          <t>所不學而俱欲者也</t>
        </is>
      </c>
      <c r="G209" s="26" t="n"/>
      <c r="H209" s="29" t="n"/>
      <c r="I209" s="30" t="n"/>
      <c r="J209" s="30" t="n"/>
      <c r="K209" s="30" t="n"/>
      <c r="L209" s="30" t="n"/>
      <c r="M209" s="31" t="n"/>
      <c r="N209" s="29" t="n"/>
      <c r="O209" s="31" t="n"/>
    </row>
    <row r="210" ht="15" customHeight="1" s="16">
      <c r="A210" s="26" t="n">
        <v>209</v>
      </c>
      <c r="B210" s="26" t="n">
        <v>28</v>
      </c>
      <c r="C210" s="26" t="n">
        <v>31</v>
      </c>
      <c r="D210" s="27" t="inlineStr">
        <is>
          <t>走死地如騖者</t>
        </is>
      </c>
      <c r="E210" s="28" t="inlineStr">
        <is>
          <t>其實皆</t>
        </is>
      </c>
      <c r="F210" s="27" t="inlineStr">
        <is>
          <t>為財用耳</t>
        </is>
      </c>
      <c r="G210" s="26" t="n"/>
      <c r="H210" s="29" t="n"/>
      <c r="I210" s="30" t="n"/>
      <c r="J210" s="30" t="n"/>
      <c r="K210" s="30" t="n"/>
      <c r="L210" s="30" t="n"/>
      <c r="M210" s="31" t="n"/>
      <c r="N210" s="29" t="n"/>
      <c r="O210" s="31" t="n"/>
    </row>
    <row r="211" ht="15" customHeight="1" s="16">
      <c r="A211" s="26" t="n">
        <v>210</v>
      </c>
      <c r="B211" s="26" t="n">
        <v>28</v>
      </c>
      <c r="C211" s="26" t="n">
        <v>32</v>
      </c>
      <c r="D211" s="27" t="inlineStr">
        <is>
          <t>其實皆</t>
        </is>
      </c>
      <c r="E211" s="32" t="inlineStr">
        <is>
          <t>為財用耳</t>
        </is>
      </c>
      <c r="F211" s="27" t="inlineStr">
        <is>
          <t>今夫趙女鄭姬</t>
        </is>
      </c>
      <c r="G211" s="26" t="inlineStr">
        <is>
          <t>●</t>
        </is>
      </c>
      <c r="H211" s="29" t="n"/>
      <c r="I211" s="30" t="n"/>
      <c r="J211" s="30" t="n"/>
      <c r="K211" s="30" t="n"/>
      <c r="L211" s="30" t="n"/>
      <c r="M211" s="31" t="n"/>
      <c r="N211" s="29" t="n"/>
      <c r="O211" s="31" t="n"/>
    </row>
    <row r="212" ht="15" customHeight="1" s="16">
      <c r="A212" s="26" t="n">
        <v>211</v>
      </c>
      <c r="B212" s="26" t="n">
        <v>28</v>
      </c>
      <c r="C212" s="26" t="n">
        <v>33</v>
      </c>
      <c r="D212" s="27" t="inlineStr">
        <is>
          <t>為財用耳</t>
        </is>
      </c>
      <c r="E212" s="28" t="inlineStr">
        <is>
          <t>今夫趙女鄭姬</t>
        </is>
      </c>
      <c r="F212" s="27" t="inlineStr">
        <is>
          <t>設形容</t>
        </is>
      </c>
      <c r="G212" s="26" t="n"/>
      <c r="H212" s="29" t="n"/>
      <c r="I212" s="30" t="n"/>
      <c r="J212" s="30" t="n"/>
      <c r="K212" s="30" t="n"/>
      <c r="L212" s="30" t="n"/>
      <c r="M212" s="31" t="n"/>
      <c r="N212" s="29" t="n"/>
      <c r="O212" s="31" t="n"/>
    </row>
    <row r="213" ht="15" customHeight="1" s="16">
      <c r="A213" s="26" t="n">
        <v>212</v>
      </c>
      <c r="B213" s="26" t="n">
        <v>28</v>
      </c>
      <c r="C213" s="26" t="n">
        <v>36</v>
      </c>
      <c r="D213" s="27" t="inlineStr">
        <is>
          <t>揳鳴琴</t>
        </is>
      </c>
      <c r="E213" s="28" t="inlineStr">
        <is>
          <t>揄長袂</t>
        </is>
      </c>
      <c r="F213" s="27" t="inlineStr">
        <is>
          <t>躡利屣</t>
        </is>
      </c>
      <c r="G213" s="26" t="n"/>
      <c r="H213" s="29" t="n"/>
      <c r="I213" s="30" t="n"/>
      <c r="J213" s="30" t="n"/>
      <c r="K213" s="30" t="n"/>
      <c r="L213" s="30" t="n"/>
      <c r="M213" s="31" t="n"/>
      <c r="N213" s="29" t="n"/>
      <c r="O213" s="31" t="n"/>
    </row>
    <row r="214" ht="15" customHeight="1" s="16">
      <c r="A214" s="26" t="n">
        <v>213</v>
      </c>
      <c r="B214" s="26" t="n">
        <v>28</v>
      </c>
      <c r="C214" s="26" t="n">
        <v>37</v>
      </c>
      <c r="D214" s="27" t="inlineStr">
        <is>
          <t>揄長袂</t>
        </is>
      </c>
      <c r="E214" s="32" t="inlineStr">
        <is>
          <t>躡利屣</t>
        </is>
      </c>
      <c r="F214" s="27" t="inlineStr">
        <is>
          <t>目挑心招</t>
        </is>
      </c>
      <c r="G214" s="26" t="inlineStr">
        <is>
          <t>●</t>
        </is>
      </c>
      <c r="H214" s="29" t="n"/>
      <c r="I214" s="30" t="n"/>
      <c r="J214" s="30" t="n"/>
      <c r="K214" s="30" t="n"/>
      <c r="L214" s="30" t="n"/>
      <c r="M214" s="31" t="n"/>
      <c r="N214" s="29" t="n"/>
      <c r="O214" s="31" t="n"/>
    </row>
    <row r="215" ht="15" customHeight="1" s="16">
      <c r="A215" s="26" t="n">
        <v>214</v>
      </c>
      <c r="B215" s="26" t="n">
        <v>28</v>
      </c>
      <c r="C215" s="26" t="n">
        <v>38</v>
      </c>
      <c r="D215" s="27" t="inlineStr">
        <is>
          <t>躡利屣</t>
        </is>
      </c>
      <c r="E215" s="28" t="inlineStr">
        <is>
          <t>目挑心招</t>
        </is>
      </c>
      <c r="F215" s="27" t="inlineStr">
        <is>
          <t>出不遠千里</t>
        </is>
      </c>
      <c r="G215" s="26" t="n"/>
      <c r="H215" s="29" t="n"/>
      <c r="I215" s="30" t="n"/>
      <c r="J215" s="30" t="n"/>
      <c r="K215" s="30" t="n"/>
      <c r="L215" s="30" t="n"/>
      <c r="M215" s="31" t="n"/>
      <c r="N215" s="29" t="n"/>
      <c r="O215" s="31" t="n"/>
    </row>
    <row r="216" ht="15" customHeight="1" s="16">
      <c r="A216" s="26" t="n">
        <v>215</v>
      </c>
      <c r="B216" s="26" t="n">
        <v>28</v>
      </c>
      <c r="C216" s="26" t="n">
        <v>41</v>
      </c>
      <c r="D216" s="27" t="inlineStr">
        <is>
          <t>不擇老</t>
        </is>
      </c>
      <c r="E216" s="28" t="inlineStr">
        <is>
          <t>少者</t>
        </is>
      </c>
      <c r="F216" s="27" t="inlineStr">
        <is>
          <t>奔富厚也</t>
        </is>
      </c>
      <c r="G216" s="26" t="n"/>
      <c r="H216" s="29" t="n"/>
      <c r="I216" s="30" t="n"/>
      <c r="J216" s="30" t="n"/>
      <c r="K216" s="30" t="n"/>
      <c r="L216" s="30" t="n"/>
      <c r="M216" s="31" t="n"/>
      <c r="N216" s="29" t="n"/>
      <c r="O216" s="31" t="n"/>
    </row>
    <row r="217" ht="15" customHeight="1" s="16">
      <c r="A217" s="26" t="n">
        <v>216</v>
      </c>
      <c r="B217" s="26" t="n">
        <v>28</v>
      </c>
      <c r="C217" s="26" t="n">
        <v>42</v>
      </c>
      <c r="D217" s="27" t="inlineStr">
        <is>
          <t>少者</t>
        </is>
      </c>
      <c r="E217" s="32" t="inlineStr">
        <is>
          <t>奔富厚也</t>
        </is>
      </c>
      <c r="F217" s="27" t="inlineStr">
        <is>
          <t>游閒公子</t>
        </is>
      </c>
      <c r="G217" s="26" t="inlineStr">
        <is>
          <t>●</t>
        </is>
      </c>
      <c r="H217" s="29" t="n"/>
      <c r="I217" s="30" t="n"/>
      <c r="J217" s="30" t="n"/>
      <c r="K217" s="30" t="n"/>
      <c r="L217" s="30" t="n"/>
      <c r="M217" s="31" t="n"/>
      <c r="N217" s="29" t="n"/>
      <c r="O217" s="31" t="n"/>
    </row>
    <row r="218" ht="15" customHeight="1" s="16">
      <c r="A218" s="26" t="n">
        <v>217</v>
      </c>
      <c r="B218" s="26" t="n">
        <v>28</v>
      </c>
      <c r="C218" s="26" t="n">
        <v>43</v>
      </c>
      <c r="D218" s="27" t="inlineStr">
        <is>
          <t>奔富厚也</t>
        </is>
      </c>
      <c r="E218" s="28" t="inlineStr">
        <is>
          <t>游閒公子</t>
        </is>
      </c>
      <c r="F218" s="27" t="inlineStr">
        <is>
          <t>飾冠劍</t>
        </is>
      </c>
      <c r="G218" s="26" t="n"/>
      <c r="H218" s="29" t="n"/>
      <c r="I218" s="30" t="n"/>
      <c r="J218" s="30" t="n"/>
      <c r="K218" s="30" t="n"/>
      <c r="L218" s="30" t="n"/>
      <c r="M218" s="31" t="n"/>
      <c r="N218" s="29" t="n"/>
      <c r="O218" s="31" t="n"/>
    </row>
    <row r="219" ht="15" customHeight="1" s="16">
      <c r="A219" s="26" t="n">
        <v>218</v>
      </c>
      <c r="B219" s="26" t="n">
        <v>28</v>
      </c>
      <c r="C219" s="26" t="n">
        <v>45</v>
      </c>
      <c r="D219" s="27" t="inlineStr">
        <is>
          <t>飾冠劍</t>
        </is>
      </c>
      <c r="E219" s="28" t="inlineStr">
        <is>
          <t>連車騎</t>
        </is>
      </c>
      <c r="F219" s="27" t="inlineStr">
        <is>
          <t>亦為富貴容也</t>
        </is>
      </c>
      <c r="G219" s="26" t="n"/>
      <c r="H219" s="29" t="n"/>
      <c r="I219" s="30" t="n"/>
      <c r="J219" s="30" t="n"/>
      <c r="K219" s="30" t="n"/>
      <c r="L219" s="30" t="n"/>
      <c r="M219" s="31" t="n"/>
      <c r="N219" s="29" t="n"/>
      <c r="O219" s="31" t="n"/>
    </row>
    <row r="220" ht="15" customHeight="1" s="16">
      <c r="A220" s="26" t="n">
        <v>219</v>
      </c>
      <c r="B220" s="26" t="n">
        <v>28</v>
      </c>
      <c r="C220" s="26" t="n">
        <v>46</v>
      </c>
      <c r="D220" s="27" t="inlineStr">
        <is>
          <t>連車騎</t>
        </is>
      </c>
      <c r="E220" s="32" t="inlineStr">
        <is>
          <t>亦為富貴容也</t>
        </is>
      </c>
      <c r="F220" s="27" t="inlineStr">
        <is>
          <t>弋射漁獵</t>
        </is>
      </c>
      <c r="G220" s="26" t="inlineStr">
        <is>
          <t>●</t>
        </is>
      </c>
      <c r="H220" s="29" t="n"/>
      <c r="I220" s="30" t="n"/>
      <c r="J220" s="30" t="n"/>
      <c r="K220" s="30" t="n"/>
      <c r="L220" s="30" t="n"/>
      <c r="M220" s="31" t="n"/>
      <c r="N220" s="29" t="n"/>
      <c r="O220" s="31" t="n"/>
    </row>
    <row r="221" ht="15" customHeight="1" s="16">
      <c r="A221" s="26" t="n">
        <v>220</v>
      </c>
      <c r="B221" s="26" t="n">
        <v>28</v>
      </c>
      <c r="C221" s="26" t="n">
        <v>47</v>
      </c>
      <c r="D221" s="27" t="inlineStr">
        <is>
          <t>亦為富貴容也</t>
        </is>
      </c>
      <c r="E221" s="28" t="inlineStr">
        <is>
          <t>弋射漁獵</t>
        </is>
      </c>
      <c r="F221" s="27" t="inlineStr">
        <is>
          <t>犯晨夜</t>
        </is>
      </c>
      <c r="G221" s="26" t="n"/>
      <c r="H221" s="29" t="n"/>
      <c r="I221" s="30" t="n"/>
      <c r="J221" s="30" t="n"/>
      <c r="K221" s="30" t="n"/>
      <c r="L221" s="30" t="n"/>
      <c r="M221" s="31" t="n"/>
      <c r="N221" s="29" t="n"/>
      <c r="O221" s="31" t="n"/>
    </row>
    <row r="222" ht="15" customHeight="1" s="16">
      <c r="A222" s="26" t="n">
        <v>221</v>
      </c>
      <c r="B222" s="26" t="n">
        <v>28</v>
      </c>
      <c r="C222" s="26" t="n">
        <v>67</v>
      </c>
      <c r="D222" s="27" t="inlineStr">
        <is>
          <t>沒於賂遺</t>
        </is>
      </c>
      <c r="E222" s="28" t="inlineStr">
        <is>
          <t>也</t>
        </is>
      </c>
      <c r="F222" s="27" t="inlineStr">
        <is>
          <t>農工商賈畜長</t>
        </is>
      </c>
      <c r="G222" s="26" t="n"/>
      <c r="H222" s="29" t="n"/>
      <c r="I222" s="30" t="n"/>
      <c r="J222" s="30" t="n"/>
      <c r="K222" s="30" t="n"/>
      <c r="L222" s="30" t="n"/>
      <c r="M222" s="31" t="n"/>
      <c r="N222" s="29" t="n"/>
      <c r="O222" s="31" t="n"/>
    </row>
    <row r="223" ht="15" customHeight="1" s="16">
      <c r="A223" s="26" t="n">
        <v>222</v>
      </c>
      <c r="B223" s="26" t="n">
        <v>28</v>
      </c>
      <c r="C223" s="26" t="n">
        <v>68</v>
      </c>
      <c r="D223" s="27" t="inlineStr">
        <is>
          <t>也</t>
        </is>
      </c>
      <c r="E223" s="32" t="inlineStr">
        <is>
          <t>農工商賈畜長</t>
        </is>
      </c>
      <c r="F223" s="27" t="inlineStr">
        <is>
          <t>固求富益貨也</t>
        </is>
      </c>
      <c r="G223" s="26" t="inlineStr">
        <is>
          <t>●</t>
        </is>
      </c>
      <c r="H223" s="29" t="n"/>
      <c r="I223" s="30" t="n"/>
      <c r="J223" s="30" t="n"/>
      <c r="K223" s="30" t="n"/>
      <c r="L223" s="30" t="n"/>
      <c r="M223" s="31" t="n"/>
      <c r="N223" s="29" t="n"/>
      <c r="O223" s="31" t="n"/>
    </row>
    <row r="224" ht="15" customHeight="1" s="16">
      <c r="A224" s="26" t="n">
        <v>223</v>
      </c>
      <c r="B224" s="26" t="n">
        <v>28</v>
      </c>
      <c r="C224" s="26" t="n">
        <v>69</v>
      </c>
      <c r="D224" s="27" t="inlineStr">
        <is>
          <t>農工商賈畜長</t>
        </is>
      </c>
      <c r="E224" s="32" t="inlineStr">
        <is>
          <t>固求富益貨也</t>
        </is>
      </c>
      <c r="F224" s="27" t="inlineStr">
        <is>
          <t>此有知盡能索耳</t>
        </is>
      </c>
      <c r="G224" s="26" t="inlineStr">
        <is>
          <t>●</t>
        </is>
      </c>
      <c r="H224" s="29" t="n"/>
      <c r="I224" s="30" t="n"/>
      <c r="J224" s="30" t="n"/>
      <c r="K224" s="30" t="n"/>
      <c r="L224" s="30" t="n"/>
      <c r="M224" s="31" t="n"/>
      <c r="N224" s="29" t="n"/>
      <c r="O224" s="31" t="n"/>
    </row>
    <row r="225" ht="15" customHeight="1" s="16">
      <c r="A225" s="26" t="n">
        <v>224</v>
      </c>
      <c r="B225" s="26" t="n">
        <v>28</v>
      </c>
      <c r="C225" s="26" t="n">
        <v>70</v>
      </c>
      <c r="D225" s="27" t="inlineStr">
        <is>
          <t>固求富益貨也</t>
        </is>
      </c>
      <c r="E225" s="28" t="inlineStr">
        <is>
          <t>此有知盡能索耳</t>
        </is>
      </c>
      <c r="F225" s="27" t="inlineStr">
        <is>
          <t>終不餘力而讓財矣</t>
        </is>
      </c>
      <c r="G225" s="26" t="n"/>
      <c r="H225" s="29" t="n"/>
      <c r="I225" s="30" t="n"/>
      <c r="J225" s="30" t="n"/>
      <c r="K225" s="30" t="n"/>
      <c r="L225" s="30" t="n"/>
      <c r="M225" s="31" t="n"/>
      <c r="N225" s="29" t="n"/>
      <c r="O225" s="31" t="n"/>
    </row>
    <row r="226" ht="15" customHeight="1" s="16">
      <c r="A226" s="26" t="n">
        <v>225</v>
      </c>
      <c r="B226" s="26" t="n">
        <v>28</v>
      </c>
      <c r="C226" s="26" t="n">
        <v>71</v>
      </c>
      <c r="D226" s="27" t="inlineStr">
        <is>
          <t>此有知盡能索耳</t>
        </is>
      </c>
      <c r="E226" s="32" t="inlineStr">
        <is>
          <t>終不餘力而讓財矣</t>
        </is>
      </c>
      <c r="F226" s="27" t="n"/>
      <c r="G226" s="26" t="inlineStr">
        <is>
          <t>●</t>
        </is>
      </c>
      <c r="H226" s="29" t="n"/>
      <c r="I226" s="30" t="n"/>
      <c r="J226" s="30" t="n"/>
      <c r="K226" s="30" t="n"/>
      <c r="L226" s="30" t="n"/>
      <c r="M226" s="31" t="n"/>
      <c r="N226" s="29" t="n"/>
      <c r="O226" s="31" t="n"/>
    </row>
    <row r="227" ht="15" customHeight="1" s="16">
      <c r="A227" s="26" t="n">
        <v>226</v>
      </c>
      <c r="B227" s="26" t="n">
        <v>29</v>
      </c>
      <c r="C227" s="26" t="n">
        <v>1</v>
      </c>
      <c r="D227" s="27" t="n"/>
      <c r="E227" s="28" t="inlineStr">
        <is>
          <t>諺曰</t>
        </is>
      </c>
      <c r="F227" s="27" t="inlineStr">
        <is>
          <t>百里不販樵</t>
        </is>
      </c>
      <c r="G227" s="26" t="n"/>
      <c r="H227" s="29" t="n"/>
      <c r="I227" s="30" t="n"/>
      <c r="J227" s="30" t="n"/>
      <c r="K227" s="30" t="n"/>
      <c r="L227" s="30" t="n"/>
      <c r="M227" s="31" t="n"/>
      <c r="N227" s="29" t="n"/>
      <c r="O227" s="31" t="n"/>
    </row>
    <row r="228" ht="15" customHeight="1" s="16">
      <c r="A228" s="26" t="n">
        <v>227</v>
      </c>
      <c r="B228" s="26" t="n">
        <v>29</v>
      </c>
      <c r="C228" s="26" t="n">
        <v>16</v>
      </c>
      <c r="D228" s="27" t="inlineStr">
        <is>
          <t>而樂與之比者</t>
        </is>
      </c>
      <c r="E228" s="28" t="inlineStr">
        <is>
          <t>命曰</t>
        </is>
      </c>
      <c r="F228" s="27" t="inlineStr">
        <is>
          <t>素封</t>
        </is>
      </c>
      <c r="G228" s="26" t="n"/>
      <c r="H228" s="29" t="n"/>
      <c r="I228" s="30" t="n"/>
      <c r="J228" s="30" t="n"/>
      <c r="K228" s="30" t="n"/>
      <c r="L228" s="30" t="n"/>
      <c r="M228" s="31" t="n"/>
      <c r="N228" s="29" t="n"/>
      <c r="O228" s="31" t="n"/>
    </row>
    <row r="229" ht="15" customHeight="1" s="16">
      <c r="A229" s="26" t="n">
        <v>228</v>
      </c>
      <c r="B229" s="26" t="n">
        <v>29</v>
      </c>
      <c r="C229" s="26" t="n">
        <v>17</v>
      </c>
      <c r="D229" s="27" t="inlineStr">
        <is>
          <t>命曰</t>
        </is>
      </c>
      <c r="E229" s="32" t="inlineStr">
        <is>
          <t>素封</t>
        </is>
      </c>
      <c r="F229" s="27" t="inlineStr">
        <is>
          <t>封者食租</t>
        </is>
      </c>
      <c r="G229" s="26" t="inlineStr">
        <is>
          <t>●</t>
        </is>
      </c>
      <c r="H229" s="29" t="n"/>
      <c r="I229" s="30" t="n"/>
      <c r="J229" s="30" t="n"/>
      <c r="K229" s="30" t="n"/>
      <c r="L229" s="30" t="n"/>
      <c r="M229" s="31" t="n"/>
      <c r="N229" s="29" t="n"/>
      <c r="O229" s="31" t="n"/>
    </row>
    <row r="230" ht="15" customHeight="1" s="16">
      <c r="A230" s="26" t="n">
        <v>229</v>
      </c>
      <c r="B230" s="26" t="n">
        <v>29</v>
      </c>
      <c r="C230" s="26" t="n">
        <v>18</v>
      </c>
      <c r="D230" s="27" t="inlineStr">
        <is>
          <t>素封</t>
        </is>
      </c>
      <c r="E230" s="28" t="inlineStr">
        <is>
          <t>封者食租</t>
        </is>
      </c>
      <c r="F230" s="27" t="inlineStr">
        <is>
          <t>稅</t>
        </is>
      </c>
      <c r="G230" s="26" t="n"/>
      <c r="H230" s="29" t="n"/>
      <c r="I230" s="30" t="n"/>
      <c r="J230" s="30" t="n"/>
      <c r="K230" s="30" t="n"/>
      <c r="L230" s="30" t="n"/>
      <c r="M230" s="31" t="n"/>
      <c r="N230" s="29" t="n"/>
      <c r="O230" s="31" t="n"/>
    </row>
    <row r="231" ht="15" customHeight="1" s="16">
      <c r="A231" s="26" t="n">
        <v>230</v>
      </c>
      <c r="B231" s="26" t="n">
        <v>29</v>
      </c>
      <c r="C231" s="26" t="n">
        <v>19</v>
      </c>
      <c r="D231" s="27" t="inlineStr">
        <is>
          <t>封者食租</t>
        </is>
      </c>
      <c r="E231" s="32" t="inlineStr">
        <is>
          <t>稅</t>
        </is>
      </c>
      <c r="F231" s="27" t="inlineStr">
        <is>
          <t>歲率戶二百</t>
        </is>
      </c>
      <c r="G231" s="26" t="inlineStr">
        <is>
          <t>●</t>
        </is>
      </c>
      <c r="H231" s="29" t="n"/>
      <c r="I231" s="30" t="n"/>
      <c r="J231" s="30" t="n"/>
      <c r="K231" s="30" t="n"/>
      <c r="L231" s="30" t="n"/>
      <c r="M231" s="31" t="n"/>
      <c r="N231" s="29" t="n"/>
      <c r="O231" s="31" t="n"/>
    </row>
    <row r="232" ht="15" customHeight="1" s="16">
      <c r="A232" s="26" t="n">
        <v>231</v>
      </c>
      <c r="B232" s="26" t="n">
        <v>29</v>
      </c>
      <c r="C232" s="26" t="n">
        <v>20</v>
      </c>
      <c r="D232" s="27" t="inlineStr">
        <is>
          <t>稅</t>
        </is>
      </c>
      <c r="E232" s="28" t="inlineStr">
        <is>
          <t>歲率戶二百</t>
        </is>
      </c>
      <c r="F232" s="27" t="inlineStr">
        <is>
          <t>千戶之君則二十萬</t>
        </is>
      </c>
      <c r="G232" s="26" t="n"/>
      <c r="H232" s="29" t="n"/>
      <c r="I232" s="30" t="n"/>
      <c r="J232" s="30" t="n"/>
      <c r="K232" s="30" t="n"/>
      <c r="L232" s="30" t="n"/>
      <c r="M232" s="31" t="n"/>
      <c r="N232" s="29" t="n"/>
      <c r="O232" s="31" t="n"/>
    </row>
    <row r="233" ht="15" customHeight="1" s="16">
      <c r="A233" s="26" t="n">
        <v>232</v>
      </c>
      <c r="B233" s="26" t="n">
        <v>29</v>
      </c>
      <c r="C233" s="26" t="n">
        <v>22</v>
      </c>
      <c r="D233" s="27" t="inlineStr">
        <is>
          <t>千戶之君則二十萬</t>
        </is>
      </c>
      <c r="E233" s="28" t="inlineStr">
        <is>
          <t>朝覲聘享出其中</t>
        </is>
      </c>
      <c r="F233" s="27" t="inlineStr">
        <is>
          <t>庶民農工商賈</t>
        </is>
      </c>
      <c r="G233" s="26" t="n"/>
      <c r="H233" s="29" t="n"/>
      <c r="I233" s="30" t="n"/>
      <c r="J233" s="30" t="n"/>
      <c r="K233" s="30" t="n"/>
      <c r="L233" s="30" t="n"/>
      <c r="M233" s="31" t="n"/>
      <c r="N233" s="29" t="n"/>
      <c r="O233" s="31" t="n"/>
    </row>
    <row r="234" ht="15" customHeight="1" s="16">
      <c r="A234" s="26" t="n">
        <v>233</v>
      </c>
      <c r="B234" s="26" t="n">
        <v>29</v>
      </c>
      <c r="C234" s="26" t="n">
        <v>23</v>
      </c>
      <c r="D234" s="27" t="inlineStr">
        <is>
          <t>朝覲聘享出其中</t>
        </is>
      </c>
      <c r="E234" s="32" t="inlineStr">
        <is>
          <t>庶民農工商賈</t>
        </is>
      </c>
      <c r="F234" s="27" t="inlineStr">
        <is>
          <t>率亦歲萬息二千</t>
        </is>
      </c>
      <c r="G234" s="26" t="inlineStr">
        <is>
          <t>●</t>
        </is>
      </c>
      <c r="H234" s="29" t="n"/>
      <c r="I234" s="30" t="n"/>
      <c r="J234" s="30" t="n"/>
      <c r="K234" s="30" t="n"/>
      <c r="L234" s="30" t="n"/>
      <c r="M234" s="31" t="n"/>
      <c r="N234" s="29" t="n"/>
      <c r="O234" s="31" t="n"/>
    </row>
    <row r="235" ht="15" customHeight="1" s="16">
      <c r="A235" s="26" t="n">
        <v>234</v>
      </c>
      <c r="B235" s="26" t="n">
        <v>29</v>
      </c>
      <c r="C235" s="26" t="n">
        <v>24</v>
      </c>
      <c r="D235" s="27" t="inlineStr">
        <is>
          <t>庶民農工商賈</t>
        </is>
      </c>
      <c r="E235" s="32" t="inlineStr">
        <is>
          <t>率亦歲萬息二千</t>
        </is>
      </c>
      <c r="F235" s="27" t="inlineStr">
        <is>
          <t>百萬</t>
        </is>
      </c>
      <c r="G235" s="26" t="inlineStr">
        <is>
          <t>●</t>
        </is>
      </c>
      <c r="H235" s="29" t="n"/>
      <c r="I235" s="30" t="n"/>
      <c r="J235" s="30" t="n"/>
      <c r="K235" s="30" t="n"/>
      <c r="L235" s="30" t="n"/>
      <c r="M235" s="31" t="n"/>
      <c r="N235" s="29" t="n"/>
      <c r="O235" s="31" t="n"/>
    </row>
    <row r="236" ht="15" customHeight="1" s="16">
      <c r="A236" s="26" t="n">
        <v>235</v>
      </c>
      <c r="B236" s="26" t="n">
        <v>29</v>
      </c>
      <c r="C236" s="26" t="n">
        <v>25</v>
      </c>
      <c r="D236" s="27" t="inlineStr">
        <is>
          <t>率亦歲萬息二千</t>
        </is>
      </c>
      <c r="E236" s="28" t="inlineStr">
        <is>
          <t>百萬</t>
        </is>
      </c>
      <c r="F236" s="27" t="inlineStr">
        <is>
          <t>之家則二十萬</t>
        </is>
      </c>
      <c r="G236" s="26" t="n"/>
      <c r="H236" s="29" t="n"/>
      <c r="I236" s="30" t="n"/>
      <c r="J236" s="30" t="n"/>
      <c r="K236" s="30" t="n"/>
      <c r="L236" s="30" t="n"/>
      <c r="M236" s="31" t="n"/>
      <c r="N236" s="29" t="n"/>
      <c r="O236" s="31" t="n"/>
    </row>
    <row r="237" ht="15" customHeight="1" s="16">
      <c r="A237" s="26" t="n">
        <v>236</v>
      </c>
      <c r="B237" s="26" t="n">
        <v>29</v>
      </c>
      <c r="C237" s="26" t="n">
        <v>26</v>
      </c>
      <c r="D237" s="27" t="inlineStr">
        <is>
          <t>百萬</t>
        </is>
      </c>
      <c r="E237" s="28" t="inlineStr">
        <is>
          <t>之家則二十萬</t>
        </is>
      </c>
      <c r="F237" s="27" t="inlineStr">
        <is>
          <t>而更傜租賦出其中</t>
        </is>
      </c>
      <c r="G237" s="26" t="n"/>
      <c r="H237" s="29" t="n"/>
      <c r="I237" s="30" t="n"/>
      <c r="J237" s="30" t="n"/>
      <c r="K237" s="30" t="n"/>
      <c r="L237" s="30" t="n"/>
      <c r="M237" s="31" t="n"/>
      <c r="N237" s="29" t="n"/>
      <c r="O237" s="31" t="n"/>
    </row>
    <row r="238" ht="15" customHeight="1" s="16">
      <c r="A238" s="26" t="n">
        <v>237</v>
      </c>
      <c r="B238" s="26" t="n">
        <v>29</v>
      </c>
      <c r="C238" s="26" t="n">
        <v>27</v>
      </c>
      <c r="D238" s="27" t="inlineStr">
        <is>
          <t>之家則二十萬</t>
        </is>
      </c>
      <c r="E238" s="32" t="inlineStr">
        <is>
          <t>而更傜租賦出其中</t>
        </is>
      </c>
      <c r="F238" s="27" t="inlineStr">
        <is>
          <t>衣食之欲</t>
        </is>
      </c>
      <c r="G238" s="26" t="inlineStr">
        <is>
          <t>●</t>
        </is>
      </c>
      <c r="H238" s="29" t="n"/>
      <c r="I238" s="30" t="n"/>
      <c r="J238" s="30" t="n"/>
      <c r="K238" s="30" t="n"/>
      <c r="L238" s="30" t="n"/>
      <c r="M238" s="31" t="n"/>
      <c r="N238" s="29" t="n"/>
      <c r="O238" s="31" t="n"/>
    </row>
    <row r="239" ht="15" customHeight="1" s="16">
      <c r="A239" s="26" t="n">
        <v>238</v>
      </c>
      <c r="B239" s="26" t="n">
        <v>29</v>
      </c>
      <c r="C239" s="26" t="n">
        <v>28</v>
      </c>
      <c r="D239" s="27" t="inlineStr">
        <is>
          <t>而更傜租賦出其中</t>
        </is>
      </c>
      <c r="E239" s="28" t="inlineStr">
        <is>
          <t>衣食之欲</t>
        </is>
      </c>
      <c r="F239" s="27" t="inlineStr">
        <is>
          <t>恣所好美矣</t>
        </is>
      </c>
      <c r="G239" s="26" t="n"/>
      <c r="H239" s="29" t="n"/>
      <c r="I239" s="30" t="n"/>
      <c r="J239" s="30" t="n"/>
      <c r="K239" s="30" t="n"/>
      <c r="L239" s="30" t="n"/>
      <c r="M239" s="31" t="n"/>
      <c r="N239" s="29" t="n"/>
      <c r="O239" s="31" t="n"/>
    </row>
    <row r="240" ht="15" customHeight="1" s="16">
      <c r="A240" s="26" t="n">
        <v>239</v>
      </c>
      <c r="B240" s="26" t="n">
        <v>29</v>
      </c>
      <c r="C240" s="26" t="n">
        <v>55</v>
      </c>
      <c r="D240" s="27" t="inlineStr">
        <is>
          <t>千畦薑韭</t>
        </is>
      </c>
      <c r="E240" s="28" t="inlineStr">
        <is>
          <t>此其人皆與千戶侯等</t>
        </is>
      </c>
      <c r="F240" s="27" t="inlineStr">
        <is>
          <t>然是富給</t>
        </is>
      </c>
      <c r="G240" s="26" t="n"/>
      <c r="H240" s="29" t="n"/>
      <c r="I240" s="30" t="n"/>
      <c r="J240" s="30" t="n"/>
      <c r="K240" s="30" t="n"/>
      <c r="L240" s="30" t="n"/>
      <c r="M240" s="31" t="n"/>
      <c r="N240" s="29" t="n"/>
      <c r="O240" s="31" t="n"/>
    </row>
    <row r="241" ht="15" customHeight="1" s="16">
      <c r="A241" s="26" t="n">
        <v>240</v>
      </c>
      <c r="B241" s="26" t="n">
        <v>29</v>
      </c>
      <c r="C241" s="26" t="n">
        <v>56</v>
      </c>
      <c r="D241" s="27" t="inlineStr">
        <is>
          <t>此其人皆與千戶侯等</t>
        </is>
      </c>
      <c r="E241" s="32" t="inlineStr">
        <is>
          <t>然是富給</t>
        </is>
      </c>
      <c r="F241" s="27" t="inlineStr">
        <is>
          <t>之資也</t>
        </is>
      </c>
      <c r="G241" s="26" t="inlineStr">
        <is>
          <t>●</t>
        </is>
      </c>
      <c r="H241" s="29" t="n"/>
      <c r="I241" s="30" t="n"/>
      <c r="J241" s="30" t="n"/>
      <c r="K241" s="30" t="n"/>
      <c r="L241" s="30" t="n"/>
      <c r="M241" s="31" t="n"/>
      <c r="N241" s="29" t="n"/>
      <c r="O241" s="31" t="n"/>
    </row>
    <row r="242" ht="15" customHeight="1" s="16">
      <c r="A242" s="26" t="n">
        <v>241</v>
      </c>
      <c r="B242" s="26" t="n">
        <v>29</v>
      </c>
      <c r="C242" s="26" t="n">
        <v>57</v>
      </c>
      <c r="D242" s="27" t="inlineStr">
        <is>
          <t>然是富給</t>
        </is>
      </c>
      <c r="E242" s="32" t="inlineStr">
        <is>
          <t>之資也</t>
        </is>
      </c>
      <c r="F242" s="27" t="inlineStr">
        <is>
          <t>不窺市井</t>
        </is>
      </c>
      <c r="G242" s="26" t="inlineStr">
        <is>
          <t>●</t>
        </is>
      </c>
      <c r="H242" s="29" t="n"/>
      <c r="I242" s="30" t="n"/>
      <c r="J242" s="30" t="n"/>
      <c r="K242" s="30" t="n"/>
      <c r="L242" s="30" t="n"/>
      <c r="M242" s="31" t="n"/>
      <c r="N242" s="29" t="n"/>
      <c r="O242" s="31" t="n"/>
    </row>
    <row r="243" ht="15" customHeight="1" s="16">
      <c r="A243" s="26" t="n">
        <v>242</v>
      </c>
      <c r="B243" s="26" t="n">
        <v>29</v>
      </c>
      <c r="C243" s="26" t="n">
        <v>58</v>
      </c>
      <c r="D243" s="27" t="inlineStr">
        <is>
          <t>之資也</t>
        </is>
      </c>
      <c r="E243" s="28" t="inlineStr">
        <is>
          <t>不窺市井</t>
        </is>
      </c>
      <c r="F243" s="27" t="inlineStr">
        <is>
          <t>不行異邑</t>
        </is>
      </c>
      <c r="G243" s="26" t="n"/>
      <c r="H243" s="29" t="n"/>
      <c r="I243" s="30" t="n"/>
      <c r="J243" s="30" t="n"/>
      <c r="K243" s="30" t="n"/>
      <c r="L243" s="30" t="n"/>
      <c r="M243" s="31" t="n"/>
      <c r="N243" s="29" t="n"/>
      <c r="O243" s="31" t="n"/>
    </row>
    <row r="244" ht="15" customHeight="1" s="16">
      <c r="A244" s="26" t="n">
        <v>243</v>
      </c>
      <c r="B244" s="26" t="n">
        <v>29</v>
      </c>
      <c r="C244" s="26" t="n">
        <v>61</v>
      </c>
      <c r="D244" s="27" t="inlineStr">
        <is>
          <t>坐而待收</t>
        </is>
      </c>
      <c r="E244" s="28" t="inlineStr">
        <is>
          <t>身有處士之義而取給焉</t>
        </is>
      </c>
      <c r="F244" s="27" t="inlineStr">
        <is>
          <t>若至家貧親老</t>
        </is>
      </c>
      <c r="G244" s="26" t="n"/>
      <c r="H244" s="29" t="n"/>
      <c r="I244" s="30" t="n"/>
      <c r="J244" s="30" t="n"/>
      <c r="K244" s="30" t="n"/>
      <c r="L244" s="30" t="n"/>
      <c r="M244" s="31" t="n"/>
      <c r="N244" s="29" t="n"/>
      <c r="O244" s="31" t="n"/>
    </row>
    <row r="245" ht="15" customHeight="1" s="16">
      <c r="A245" s="26" t="n">
        <v>244</v>
      </c>
      <c r="B245" s="26" t="n">
        <v>29</v>
      </c>
      <c r="C245" s="26" t="n">
        <v>62</v>
      </c>
      <c r="D245" s="27" t="inlineStr">
        <is>
          <t>身有處士之義而取給焉</t>
        </is>
      </c>
      <c r="E245" s="32" t="inlineStr">
        <is>
          <t>若至家貧親老</t>
        </is>
      </c>
      <c r="F245" s="27" t="inlineStr">
        <is>
          <t>妻子軟弱</t>
        </is>
      </c>
      <c r="G245" s="26" t="inlineStr">
        <is>
          <t>●</t>
        </is>
      </c>
      <c r="H245" s="29" t="n"/>
      <c r="I245" s="30" t="n"/>
      <c r="J245" s="30" t="n"/>
      <c r="K245" s="30" t="n"/>
      <c r="L245" s="30" t="n"/>
      <c r="M245" s="31" t="n"/>
      <c r="N245" s="29" t="n"/>
      <c r="O245" s="31" t="n"/>
    </row>
    <row r="246" ht="15" customHeight="1" s="16">
      <c r="A246" s="26" t="n">
        <v>245</v>
      </c>
      <c r="B246" s="26" t="n">
        <v>29</v>
      </c>
      <c r="C246" s="26" t="n">
        <v>63</v>
      </c>
      <c r="D246" s="27" t="inlineStr">
        <is>
          <t>若至家貧親老</t>
        </is>
      </c>
      <c r="E246" s="28" t="inlineStr">
        <is>
          <t>妻子軟弱</t>
        </is>
      </c>
      <c r="F246" s="27" t="inlineStr">
        <is>
          <t>歲時無以祭祀進醵</t>
        </is>
      </c>
      <c r="G246" s="26" t="n"/>
      <c r="H246" s="29" t="n"/>
      <c r="I246" s="30" t="n"/>
      <c r="J246" s="30" t="n"/>
      <c r="K246" s="30" t="n"/>
      <c r="L246" s="30" t="n"/>
      <c r="M246" s="31" t="n"/>
      <c r="N246" s="29" t="n"/>
      <c r="O246" s="31" t="n"/>
    </row>
    <row r="247" ht="15" customHeight="1" s="16">
      <c r="A247" s="26" t="n">
        <v>246</v>
      </c>
      <c r="B247" s="26" t="n">
        <v>29</v>
      </c>
      <c r="C247" s="26" t="n">
        <v>67</v>
      </c>
      <c r="D247" s="27" t="inlineStr">
        <is>
          <t>如此不慚恥</t>
        </is>
      </c>
      <c r="E247" s="28" t="inlineStr">
        <is>
          <t>則無所比矣</t>
        </is>
      </c>
      <c r="F247" s="27" t="inlineStr">
        <is>
          <t>是以無財作力</t>
        </is>
      </c>
      <c r="G247" s="26" t="n"/>
      <c r="H247" s="29" t="n"/>
      <c r="I247" s="30" t="n"/>
      <c r="J247" s="30" t="n"/>
      <c r="K247" s="30" t="n"/>
      <c r="L247" s="30" t="n"/>
      <c r="M247" s="31" t="n"/>
      <c r="N247" s="29" t="n"/>
      <c r="O247" s="31" t="n"/>
    </row>
    <row r="248" ht="15" customHeight="1" s="16">
      <c r="A248" s="26" t="n">
        <v>247</v>
      </c>
      <c r="B248" s="26" t="n">
        <v>29</v>
      </c>
      <c r="C248" s="26" t="n">
        <v>68</v>
      </c>
      <c r="D248" s="27" t="inlineStr">
        <is>
          <t>則無所比矣</t>
        </is>
      </c>
      <c r="E248" s="32" t="inlineStr">
        <is>
          <t>是以無財作力</t>
        </is>
      </c>
      <c r="F248" s="27" t="inlineStr">
        <is>
          <t>少有鬬</t>
        </is>
      </c>
      <c r="G248" s="26" t="inlineStr">
        <is>
          <t>●</t>
        </is>
      </c>
      <c r="H248" s="29" t="n"/>
      <c r="I248" s="30" t="n"/>
      <c r="J248" s="30" t="n"/>
      <c r="K248" s="30" t="n"/>
      <c r="L248" s="30" t="n"/>
      <c r="M248" s="31" t="n"/>
      <c r="N248" s="29" t="n"/>
      <c r="O248" s="31" t="n"/>
    </row>
    <row r="249" ht="15" customHeight="1" s="16">
      <c r="A249" s="26" t="n">
        <v>248</v>
      </c>
      <c r="B249" s="26" t="n">
        <v>29</v>
      </c>
      <c r="C249" s="26" t="n">
        <v>69</v>
      </c>
      <c r="D249" s="27" t="inlineStr">
        <is>
          <t>是以無財作力</t>
        </is>
      </c>
      <c r="E249" s="28" t="inlineStr">
        <is>
          <t>少有鬬</t>
        </is>
      </c>
      <c r="F249" s="27" t="inlineStr">
        <is>
          <t>智</t>
        </is>
      </c>
      <c r="G249" s="26" t="n"/>
      <c r="H249" s="29" t="n"/>
      <c r="I249" s="30" t="n"/>
      <c r="J249" s="30" t="n"/>
      <c r="K249" s="30" t="n"/>
      <c r="L249" s="30" t="n"/>
      <c r="M249" s="31" t="n"/>
      <c r="N249" s="29" t="n"/>
      <c r="O249" s="31" t="n"/>
    </row>
    <row r="250" ht="15" customHeight="1" s="16">
      <c r="A250" s="26" t="n">
        <v>249</v>
      </c>
      <c r="B250" s="26" t="n">
        <v>29</v>
      </c>
      <c r="C250" s="26" t="n">
        <v>74</v>
      </c>
      <c r="D250" s="27" t="inlineStr">
        <is>
          <t>今治生不待危身取給</t>
        </is>
      </c>
      <c r="E250" s="28" t="inlineStr">
        <is>
          <t>則賢人勉焉</t>
        </is>
      </c>
      <c r="F250" s="27" t="inlineStr">
        <is>
          <t>是故本富為上</t>
        </is>
      </c>
      <c r="G250" s="26" t="n"/>
      <c r="H250" s="29" t="n"/>
      <c r="I250" s="30" t="n"/>
      <c r="J250" s="30" t="n"/>
      <c r="K250" s="30" t="n"/>
      <c r="L250" s="30" t="n"/>
      <c r="M250" s="31" t="n"/>
      <c r="N250" s="29" t="n"/>
      <c r="O250" s="31" t="n"/>
    </row>
    <row r="251" ht="15" customHeight="1" s="16">
      <c r="A251" s="26" t="n">
        <v>250</v>
      </c>
      <c r="B251" s="26" t="n">
        <v>29</v>
      </c>
      <c r="C251" s="26" t="n">
        <v>75</v>
      </c>
      <c r="D251" s="27" t="inlineStr">
        <is>
          <t>則賢人勉焉</t>
        </is>
      </c>
      <c r="E251" s="32" t="inlineStr">
        <is>
          <t>是故本富為上</t>
        </is>
      </c>
      <c r="F251" s="27" t="inlineStr">
        <is>
          <t>末富次之</t>
        </is>
      </c>
      <c r="G251" s="26" t="inlineStr">
        <is>
          <t>●</t>
        </is>
      </c>
      <c r="H251" s="29" t="n"/>
      <c r="I251" s="30" t="n"/>
      <c r="J251" s="30" t="n"/>
      <c r="K251" s="30" t="n"/>
      <c r="L251" s="30" t="n"/>
      <c r="M251" s="31" t="n"/>
      <c r="N251" s="29" t="n"/>
      <c r="O251" s="31" t="n"/>
    </row>
    <row r="252" ht="15" customHeight="1" s="16">
      <c r="A252" s="26" t="n">
        <v>251</v>
      </c>
      <c r="B252" s="26" t="n">
        <v>29</v>
      </c>
      <c r="C252" s="26" t="n">
        <v>76</v>
      </c>
      <c r="D252" s="27" t="inlineStr">
        <is>
          <t>是故本富為上</t>
        </is>
      </c>
      <c r="E252" s="32" t="inlineStr">
        <is>
          <t>末富次之</t>
        </is>
      </c>
      <c r="F252" s="27" t="inlineStr">
        <is>
          <t>姦</t>
        </is>
      </c>
      <c r="G252" s="26" t="inlineStr">
        <is>
          <t>●</t>
        </is>
      </c>
      <c r="H252" s="29" t="n"/>
      <c r="I252" s="30" t="n"/>
      <c r="J252" s="30" t="n"/>
      <c r="K252" s="30" t="n"/>
      <c r="L252" s="30" t="n"/>
      <c r="M252" s="31" t="n"/>
      <c r="N252" s="29" t="n"/>
      <c r="O252" s="31" t="n"/>
    </row>
    <row r="253" ht="15" customHeight="1" s="16">
      <c r="A253" s="26" t="n">
        <v>252</v>
      </c>
      <c r="B253" s="26" t="n">
        <v>29</v>
      </c>
      <c r="C253" s="26" t="n">
        <v>77</v>
      </c>
      <c r="D253" s="27" t="inlineStr">
        <is>
          <t>末富次之</t>
        </is>
      </c>
      <c r="E253" s="28" t="inlineStr">
        <is>
          <t>姦</t>
        </is>
      </c>
      <c r="F253" s="27" t="inlineStr">
        <is>
          <t>富最下</t>
        </is>
      </c>
      <c r="G253" s="26" t="n"/>
      <c r="H253" s="29" t="n"/>
      <c r="I253" s="30" t="n"/>
      <c r="J253" s="30" t="n"/>
      <c r="K253" s="30" t="n"/>
      <c r="L253" s="30" t="n"/>
      <c r="M253" s="31" t="n"/>
      <c r="N253" s="29" t="n"/>
      <c r="O253" s="31" t="n"/>
    </row>
    <row r="254" ht="15" customHeight="1" s="16">
      <c r="A254" s="26" t="n">
        <v>253</v>
      </c>
      <c r="B254" s="26" t="n">
        <v>29</v>
      </c>
      <c r="C254" s="26" t="n">
        <v>78</v>
      </c>
      <c r="D254" s="27" t="inlineStr">
        <is>
          <t>姦</t>
        </is>
      </c>
      <c r="E254" s="32" t="inlineStr">
        <is>
          <t>富最下</t>
        </is>
      </c>
      <c r="F254" s="27" t="inlineStr">
        <is>
          <t>無巖處奇士之行</t>
        </is>
      </c>
      <c r="G254" s="26" t="inlineStr">
        <is>
          <t>●</t>
        </is>
      </c>
      <c r="H254" s="29" t="n"/>
      <c r="I254" s="30" t="n"/>
      <c r="J254" s="30" t="n"/>
      <c r="K254" s="30" t="n"/>
      <c r="L254" s="30" t="n"/>
      <c r="M254" s="31" t="n"/>
      <c r="N254" s="29" t="n"/>
      <c r="O254" s="31" t="n"/>
    </row>
    <row r="255" ht="15" customHeight="1" s="16">
      <c r="A255" s="26" t="n">
        <v>254</v>
      </c>
      <c r="B255" s="26" t="n">
        <v>29</v>
      </c>
      <c r="C255" s="26" t="n">
        <v>79</v>
      </c>
      <c r="D255" s="27" t="inlineStr">
        <is>
          <t>富最下</t>
        </is>
      </c>
      <c r="E255" s="28" t="inlineStr">
        <is>
          <t>無巖處奇士之行</t>
        </is>
      </c>
      <c r="F255" s="27" t="inlineStr">
        <is>
          <t>而長貧賤</t>
        </is>
      </c>
      <c r="G255" s="26" t="n"/>
      <c r="H255" s="29" t="n"/>
      <c r="I255" s="30" t="n"/>
      <c r="J255" s="30" t="n"/>
      <c r="K255" s="30" t="n"/>
      <c r="L255" s="30" t="n"/>
      <c r="M255" s="31" t="n"/>
      <c r="N255" s="29" t="n"/>
      <c r="O255" s="31" t="n"/>
    </row>
    <row r="256" ht="15" customHeight="1" s="16">
      <c r="A256" s="26" t="n">
        <v>255</v>
      </c>
      <c r="B256" s="26" t="n">
        <v>29</v>
      </c>
      <c r="C256" s="26" t="n">
        <v>80</v>
      </c>
      <c r="D256" s="27" t="inlineStr">
        <is>
          <t>無巖處奇士之行</t>
        </is>
      </c>
      <c r="E256" s="32" t="inlineStr">
        <is>
          <t>而長貧賤</t>
        </is>
      </c>
      <c r="F256" s="27" t="inlineStr">
        <is>
          <t>好語仁義</t>
        </is>
      </c>
      <c r="G256" s="26" t="inlineStr">
        <is>
          <t>●</t>
        </is>
      </c>
      <c r="H256" s="29" t="n"/>
      <c r="I256" s="30" t="n"/>
      <c r="J256" s="30" t="n"/>
      <c r="K256" s="30" t="n"/>
      <c r="L256" s="30" t="n"/>
      <c r="M256" s="31" t="n"/>
      <c r="N256" s="29" t="n"/>
      <c r="O256" s="31" t="n"/>
    </row>
    <row r="257" ht="15" customHeight="1" s="16">
      <c r="A257" s="26" t="n">
        <v>256</v>
      </c>
      <c r="B257" s="26" t="n">
        <v>29</v>
      </c>
      <c r="C257" s="26" t="n">
        <v>81</v>
      </c>
      <c r="D257" s="27" t="inlineStr">
        <is>
          <t>而長貧賤</t>
        </is>
      </c>
      <c r="E257" s="28" t="inlineStr">
        <is>
          <t>好語仁義</t>
        </is>
      </c>
      <c r="F257" s="27" t="inlineStr">
        <is>
          <t>亦足羞也</t>
        </is>
      </c>
      <c r="G257" s="26" t="n"/>
      <c r="H257" s="29" t="n"/>
      <c r="I257" s="30" t="n"/>
      <c r="J257" s="30" t="n"/>
      <c r="K257" s="30" t="n"/>
      <c r="L257" s="30" t="n"/>
      <c r="M257" s="31" t="n"/>
      <c r="N257" s="29" t="n"/>
      <c r="O257" s="31" t="n"/>
    </row>
    <row r="258" ht="15" customHeight="1" s="16">
      <c r="A258" s="26" t="n">
        <v>257</v>
      </c>
      <c r="B258" s="26" t="n">
        <v>30</v>
      </c>
      <c r="C258" s="26" t="n">
        <v>1</v>
      </c>
      <c r="D258" s="27" t="n"/>
      <c r="E258" s="28" t="inlineStr">
        <is>
          <t>凡編戶之民</t>
        </is>
      </c>
      <c r="F258" s="27" t="inlineStr">
        <is>
          <t>富相什則卑下之</t>
        </is>
      </c>
      <c r="G258" s="26" t="n"/>
      <c r="H258" s="29" t="n"/>
      <c r="I258" s="30" t="n"/>
      <c r="J258" s="30" t="n"/>
      <c r="K258" s="30" t="n"/>
      <c r="L258" s="30" t="n"/>
      <c r="M258" s="31" t="n"/>
      <c r="N258" s="29" t="n"/>
      <c r="O258" s="31" t="n"/>
    </row>
    <row r="259" ht="15" customHeight="1" s="16">
      <c r="A259" s="26" t="n">
        <v>258</v>
      </c>
      <c r="B259" s="26" t="n">
        <v>30</v>
      </c>
      <c r="C259" s="26" t="n">
        <v>2</v>
      </c>
      <c r="D259" s="27" t="inlineStr">
        <is>
          <t>凡編戶之民</t>
        </is>
      </c>
      <c r="E259" s="32" t="inlineStr">
        <is>
          <t>富相什則卑下之</t>
        </is>
      </c>
      <c r="F259" s="27" t="inlineStr">
        <is>
          <t>伯則畏憚之</t>
        </is>
      </c>
      <c r="G259" s="26" t="inlineStr">
        <is>
          <t>●</t>
        </is>
      </c>
      <c r="H259" s="29" t="n"/>
      <c r="I259" s="30" t="n"/>
      <c r="J259" s="30" t="n"/>
      <c r="K259" s="30" t="n"/>
      <c r="L259" s="30" t="n"/>
      <c r="M259" s="31" t="n"/>
      <c r="N259" s="29" t="n"/>
      <c r="O259" s="31" t="n"/>
    </row>
    <row r="260" ht="15" customHeight="1" s="16">
      <c r="A260" s="26" t="n">
        <v>259</v>
      </c>
      <c r="B260" s="26" t="n">
        <v>30</v>
      </c>
      <c r="C260" s="26" t="n">
        <v>3</v>
      </c>
      <c r="D260" s="27" t="inlineStr">
        <is>
          <t>富相什則卑下之</t>
        </is>
      </c>
      <c r="E260" s="28" t="inlineStr">
        <is>
          <t>伯則畏憚之</t>
        </is>
      </c>
      <c r="F260" s="27" t="inlineStr">
        <is>
          <t>千則役</t>
        </is>
      </c>
      <c r="G260" s="26" t="n"/>
      <c r="H260" s="29" t="n"/>
      <c r="I260" s="30" t="n"/>
      <c r="J260" s="30" t="n"/>
      <c r="K260" s="30" t="n"/>
      <c r="L260" s="30" t="n"/>
      <c r="M260" s="31" t="n"/>
      <c r="N260" s="29" t="n"/>
      <c r="O260" s="31" t="n"/>
    </row>
    <row r="261" ht="15" customHeight="1" s="16">
      <c r="A261" s="26" t="n">
        <v>260</v>
      </c>
      <c r="B261" s="26" t="n">
        <v>30</v>
      </c>
      <c r="C261" s="26" t="n">
        <v>6</v>
      </c>
      <c r="D261" s="27" t="inlineStr">
        <is>
          <t>萬則仆</t>
        </is>
      </c>
      <c r="E261" s="28" t="inlineStr">
        <is>
          <t>物之理也</t>
        </is>
      </c>
      <c r="F261" s="27" t="inlineStr">
        <is>
          <t>夫用貧求富</t>
        </is>
      </c>
      <c r="G261" s="26" t="n"/>
      <c r="H261" s="29" t="n"/>
      <c r="I261" s="30" t="n"/>
      <c r="J261" s="30" t="n"/>
      <c r="K261" s="30" t="n"/>
      <c r="L261" s="30" t="n"/>
      <c r="M261" s="31" t="n"/>
      <c r="N261" s="29" t="n"/>
      <c r="O261" s="31" t="n"/>
    </row>
    <row r="262" ht="15" customHeight="1" s="16">
      <c r="A262" s="26" t="n">
        <v>261</v>
      </c>
      <c r="B262" s="26" t="n">
        <v>30</v>
      </c>
      <c r="C262" s="26" t="n">
        <v>7</v>
      </c>
      <c r="D262" s="27" t="inlineStr">
        <is>
          <t>物之理也</t>
        </is>
      </c>
      <c r="E262" s="32" t="inlineStr">
        <is>
          <t>夫用貧求富</t>
        </is>
      </c>
      <c r="F262" s="27" t="inlineStr">
        <is>
          <t>農不如</t>
        </is>
      </c>
      <c r="G262" s="26" t="inlineStr">
        <is>
          <t>●</t>
        </is>
      </c>
      <c r="H262" s="29" t="n"/>
      <c r="I262" s="30" t="n"/>
      <c r="J262" s="30" t="n"/>
      <c r="K262" s="30" t="n"/>
      <c r="L262" s="30" t="n"/>
      <c r="M262" s="31" t="n"/>
      <c r="N262" s="29" t="n"/>
      <c r="O262" s="31" t="n"/>
    </row>
    <row r="263" ht="15" customHeight="1" s="16">
      <c r="A263" s="26" t="n">
        <v>262</v>
      </c>
      <c r="B263" s="26" t="n">
        <v>30</v>
      </c>
      <c r="C263" s="26" t="n">
        <v>8</v>
      </c>
      <c r="D263" s="27" t="inlineStr">
        <is>
          <t>夫用貧求富</t>
        </is>
      </c>
      <c r="E263" s="28" t="inlineStr">
        <is>
          <t>農不如</t>
        </is>
      </c>
      <c r="F263" s="27" t="inlineStr">
        <is>
          <t>工</t>
        </is>
      </c>
      <c r="G263" s="26" t="n"/>
      <c r="H263" s="29" t="n"/>
      <c r="I263" s="30" t="n"/>
      <c r="J263" s="30" t="n"/>
      <c r="K263" s="30" t="n"/>
      <c r="L263" s="30" t="n"/>
      <c r="M263" s="31" t="n"/>
      <c r="N263" s="29" t="n"/>
      <c r="O263" s="31" t="n"/>
    </row>
    <row r="264" ht="15" customHeight="1" s="16">
      <c r="A264" s="26" t="n">
        <v>263</v>
      </c>
      <c r="B264" s="26" t="n">
        <v>30</v>
      </c>
      <c r="C264" s="26" t="n">
        <v>9</v>
      </c>
      <c r="D264" s="27" t="inlineStr">
        <is>
          <t>農不如</t>
        </is>
      </c>
      <c r="E264" s="28" t="inlineStr">
        <is>
          <t>工</t>
        </is>
      </c>
      <c r="F264" s="27" t="inlineStr">
        <is>
          <t>工不如商</t>
        </is>
      </c>
      <c r="G264" s="26" t="n"/>
      <c r="H264" s="29" t="n"/>
      <c r="I264" s="30" t="n"/>
      <c r="J264" s="30" t="n"/>
      <c r="K264" s="30" t="n"/>
      <c r="L264" s="30" t="n"/>
      <c r="M264" s="31" t="n"/>
      <c r="N264" s="29" t="n"/>
      <c r="O264" s="31" t="n"/>
    </row>
    <row r="265" ht="15" customHeight="1" s="16">
      <c r="A265" s="26" t="n">
        <v>264</v>
      </c>
      <c r="B265" s="26" t="n">
        <v>30</v>
      </c>
      <c r="C265" s="26" t="n">
        <v>10</v>
      </c>
      <c r="D265" s="27" t="inlineStr">
        <is>
          <t>工</t>
        </is>
      </c>
      <c r="E265" s="32" t="inlineStr">
        <is>
          <t>工不如商</t>
        </is>
      </c>
      <c r="F265" s="27" t="inlineStr">
        <is>
          <t>刺繡文不如倚市門</t>
        </is>
      </c>
      <c r="G265" s="26" t="inlineStr">
        <is>
          <t>●</t>
        </is>
      </c>
      <c r="H265" s="29" t="n"/>
      <c r="I265" s="30" t="n"/>
      <c r="J265" s="30" t="n"/>
      <c r="K265" s="30" t="n"/>
      <c r="L265" s="30" t="n"/>
      <c r="M265" s="31" t="n"/>
      <c r="N265" s="29" t="n"/>
      <c r="O265" s="31" t="n"/>
    </row>
    <row r="266" ht="15" customHeight="1" s="16">
      <c r="A266" s="26" t="n">
        <v>265</v>
      </c>
      <c r="B266" s="26" t="n">
        <v>30</v>
      </c>
      <c r="C266" s="26" t="n">
        <v>11</v>
      </c>
      <c r="D266" s="27" t="inlineStr">
        <is>
          <t>工不如商</t>
        </is>
      </c>
      <c r="E266" s="28" t="inlineStr">
        <is>
          <t>刺繡文不如倚市門</t>
        </is>
      </c>
      <c r="F266" s="27" t="inlineStr">
        <is>
          <t>此言末業</t>
        </is>
      </c>
      <c r="G266" s="26" t="n"/>
      <c r="H266" s="29" t="n"/>
      <c r="I266" s="30" t="n"/>
      <c r="J266" s="30" t="n"/>
      <c r="K266" s="30" t="n"/>
      <c r="L266" s="30" t="n"/>
      <c r="M266" s="31" t="n"/>
      <c r="N266" s="29" t="n"/>
      <c r="O266" s="31" t="n"/>
    </row>
    <row r="267" ht="15" customHeight="1" s="16">
      <c r="A267" s="26" t="n">
        <v>266</v>
      </c>
      <c r="B267" s="26" t="n">
        <v>30</v>
      </c>
      <c r="C267" s="26" t="n">
        <v>12</v>
      </c>
      <c r="D267" s="27" t="inlineStr">
        <is>
          <t>刺繡文不如倚市門</t>
        </is>
      </c>
      <c r="E267" s="28" t="inlineStr">
        <is>
          <t>此言末業</t>
        </is>
      </c>
      <c r="F267" s="27" t="inlineStr">
        <is>
          <t>貧者之資也</t>
        </is>
      </c>
      <c r="G267" s="26" t="n"/>
      <c r="H267" s="29" t="n"/>
      <c r="I267" s="30" t="n"/>
      <c r="J267" s="30" t="n"/>
      <c r="K267" s="30" t="n"/>
      <c r="L267" s="30" t="n"/>
      <c r="M267" s="31" t="n"/>
      <c r="N267" s="29" t="n"/>
      <c r="O267" s="31" t="n"/>
    </row>
    <row r="268" ht="15" customHeight="1" s="16">
      <c r="A268" s="26" t="n">
        <v>267</v>
      </c>
      <c r="B268" s="26" t="n">
        <v>30</v>
      </c>
      <c r="C268" s="26" t="n">
        <v>13</v>
      </c>
      <c r="D268" s="27" t="inlineStr">
        <is>
          <t>此言末業</t>
        </is>
      </c>
      <c r="E268" s="32" t="inlineStr">
        <is>
          <t>貧者之資也</t>
        </is>
      </c>
      <c r="F268" s="27" t="inlineStr">
        <is>
          <t>通邑大都</t>
        </is>
      </c>
      <c r="G268" s="26" t="inlineStr">
        <is>
          <t>●</t>
        </is>
      </c>
      <c r="H268" s="29" t="n"/>
      <c r="I268" s="30" t="n"/>
      <c r="J268" s="30" t="n"/>
      <c r="K268" s="30" t="n"/>
      <c r="L268" s="30" t="n"/>
      <c r="M268" s="31" t="n"/>
      <c r="N268" s="29" t="n"/>
      <c r="O268" s="31" t="n"/>
    </row>
    <row r="269" ht="15" customHeight="1" s="16">
      <c r="A269" s="26" t="n">
        <v>268</v>
      </c>
      <c r="B269" s="26" t="n">
        <v>30</v>
      </c>
      <c r="C269" s="26" t="n">
        <v>14</v>
      </c>
      <c r="D269" s="27" t="inlineStr">
        <is>
          <t>貧者之資也</t>
        </is>
      </c>
      <c r="E269" s="28" t="inlineStr">
        <is>
          <t>通邑大都</t>
        </is>
      </c>
      <c r="F269" s="27" t="inlineStr">
        <is>
          <t>酤一歲千釀</t>
        </is>
      </c>
      <c r="G269" s="26" t="n"/>
      <c r="H269" s="29" t="n"/>
      <c r="I269" s="30" t="n"/>
      <c r="J269" s="30" t="n"/>
      <c r="K269" s="30" t="n"/>
      <c r="L269" s="30" t="n"/>
      <c r="M269" s="31" t="n"/>
      <c r="N269" s="29" t="n"/>
      <c r="O269" s="31" t="n"/>
    </row>
    <row r="270" ht="15" customHeight="1" s="16">
      <c r="A270" s="26" t="n">
        <v>269</v>
      </c>
      <c r="B270" s="26" t="n">
        <v>30</v>
      </c>
      <c r="C270" s="26" t="n">
        <v>51</v>
      </c>
      <c r="D270" s="27" t="inlineStr">
        <is>
          <t>佗</t>
        </is>
      </c>
      <c r="E270" s="28" t="inlineStr">
        <is>
          <t>果菜千鐘</t>
        </is>
      </c>
      <c r="F270" s="27" t="inlineStr">
        <is>
          <t>子貸金錢千貫</t>
        </is>
      </c>
      <c r="G270" s="26" t="n"/>
      <c r="H270" s="29" t="n"/>
      <c r="I270" s="30" t="n"/>
      <c r="J270" s="30" t="n"/>
      <c r="K270" s="30" t="n"/>
      <c r="L270" s="30" t="n"/>
      <c r="M270" s="31" t="n"/>
      <c r="N270" s="29" t="n"/>
      <c r="O270" s="31" t="n"/>
    </row>
    <row r="271" ht="15" customHeight="1" s="16">
      <c r="A271" s="26" t="n">
        <v>270</v>
      </c>
      <c r="B271" s="26" t="n">
        <v>30</v>
      </c>
      <c r="C271" s="26" t="n">
        <v>52</v>
      </c>
      <c r="D271" s="27" t="inlineStr">
        <is>
          <t>果菜千鐘</t>
        </is>
      </c>
      <c r="E271" s="32" t="inlineStr">
        <is>
          <t>子貸金錢千貫</t>
        </is>
      </c>
      <c r="F271" s="27" t="inlineStr">
        <is>
          <t>節駔會</t>
        </is>
      </c>
      <c r="G271" s="26" t="inlineStr">
        <is>
          <t>●</t>
        </is>
      </c>
      <c r="H271" s="29" t="n"/>
      <c r="I271" s="30" t="n"/>
      <c r="J271" s="30" t="n"/>
      <c r="K271" s="30" t="n"/>
      <c r="L271" s="30" t="n"/>
      <c r="M271" s="31" t="n"/>
      <c r="N271" s="29" t="n"/>
      <c r="O271" s="31" t="n"/>
    </row>
    <row r="272" ht="15" customHeight="1" s="16">
      <c r="A272" s="26" t="n">
        <v>271</v>
      </c>
      <c r="B272" s="26" t="n">
        <v>30</v>
      </c>
      <c r="C272" s="26" t="n">
        <v>53</v>
      </c>
      <c r="D272" s="27" t="inlineStr">
        <is>
          <t>子貸金錢千貫</t>
        </is>
      </c>
      <c r="E272" s="28" t="inlineStr">
        <is>
          <t>節駔會</t>
        </is>
      </c>
      <c r="F272" s="27" t="inlineStr">
        <is>
          <t>貪賈三之</t>
        </is>
      </c>
      <c r="G272" s="26" t="n"/>
      <c r="H272" s="29" t="n"/>
      <c r="I272" s="30" t="n"/>
      <c r="J272" s="30" t="n"/>
      <c r="K272" s="30" t="n"/>
      <c r="L272" s="30" t="n"/>
      <c r="M272" s="31" t="n"/>
      <c r="N272" s="29" t="n"/>
      <c r="O272" s="31" t="n"/>
    </row>
    <row r="273" ht="15" customHeight="1" s="16">
      <c r="A273" s="26" t="n">
        <v>272</v>
      </c>
      <c r="B273" s="26" t="n">
        <v>30</v>
      </c>
      <c r="C273" s="26" t="n">
        <v>54</v>
      </c>
      <c r="D273" s="27" t="inlineStr">
        <is>
          <t>節駔會</t>
        </is>
      </c>
      <c r="E273" s="32" t="inlineStr">
        <is>
          <t>貪賈三之</t>
        </is>
      </c>
      <c r="F273" s="27" t="inlineStr">
        <is>
          <t>廉賈五之</t>
        </is>
      </c>
      <c r="G273" s="26" t="inlineStr">
        <is>
          <t>●</t>
        </is>
      </c>
      <c r="H273" s="29" t="n"/>
      <c r="I273" s="30" t="n"/>
      <c r="J273" s="30" t="n"/>
      <c r="K273" s="30" t="n"/>
      <c r="L273" s="30" t="n"/>
      <c r="M273" s="31" t="n"/>
      <c r="N273" s="29" t="n"/>
      <c r="O273" s="31" t="n"/>
    </row>
    <row r="274" ht="15" customHeight="1" s="16">
      <c r="A274" s="26" t="n">
        <v>273</v>
      </c>
      <c r="B274" s="26" t="n">
        <v>30</v>
      </c>
      <c r="C274" s="26" t="n">
        <v>55</v>
      </c>
      <c r="D274" s="27" t="inlineStr">
        <is>
          <t>貪賈三之</t>
        </is>
      </c>
      <c r="E274" s="32" t="inlineStr">
        <is>
          <t>廉賈五之</t>
        </is>
      </c>
      <c r="F274" s="27" t="inlineStr">
        <is>
          <t>此亦比千乘之家</t>
        </is>
      </c>
      <c r="G274" s="26" t="inlineStr">
        <is>
          <t>●</t>
        </is>
      </c>
      <c r="H274" s="29" t="n"/>
      <c r="I274" s="30" t="n"/>
      <c r="J274" s="30" t="n"/>
      <c r="K274" s="30" t="n"/>
      <c r="L274" s="30" t="n"/>
      <c r="M274" s="31" t="n"/>
      <c r="N274" s="29" t="n"/>
      <c r="O274" s="31" t="n"/>
    </row>
    <row r="275" ht="15" customHeight="1" s="16">
      <c r="A275" s="26" t="n">
        <v>274</v>
      </c>
      <c r="B275" s="26" t="n">
        <v>30</v>
      </c>
      <c r="C275" s="26" t="n">
        <v>56</v>
      </c>
      <c r="D275" s="27" t="inlineStr">
        <is>
          <t>廉賈五之</t>
        </is>
      </c>
      <c r="E275" s="28" t="inlineStr">
        <is>
          <t>此亦比千乘之家</t>
        </is>
      </c>
      <c r="F275" s="27" t="inlineStr">
        <is>
          <t>其大率也</t>
        </is>
      </c>
      <c r="G275" s="26" t="n"/>
      <c r="H275" s="29" t="n"/>
      <c r="I275" s="30" t="n"/>
      <c r="J275" s="30" t="n"/>
      <c r="K275" s="30" t="n"/>
      <c r="L275" s="30" t="n"/>
      <c r="M275" s="31" t="n"/>
      <c r="N275" s="29" t="n"/>
      <c r="O275" s="31" t="n"/>
    </row>
    <row r="276" ht="15" customHeight="1" s="16">
      <c r="A276" s="26" t="n">
        <v>275</v>
      </c>
      <c r="B276" s="26" t="n">
        <v>30</v>
      </c>
      <c r="C276" s="26" t="n">
        <v>58</v>
      </c>
      <c r="D276" s="27" t="inlineStr">
        <is>
          <t>其大率也</t>
        </is>
      </c>
      <c r="E276" s="28" t="inlineStr">
        <is>
          <t>佗雜業</t>
        </is>
      </c>
      <c r="F276" s="27" t="inlineStr">
        <is>
          <t>不中什二</t>
        </is>
      </c>
      <c r="G276" s="26" t="n"/>
      <c r="H276" s="29" t="n"/>
      <c r="I276" s="30" t="n"/>
      <c r="J276" s="30" t="n"/>
      <c r="K276" s="30" t="n"/>
      <c r="L276" s="30" t="n"/>
      <c r="M276" s="31" t="n"/>
      <c r="N276" s="29" t="n"/>
      <c r="O276" s="31" t="n"/>
    </row>
    <row r="277" ht="15" customHeight="1" s="16">
      <c r="A277" s="26" t="n">
        <v>276</v>
      </c>
      <c r="B277" s="26" t="n">
        <v>30</v>
      </c>
      <c r="C277" s="26" t="n">
        <v>59</v>
      </c>
      <c r="D277" s="27" t="inlineStr">
        <is>
          <t>佗雜業</t>
        </is>
      </c>
      <c r="E277" s="32" t="inlineStr">
        <is>
          <t>不中什二</t>
        </is>
      </c>
      <c r="F277" s="27" t="inlineStr">
        <is>
          <t>則非吾財也</t>
        </is>
      </c>
      <c r="G277" s="26" t="inlineStr">
        <is>
          <t>●</t>
        </is>
      </c>
      <c r="H277" s="29" t="n"/>
      <c r="I277" s="30" t="n"/>
      <c r="J277" s="30" t="n"/>
      <c r="K277" s="30" t="n"/>
      <c r="L277" s="30" t="n"/>
      <c r="M277" s="31" t="n"/>
      <c r="N277" s="29" t="n"/>
      <c r="O277" s="31" t="n"/>
    </row>
    <row r="278" ht="15" customHeight="1" s="16">
      <c r="A278" s="26" t="n">
        <v>277</v>
      </c>
      <c r="B278" s="26" t="n">
        <v>30</v>
      </c>
      <c r="C278" s="26" t="n">
        <v>60</v>
      </c>
      <c r="D278" s="27" t="inlineStr">
        <is>
          <t>不中什二</t>
        </is>
      </c>
      <c r="E278" s="32" t="inlineStr">
        <is>
          <t>則非吾財也</t>
        </is>
      </c>
      <c r="F278" s="27" t="n"/>
      <c r="G278" s="26" t="inlineStr">
        <is>
          <t>●</t>
        </is>
      </c>
      <c r="H278" s="29" t="n"/>
      <c r="I278" s="30" t="n"/>
      <c r="J278" s="30" t="n"/>
      <c r="K278" s="30" t="n"/>
      <c r="L278" s="30" t="n"/>
      <c r="M278" s="31" t="n"/>
      <c r="N278" s="29" t="n"/>
      <c r="O278" s="31" t="n"/>
    </row>
    <row r="279" ht="15" customHeight="1" s="16">
      <c r="A279" s="26" t="n">
        <v>278</v>
      </c>
      <c r="B279" s="26" t="n">
        <v>31</v>
      </c>
      <c r="C279" s="26" t="n">
        <v>1</v>
      </c>
      <c r="D279" s="27" t="n"/>
      <c r="E279" s="28" t="inlineStr">
        <is>
          <t>請略道當世千里之中</t>
        </is>
      </c>
      <c r="F279" s="27" t="inlineStr">
        <is>
          <t>賢人所以富者</t>
        </is>
      </c>
      <c r="G279" s="26" t="n"/>
      <c r="H279" s="29" t="n"/>
      <c r="I279" s="30" t="n"/>
      <c r="J279" s="30" t="n"/>
      <c r="K279" s="30" t="n"/>
      <c r="L279" s="30" t="n"/>
      <c r="M279" s="31" t="n"/>
      <c r="N279" s="29" t="n"/>
      <c r="O279" s="31" t="n"/>
    </row>
    <row r="280" ht="15" customHeight="1" s="16">
      <c r="A280" s="26" t="n">
        <v>279</v>
      </c>
      <c r="B280" s="26" t="n">
        <v>31</v>
      </c>
      <c r="C280" s="26" t="n">
        <v>2</v>
      </c>
      <c r="D280" s="27" t="inlineStr">
        <is>
          <t>請略道當世千里之中</t>
        </is>
      </c>
      <c r="E280" s="32" t="inlineStr">
        <is>
          <t>賢人所以富者</t>
        </is>
      </c>
      <c r="F280" s="27" t="inlineStr">
        <is>
          <t>令後世得以觀擇焉</t>
        </is>
      </c>
      <c r="G280" s="26" t="inlineStr">
        <is>
          <t>●</t>
        </is>
      </c>
      <c r="H280" s="29" t="n"/>
      <c r="I280" s="30" t="n"/>
      <c r="J280" s="30" t="n"/>
      <c r="K280" s="30" t="n"/>
      <c r="L280" s="30" t="n"/>
      <c r="M280" s="31" t="n"/>
      <c r="N280" s="29" t="n"/>
      <c r="O280" s="31" t="n"/>
    </row>
    <row r="281" ht="15" customHeight="1" s="16">
      <c r="A281" s="26" t="n">
        <v>280</v>
      </c>
      <c r="B281" s="26" t="n">
        <v>31</v>
      </c>
      <c r="C281" s="26" t="n">
        <v>3</v>
      </c>
      <c r="D281" s="27" t="inlineStr">
        <is>
          <t>賢人所以富者</t>
        </is>
      </c>
      <c r="E281" s="28" t="inlineStr">
        <is>
          <t>令後世得以觀擇焉</t>
        </is>
      </c>
      <c r="F281" s="27" t="n"/>
      <c r="G281" s="26" t="n"/>
      <c r="H281" s="29" t="n"/>
      <c r="I281" s="30" t="n"/>
      <c r="J281" s="30" t="n"/>
      <c r="K281" s="30" t="n"/>
      <c r="L281" s="30" t="n"/>
      <c r="M281" s="31" t="n"/>
      <c r="N281" s="29" t="n"/>
      <c r="O281" s="31" t="n"/>
    </row>
    <row r="282" ht="15" customHeight="1" s="16">
      <c r="A282" s="26" t="n">
        <v>281</v>
      </c>
      <c r="B282" s="26" t="n">
        <v>32</v>
      </c>
      <c r="C282" s="26" t="n">
        <v>2</v>
      </c>
      <c r="D282" s="27" t="inlineStr">
        <is>
          <t>蜀卓氏之先</t>
        </is>
      </c>
      <c r="E282" s="28" t="inlineStr">
        <is>
          <t>趙人也</t>
        </is>
      </c>
      <c r="F282" s="27" t="inlineStr">
        <is>
          <t>用鐵冶富</t>
        </is>
      </c>
      <c r="G282" s="26" t="n"/>
      <c r="H282" s="29" t="n"/>
      <c r="I282" s="30" t="n"/>
      <c r="J282" s="30" t="n"/>
      <c r="K282" s="30" t="n"/>
      <c r="L282" s="30" t="n"/>
      <c r="M282" s="31" t="n"/>
      <c r="N282" s="29" t="n"/>
      <c r="O282" s="31" t="n"/>
    </row>
    <row r="283" ht="15" customHeight="1" s="16">
      <c r="A283" s="26" t="n">
        <v>282</v>
      </c>
      <c r="B283" s="26" t="n">
        <v>32</v>
      </c>
      <c r="C283" s="26" t="n">
        <v>3</v>
      </c>
      <c r="D283" s="27" t="inlineStr">
        <is>
          <t>趙人也</t>
        </is>
      </c>
      <c r="E283" s="32" t="inlineStr">
        <is>
          <t>用鐵冶富</t>
        </is>
      </c>
      <c r="F283" s="27" t="inlineStr">
        <is>
          <t>秦破趙</t>
        </is>
      </c>
      <c r="G283" s="26" t="inlineStr">
        <is>
          <t>●</t>
        </is>
      </c>
      <c r="H283" s="29" t="n"/>
      <c r="I283" s="30" t="n"/>
      <c r="J283" s="30" t="n"/>
      <c r="K283" s="30" t="n"/>
      <c r="L283" s="30" t="n"/>
      <c r="M283" s="31" t="n"/>
      <c r="N283" s="29" t="n"/>
      <c r="O283" s="31" t="n"/>
    </row>
    <row r="284" ht="15" customHeight="1" s="16">
      <c r="A284" s="26" t="n">
        <v>283</v>
      </c>
      <c r="B284" s="26" t="n">
        <v>32</v>
      </c>
      <c r="C284" s="26" t="n">
        <v>4</v>
      </c>
      <c r="D284" s="27" t="inlineStr">
        <is>
          <t>用鐵冶富</t>
        </is>
      </c>
      <c r="E284" s="28" t="inlineStr">
        <is>
          <t>秦破趙</t>
        </is>
      </c>
      <c r="F284" s="27" t="inlineStr">
        <is>
          <t>遷卓氏</t>
        </is>
      </c>
      <c r="G284" s="26" t="n"/>
      <c r="H284" s="29" t="n"/>
      <c r="I284" s="30" t="n"/>
      <c r="J284" s="30" t="n"/>
      <c r="K284" s="30" t="n"/>
      <c r="L284" s="30" t="n"/>
      <c r="M284" s="31" t="n"/>
      <c r="N284" s="29" t="n"/>
      <c r="O284" s="31" t="n"/>
    </row>
    <row r="285" ht="15" customHeight="1" s="16">
      <c r="A285" s="26" t="n">
        <v>284</v>
      </c>
      <c r="B285" s="26" t="n">
        <v>32</v>
      </c>
      <c r="C285" s="26" t="n">
        <v>9</v>
      </c>
      <c r="D285" s="27" t="inlineStr">
        <is>
          <t>行詣遷處</t>
        </is>
      </c>
      <c r="E285" s="28" t="inlineStr">
        <is>
          <t>諸遷</t>
        </is>
      </c>
      <c r="F285" s="27" t="inlineStr">
        <is>
          <t>虜少有餘財</t>
        </is>
      </c>
      <c r="G285" s="26" t="n"/>
      <c r="H285" s="29" t="n"/>
      <c r="I285" s="30" t="n"/>
      <c r="J285" s="30" t="n"/>
      <c r="K285" s="30" t="n"/>
      <c r="L285" s="30" t="n"/>
      <c r="M285" s="31" t="n"/>
      <c r="N285" s="29" t="n"/>
      <c r="O285" s="31" t="n"/>
    </row>
    <row r="286" ht="15" customHeight="1" s="16">
      <c r="A286" s="26" t="n">
        <v>285</v>
      </c>
      <c r="B286" s="26" t="n">
        <v>32</v>
      </c>
      <c r="C286" s="26" t="n">
        <v>10</v>
      </c>
      <c r="D286" s="27" t="inlineStr">
        <is>
          <t>諸遷</t>
        </is>
      </c>
      <c r="E286" s="32" t="inlineStr">
        <is>
          <t>虜少有餘財</t>
        </is>
      </c>
      <c r="F286" s="27" t="inlineStr">
        <is>
          <t>爭與吏</t>
        </is>
      </c>
      <c r="G286" s="26" t="inlineStr">
        <is>
          <t>●</t>
        </is>
      </c>
      <c r="H286" s="29" t="n"/>
      <c r="I286" s="30" t="n"/>
      <c r="J286" s="30" t="n"/>
      <c r="K286" s="30" t="n"/>
      <c r="L286" s="30" t="n"/>
      <c r="M286" s="31" t="n"/>
      <c r="N286" s="29" t="n"/>
      <c r="O286" s="31" t="n"/>
    </row>
    <row r="287" ht="15" customHeight="1" s="16">
      <c r="A287" s="26" t="n">
        <v>286</v>
      </c>
      <c r="B287" s="26" t="n">
        <v>32</v>
      </c>
      <c r="C287" s="26" t="n">
        <v>11</v>
      </c>
      <c r="D287" s="27" t="inlineStr">
        <is>
          <t>虜少有餘財</t>
        </is>
      </c>
      <c r="E287" s="28" t="inlineStr">
        <is>
          <t>爭與吏</t>
        </is>
      </c>
      <c r="F287" s="27" t="inlineStr">
        <is>
          <t>求近處</t>
        </is>
      </c>
      <c r="G287" s="26" t="n"/>
      <c r="H287" s="29" t="n"/>
      <c r="I287" s="30" t="n"/>
      <c r="J287" s="30" t="n"/>
      <c r="K287" s="30" t="n"/>
      <c r="L287" s="30" t="n"/>
      <c r="M287" s="31" t="n"/>
      <c r="N287" s="29" t="n"/>
      <c r="O287" s="31" t="n"/>
    </row>
    <row r="288" ht="15" customHeight="1" s="16">
      <c r="A288" s="26" t="n">
        <v>287</v>
      </c>
      <c r="B288" s="26" t="n">
        <v>32</v>
      </c>
      <c r="C288" s="26" t="n">
        <v>21</v>
      </c>
      <c r="D288" s="27" t="inlineStr">
        <is>
          <t>至死不饑</t>
        </is>
      </c>
      <c r="E288" s="28" t="inlineStr">
        <is>
          <t>民工於市</t>
        </is>
      </c>
      <c r="F288" s="27" t="inlineStr">
        <is>
          <t>易賈</t>
        </is>
      </c>
      <c r="G288" s="26" t="n"/>
      <c r="H288" s="29" t="n"/>
      <c r="I288" s="30" t="n"/>
      <c r="J288" s="30" t="n"/>
      <c r="K288" s="30" t="n"/>
      <c r="L288" s="30" t="n"/>
      <c r="M288" s="31" t="n"/>
      <c r="N288" s="29" t="n"/>
      <c r="O288" s="31" t="n"/>
    </row>
    <row r="289" ht="15" customHeight="1" s="16">
      <c r="A289" s="26" t="n">
        <v>288</v>
      </c>
      <c r="B289" s="26" t="n">
        <v>32</v>
      </c>
      <c r="C289" s="26" t="n">
        <v>22</v>
      </c>
      <c r="D289" s="27" t="inlineStr">
        <is>
          <t>民工於市</t>
        </is>
      </c>
      <c r="E289" s="32" t="inlineStr">
        <is>
          <t>易賈</t>
        </is>
      </c>
      <c r="F289" s="27" t="inlineStr">
        <is>
          <t>乃求遠遷</t>
        </is>
      </c>
      <c r="G289" s="26" t="inlineStr">
        <is>
          <t>●</t>
        </is>
      </c>
      <c r="H289" s="29" t="n"/>
      <c r="I289" s="30" t="n"/>
      <c r="J289" s="30" t="n"/>
      <c r="K289" s="30" t="n"/>
      <c r="L289" s="30" t="n"/>
      <c r="M289" s="31" t="n"/>
      <c r="N289" s="29" t="n"/>
      <c r="O289" s="31" t="n"/>
    </row>
    <row r="290" ht="15" customHeight="1" s="16">
      <c r="A290" s="26" t="n">
        <v>289</v>
      </c>
      <c r="B290" s="26" t="n">
        <v>32</v>
      </c>
      <c r="C290" s="26" t="n">
        <v>23</v>
      </c>
      <c r="D290" s="27" t="inlineStr">
        <is>
          <t>易賈</t>
        </is>
      </c>
      <c r="E290" s="28" t="inlineStr">
        <is>
          <t>乃求遠遷</t>
        </is>
      </c>
      <c r="F290" s="27" t="inlineStr">
        <is>
          <t>致之臨邛</t>
        </is>
      </c>
      <c r="G290" s="26" t="n"/>
      <c r="H290" s="29" t="n"/>
      <c r="I290" s="30" t="n"/>
      <c r="J290" s="30" t="n"/>
      <c r="K290" s="30" t="n"/>
      <c r="L290" s="30" t="n"/>
      <c r="M290" s="31" t="n"/>
      <c r="N290" s="29" t="n"/>
      <c r="O290" s="31" t="n"/>
    </row>
    <row r="291" ht="15" customHeight="1" s="16">
      <c r="A291" s="26" t="n">
        <v>290</v>
      </c>
      <c r="B291" s="26" t="n">
        <v>33</v>
      </c>
      <c r="C291" s="26" t="n">
        <v>1</v>
      </c>
      <c r="D291" s="27" t="n"/>
      <c r="E291" s="28" t="inlineStr">
        <is>
          <t>之民</t>
        </is>
      </c>
      <c r="F291" s="27" t="inlineStr">
        <is>
          <t>富至僮千人</t>
        </is>
      </c>
      <c r="G291" s="26" t="n"/>
      <c r="H291" s="29" t="n"/>
      <c r="I291" s="30" t="n"/>
      <c r="J291" s="30" t="n"/>
      <c r="K291" s="30" t="n"/>
      <c r="L291" s="30" t="n"/>
      <c r="M291" s="31" t="n"/>
      <c r="N291" s="29" t="n"/>
      <c r="O291" s="31" t="n"/>
    </row>
    <row r="292" ht="15" customHeight="1" s="16">
      <c r="A292" s="26" t="n">
        <v>291</v>
      </c>
      <c r="B292" s="26" t="n">
        <v>33</v>
      </c>
      <c r="C292" s="26" t="n">
        <v>2</v>
      </c>
      <c r="D292" s="27" t="inlineStr">
        <is>
          <t>之民</t>
        </is>
      </c>
      <c r="E292" s="32" t="inlineStr">
        <is>
          <t>富至僮千人</t>
        </is>
      </c>
      <c r="F292" s="27" t="inlineStr">
        <is>
          <t>田池射獵之樂</t>
        </is>
      </c>
      <c r="G292" s="26" t="inlineStr">
        <is>
          <t>●</t>
        </is>
      </c>
      <c r="H292" s="29" t="n"/>
      <c r="I292" s="30" t="n"/>
      <c r="J292" s="30" t="n"/>
      <c r="K292" s="30" t="n"/>
      <c r="L292" s="30" t="n"/>
      <c r="M292" s="31" t="n"/>
      <c r="N292" s="29" t="n"/>
      <c r="O292" s="31" t="n"/>
    </row>
    <row r="293" ht="15" customHeight="1" s="16">
      <c r="A293" s="26" t="n">
        <v>292</v>
      </c>
      <c r="B293" s="26" t="n">
        <v>33</v>
      </c>
      <c r="C293" s="26" t="n">
        <v>3</v>
      </c>
      <c r="D293" s="27" t="inlineStr">
        <is>
          <t>富至僮千人</t>
        </is>
      </c>
      <c r="E293" s="28" t="inlineStr">
        <is>
          <t>田池射獵之樂</t>
        </is>
      </c>
      <c r="F293" s="27" t="inlineStr">
        <is>
          <t>擬於人君</t>
        </is>
      </c>
      <c r="G293" s="26" t="n"/>
      <c r="H293" s="29" t="n"/>
      <c r="I293" s="30" t="n"/>
      <c r="J293" s="30" t="n"/>
      <c r="K293" s="30" t="n"/>
      <c r="L293" s="30" t="n"/>
      <c r="M293" s="31" t="n"/>
      <c r="N293" s="29" t="n"/>
      <c r="O293" s="31" t="n"/>
    </row>
    <row r="294" ht="15" customHeight="1" s="16">
      <c r="A294" s="26" t="n">
        <v>293</v>
      </c>
      <c r="B294" s="26" t="n">
        <v>34</v>
      </c>
      <c r="C294" s="26" t="n">
        <v>3</v>
      </c>
      <c r="D294" s="27" t="inlineStr">
        <is>
          <t>山東遷虜也</t>
        </is>
      </c>
      <c r="E294" s="28" t="inlineStr">
        <is>
          <t>亦冶鑄</t>
        </is>
      </c>
      <c r="F294" s="27" t="inlineStr">
        <is>
          <t>賈椎髻之民</t>
        </is>
      </c>
      <c r="G294" s="26" t="n"/>
      <c r="H294" s="29" t="n"/>
      <c r="I294" s="30" t="n"/>
      <c r="J294" s="30" t="n"/>
      <c r="K294" s="30" t="n"/>
      <c r="L294" s="30" t="n"/>
      <c r="M294" s="31" t="n"/>
      <c r="N294" s="29" t="n"/>
      <c r="O294" s="31" t="n"/>
    </row>
    <row r="295" ht="15" customHeight="1" s="16">
      <c r="A295" s="26" t="n">
        <v>294</v>
      </c>
      <c r="B295" s="26" t="n">
        <v>34</v>
      </c>
      <c r="C295" s="26" t="n">
        <v>4</v>
      </c>
      <c r="D295" s="27" t="inlineStr">
        <is>
          <t>亦冶鑄</t>
        </is>
      </c>
      <c r="E295" s="32" t="inlineStr">
        <is>
          <t>賈椎髻之民</t>
        </is>
      </c>
      <c r="F295" s="27" t="inlineStr">
        <is>
          <t>富埒卓氏</t>
        </is>
      </c>
      <c r="G295" s="26" t="inlineStr">
        <is>
          <t>●</t>
        </is>
      </c>
      <c r="H295" s="29" t="n"/>
      <c r="I295" s="30" t="n"/>
      <c r="J295" s="30" t="n"/>
      <c r="K295" s="30" t="n"/>
      <c r="L295" s="30" t="n"/>
      <c r="M295" s="31" t="n"/>
      <c r="N295" s="29" t="n"/>
      <c r="O295" s="31" t="n"/>
    </row>
    <row r="296" ht="15" customHeight="1" s="16">
      <c r="A296" s="26" t="n">
        <v>295</v>
      </c>
      <c r="B296" s="26" t="n">
        <v>34</v>
      </c>
      <c r="C296" s="26" t="n">
        <v>5</v>
      </c>
      <c r="D296" s="27" t="inlineStr">
        <is>
          <t>賈椎髻之民</t>
        </is>
      </c>
      <c r="E296" s="32" t="inlineStr">
        <is>
          <t>富埒卓氏</t>
        </is>
      </c>
      <c r="F296" s="27" t="inlineStr">
        <is>
          <t>俱居臨邛</t>
        </is>
      </c>
      <c r="G296" s="26" t="inlineStr">
        <is>
          <t>●</t>
        </is>
      </c>
      <c r="H296" s="29" t="n"/>
      <c r="I296" s="30" t="n"/>
      <c r="J296" s="30" t="n"/>
      <c r="K296" s="30" t="n"/>
      <c r="L296" s="30" t="n"/>
      <c r="M296" s="31" t="n"/>
      <c r="N296" s="29" t="n"/>
      <c r="O296" s="31" t="n"/>
    </row>
    <row r="297" ht="15" customHeight="1" s="16">
      <c r="A297" s="26" t="n">
        <v>296</v>
      </c>
      <c r="B297" s="26" t="n">
        <v>34</v>
      </c>
      <c r="C297" s="26" t="n">
        <v>6</v>
      </c>
      <c r="D297" s="27" t="inlineStr">
        <is>
          <t>富埒卓氏</t>
        </is>
      </c>
      <c r="E297" s="28" t="inlineStr">
        <is>
          <t>俱居臨邛</t>
        </is>
      </c>
      <c r="F297" s="27" t="n"/>
      <c r="G297" s="26" t="n"/>
      <c r="H297" s="29" t="n"/>
      <c r="I297" s="30" t="n"/>
      <c r="J297" s="30" t="n"/>
      <c r="K297" s="30" t="n"/>
      <c r="L297" s="30" t="n"/>
      <c r="M297" s="31" t="n"/>
      <c r="N297" s="29" t="n"/>
      <c r="O297" s="31" t="n"/>
    </row>
    <row r="298" ht="15" customHeight="1" s="16">
      <c r="A298" s="26" t="n">
        <v>297</v>
      </c>
      <c r="B298" s="26" t="n">
        <v>35</v>
      </c>
      <c r="C298" s="26" t="n">
        <v>9</v>
      </c>
      <c r="D298" s="27" t="inlineStr">
        <is>
          <t>連車騎</t>
        </is>
      </c>
      <c r="E298" s="28" t="inlineStr">
        <is>
          <t>游諸侯</t>
        </is>
      </c>
      <c r="F298" s="27" t="inlineStr">
        <is>
          <t>因通商賈之利</t>
        </is>
      </c>
      <c r="G298" s="26" t="n"/>
      <c r="H298" s="29" t="n"/>
      <c r="I298" s="30" t="n"/>
      <c r="J298" s="30" t="n"/>
      <c r="K298" s="30" t="n"/>
      <c r="L298" s="30" t="n"/>
      <c r="M298" s="31" t="n"/>
      <c r="N298" s="29" t="n"/>
      <c r="O298" s="31" t="n"/>
    </row>
    <row r="299" ht="15" customHeight="1" s="16">
      <c r="A299" s="26" t="n">
        <v>298</v>
      </c>
      <c r="B299" s="26" t="n">
        <v>35</v>
      </c>
      <c r="C299" s="26" t="n">
        <v>10</v>
      </c>
      <c r="D299" s="27" t="inlineStr">
        <is>
          <t>游諸侯</t>
        </is>
      </c>
      <c r="E299" s="32" t="inlineStr">
        <is>
          <t>因通商賈之利</t>
        </is>
      </c>
      <c r="F299" s="27" t="inlineStr">
        <is>
          <t>有游閒公子之賜與名</t>
        </is>
      </c>
      <c r="G299" s="26" t="inlineStr">
        <is>
          <t>●</t>
        </is>
      </c>
      <c r="H299" s="29" t="n"/>
      <c r="I299" s="30" t="n"/>
      <c r="J299" s="30" t="n"/>
      <c r="K299" s="30" t="n"/>
      <c r="L299" s="30" t="n"/>
      <c r="M299" s="31" t="n"/>
      <c r="N299" s="29" t="n"/>
      <c r="O299" s="31" t="n"/>
    </row>
    <row r="300" ht="15" customHeight="1" s="16">
      <c r="A300" s="26" t="n">
        <v>299</v>
      </c>
      <c r="B300" s="26" t="n">
        <v>35</v>
      </c>
      <c r="C300" s="26" t="n">
        <v>11</v>
      </c>
      <c r="D300" s="27" t="inlineStr">
        <is>
          <t>因通商賈之利</t>
        </is>
      </c>
      <c r="E300" s="28" t="inlineStr">
        <is>
          <t>有游閒公子之賜與名</t>
        </is>
      </c>
      <c r="F300" s="27" t="inlineStr">
        <is>
          <t>然其贏得過當</t>
        </is>
      </c>
      <c r="G300" s="26" t="n"/>
      <c r="H300" s="29" t="n"/>
      <c r="I300" s="30" t="n"/>
      <c r="J300" s="30" t="n"/>
      <c r="K300" s="30" t="n"/>
      <c r="L300" s="30" t="n"/>
      <c r="M300" s="31" t="n"/>
      <c r="N300" s="29" t="n"/>
      <c r="O300" s="31" t="n"/>
    </row>
    <row r="301" ht="15" customHeight="1" s="16">
      <c r="A301" s="26" t="n">
        <v>300</v>
      </c>
      <c r="B301" s="26" t="n">
        <v>35</v>
      </c>
      <c r="C301" s="26" t="n">
        <v>12</v>
      </c>
      <c r="D301" s="27" t="inlineStr">
        <is>
          <t>有游閒公子之賜與名</t>
        </is>
      </c>
      <c r="E301" s="32" t="inlineStr">
        <is>
          <t>然其贏得過當</t>
        </is>
      </c>
      <c r="F301" s="27" t="inlineStr">
        <is>
          <t>愈於纖嗇</t>
        </is>
      </c>
      <c r="G301" s="26" t="inlineStr">
        <is>
          <t>●</t>
        </is>
      </c>
      <c r="H301" s="29" t="n"/>
      <c r="I301" s="30" t="n"/>
      <c r="J301" s="30" t="n"/>
      <c r="K301" s="30" t="n"/>
      <c r="L301" s="30" t="n"/>
      <c r="M301" s="31" t="n"/>
      <c r="N301" s="29" t="n"/>
      <c r="O301" s="31" t="n"/>
    </row>
    <row r="302" ht="15" customHeight="1" s="16">
      <c r="A302" s="26" t="n">
        <v>301</v>
      </c>
      <c r="B302" s="26" t="n">
        <v>35</v>
      </c>
      <c r="C302" s="26" t="n">
        <v>13</v>
      </c>
      <c r="D302" s="27" t="inlineStr">
        <is>
          <t>然其贏得過當</t>
        </is>
      </c>
      <c r="E302" s="28" t="inlineStr">
        <is>
          <t>愈於纖嗇</t>
        </is>
      </c>
      <c r="F302" s="27" t="inlineStr">
        <is>
          <t>家致富數千金</t>
        </is>
      </c>
      <c r="G302" s="26" t="n"/>
      <c r="H302" s="29" t="n"/>
      <c r="I302" s="30" t="n"/>
      <c r="J302" s="30" t="n"/>
      <c r="K302" s="30" t="n"/>
      <c r="L302" s="30" t="n"/>
      <c r="M302" s="31" t="n"/>
      <c r="N302" s="29" t="n"/>
      <c r="O302" s="31" t="n"/>
    </row>
    <row r="303" ht="15" customHeight="1" s="16">
      <c r="A303" s="26" t="n">
        <v>302</v>
      </c>
      <c r="B303" s="26" t="n">
        <v>35</v>
      </c>
      <c r="C303" s="26" t="n">
        <v>14</v>
      </c>
      <c r="D303" s="27" t="inlineStr">
        <is>
          <t>愈於纖嗇</t>
        </is>
      </c>
      <c r="E303" s="32" t="inlineStr">
        <is>
          <t>家致富數千金</t>
        </is>
      </c>
      <c r="F303" s="27" t="inlineStr">
        <is>
          <t>故南陽行賈盡</t>
        </is>
      </c>
      <c r="G303" s="26" t="inlineStr">
        <is>
          <t>●</t>
        </is>
      </c>
      <c r="H303" s="29" t="n"/>
      <c r="I303" s="30" t="n"/>
      <c r="J303" s="30" t="n"/>
      <c r="K303" s="30" t="n"/>
      <c r="L303" s="30" t="n"/>
      <c r="M303" s="31" t="n"/>
      <c r="N303" s="29" t="n"/>
      <c r="O303" s="31" t="n"/>
    </row>
    <row r="304" ht="15" customHeight="1" s="16">
      <c r="A304" s="26" t="n">
        <v>303</v>
      </c>
      <c r="B304" s="26" t="n">
        <v>35</v>
      </c>
      <c r="C304" s="26" t="n">
        <v>15</v>
      </c>
      <c r="D304" s="27" t="inlineStr">
        <is>
          <t>家致富數千金</t>
        </is>
      </c>
      <c r="E304" s="32" t="inlineStr">
        <is>
          <t>故南陽行賈盡</t>
        </is>
      </c>
      <c r="F304" s="27" t="inlineStr">
        <is>
          <t>法孔氏之雍容</t>
        </is>
      </c>
      <c r="G304" s="26" t="inlineStr">
        <is>
          <t>●</t>
        </is>
      </c>
      <c r="H304" s="29" t="n"/>
      <c r="I304" s="30" t="n"/>
      <c r="J304" s="30" t="n"/>
      <c r="K304" s="30" t="n"/>
      <c r="L304" s="30" t="n"/>
      <c r="M304" s="31" t="n"/>
      <c r="N304" s="29" t="n"/>
      <c r="O304" s="31" t="n"/>
    </row>
    <row r="305" ht="15" customHeight="1" s="16">
      <c r="A305" s="26" t="n">
        <v>304</v>
      </c>
      <c r="B305" s="26" t="n">
        <v>35</v>
      </c>
      <c r="C305" s="26" t="n">
        <v>16</v>
      </c>
      <c r="D305" s="27" t="inlineStr">
        <is>
          <t>故南陽行賈盡</t>
        </is>
      </c>
      <c r="E305" s="28" t="inlineStr">
        <is>
          <t>法孔氏之雍容</t>
        </is>
      </c>
      <c r="F305" s="27" t="n"/>
      <c r="G305" s="26" t="n"/>
      <c r="H305" s="29" t="n"/>
      <c r="I305" s="30" t="n"/>
      <c r="J305" s="30" t="n"/>
      <c r="K305" s="30" t="n"/>
      <c r="L305" s="30" t="n"/>
      <c r="M305" s="31" t="n"/>
      <c r="N305" s="29" t="n"/>
      <c r="O305" s="31" t="n"/>
    </row>
    <row r="306" ht="15" customHeight="1" s="16">
      <c r="A306" s="26" t="n">
        <v>305</v>
      </c>
      <c r="B306" s="26" t="n">
        <v>36</v>
      </c>
      <c r="C306" s="26" t="n">
        <v>1</v>
      </c>
      <c r="D306" s="27" t="n"/>
      <c r="E306" s="32" t="inlineStr">
        <is>
          <t>魯人俗儉嗇</t>
        </is>
      </c>
      <c r="F306" s="27" t="inlineStr">
        <is>
          <t>而曹邴氏尤甚</t>
        </is>
      </c>
      <c r="G306" s="26" t="inlineStr">
        <is>
          <t>●</t>
        </is>
      </c>
      <c r="H306" s="29" t="n"/>
      <c r="I306" s="30" t="n"/>
      <c r="J306" s="30" t="n"/>
      <c r="K306" s="30" t="n"/>
      <c r="L306" s="30" t="n"/>
      <c r="M306" s="31" t="n"/>
      <c r="N306" s="29" t="n"/>
      <c r="O306" s="31" t="n"/>
    </row>
    <row r="307" ht="15" customHeight="1" s="16">
      <c r="A307" s="26" t="n">
        <v>306</v>
      </c>
      <c r="B307" s="26" t="n">
        <v>36</v>
      </c>
      <c r="C307" s="26" t="n">
        <v>2</v>
      </c>
      <c r="D307" s="27" t="inlineStr">
        <is>
          <t>魯人俗儉嗇</t>
        </is>
      </c>
      <c r="E307" s="28" t="inlineStr">
        <is>
          <t>而曹邴氏尤甚</t>
        </is>
      </c>
      <c r="F307" s="27" t="inlineStr">
        <is>
          <t>以鐵冶起</t>
        </is>
      </c>
      <c r="G307" s="26" t="n"/>
      <c r="H307" s="29" t="n"/>
      <c r="I307" s="30" t="n"/>
      <c r="J307" s="30" t="n"/>
      <c r="K307" s="30" t="n"/>
      <c r="L307" s="30" t="n"/>
      <c r="M307" s="31" t="n"/>
      <c r="N307" s="29" t="n"/>
      <c r="O307" s="31" t="n"/>
    </row>
    <row r="308" ht="15" customHeight="1" s="16">
      <c r="A308" s="26" t="n">
        <v>307</v>
      </c>
      <c r="B308" s="26" t="n">
        <v>36</v>
      </c>
      <c r="C308" s="26" t="n">
        <v>3</v>
      </c>
      <c r="D308" s="27" t="inlineStr">
        <is>
          <t>而曹邴氏尤甚</t>
        </is>
      </c>
      <c r="E308" s="28" t="inlineStr">
        <is>
          <t>以鐵冶起</t>
        </is>
      </c>
      <c r="F308" s="27" t="inlineStr">
        <is>
          <t>富至巨萬</t>
        </is>
      </c>
      <c r="G308" s="26" t="n"/>
      <c r="H308" s="29" t="n"/>
      <c r="I308" s="30" t="n"/>
      <c r="J308" s="30" t="n"/>
      <c r="K308" s="30" t="n"/>
      <c r="L308" s="30" t="n"/>
      <c r="M308" s="31" t="n"/>
      <c r="N308" s="29" t="n"/>
      <c r="O308" s="31" t="n"/>
    </row>
    <row r="309" ht="15" customHeight="1" s="16">
      <c r="A309" s="26" t="n">
        <v>308</v>
      </c>
      <c r="B309" s="26" t="n">
        <v>36</v>
      </c>
      <c r="C309" s="26" t="n">
        <v>4</v>
      </c>
      <c r="D309" s="27" t="inlineStr">
        <is>
          <t>以鐵冶起</t>
        </is>
      </c>
      <c r="E309" s="32" t="inlineStr">
        <is>
          <t>富至巨萬</t>
        </is>
      </c>
      <c r="F309" s="27" t="inlineStr">
        <is>
          <t>然家自父兄子孫約</t>
        </is>
      </c>
      <c r="G309" s="26" t="inlineStr">
        <is>
          <t>●</t>
        </is>
      </c>
      <c r="H309" s="29" t="n"/>
      <c r="I309" s="30" t="n"/>
      <c r="J309" s="30" t="n"/>
      <c r="K309" s="30" t="n"/>
      <c r="L309" s="30" t="n"/>
      <c r="M309" s="31" t="n"/>
      <c r="N309" s="29" t="n"/>
      <c r="O309" s="31" t="n"/>
    </row>
    <row r="310" ht="15" customHeight="1" s="16">
      <c r="A310" s="26" t="n">
        <v>309</v>
      </c>
      <c r="B310" s="26" t="n">
        <v>36</v>
      </c>
      <c r="C310" s="26" t="n">
        <v>5</v>
      </c>
      <c r="D310" s="27" t="inlineStr">
        <is>
          <t>富至巨萬</t>
        </is>
      </c>
      <c r="E310" s="28" t="inlineStr">
        <is>
          <t>然家自父兄子孫約</t>
        </is>
      </c>
      <c r="F310" s="27" t="inlineStr">
        <is>
          <t>俛有拾</t>
        </is>
      </c>
      <c r="G310" s="26" t="n"/>
      <c r="H310" s="29" t="n"/>
      <c r="I310" s="30" t="n"/>
      <c r="J310" s="30" t="n"/>
      <c r="K310" s="30" t="n"/>
      <c r="L310" s="30" t="n"/>
      <c r="M310" s="31" t="n"/>
      <c r="N310" s="29" t="n"/>
      <c r="O310" s="31" t="n"/>
    </row>
    <row r="311" ht="15" customHeight="1" s="16">
      <c r="A311" s="26" t="n">
        <v>310</v>
      </c>
      <c r="B311" s="26" t="n">
        <v>36</v>
      </c>
      <c r="C311" s="26" t="n">
        <v>8</v>
      </c>
      <c r="D311" s="27" t="inlineStr">
        <is>
          <t>仰有取</t>
        </is>
      </c>
      <c r="E311" s="28" t="inlineStr">
        <is>
          <t>貰貸</t>
        </is>
      </c>
      <c r="F311" s="27" t="inlineStr">
        <is>
          <t>行賈遍郡國</t>
        </is>
      </c>
      <c r="G311" s="26" t="n"/>
      <c r="H311" s="29" t="n"/>
      <c r="I311" s="30" t="n"/>
      <c r="J311" s="30" t="n"/>
      <c r="K311" s="30" t="n"/>
      <c r="L311" s="30" t="n"/>
      <c r="M311" s="31" t="n"/>
      <c r="N311" s="29" t="n"/>
      <c r="O311" s="31" t="n"/>
    </row>
    <row r="312" ht="15" customHeight="1" s="16">
      <c r="A312" s="26" t="n">
        <v>311</v>
      </c>
      <c r="B312" s="26" t="n">
        <v>36</v>
      </c>
      <c r="C312" s="26" t="n">
        <v>9</v>
      </c>
      <c r="D312" s="27" t="inlineStr">
        <is>
          <t>貰貸</t>
        </is>
      </c>
      <c r="E312" s="32" t="inlineStr">
        <is>
          <t>行賈遍郡國</t>
        </is>
      </c>
      <c r="F312" s="27" t="inlineStr">
        <is>
          <t>鄒</t>
        </is>
      </c>
      <c r="G312" s="26" t="inlineStr">
        <is>
          <t>●</t>
        </is>
      </c>
      <c r="H312" s="29" t="n"/>
      <c r="I312" s="30" t="n"/>
      <c r="J312" s="30" t="n"/>
      <c r="K312" s="30" t="n"/>
      <c r="L312" s="30" t="n"/>
      <c r="M312" s="31" t="n"/>
      <c r="N312" s="29" t="n"/>
      <c r="O312" s="31" t="n"/>
    </row>
    <row r="313" ht="29.85" customHeight="1" s="16">
      <c r="A313" s="26" t="n">
        <v>312</v>
      </c>
      <c r="B313" s="26" t="n">
        <v>36</v>
      </c>
      <c r="C313" s="26" t="n">
        <v>10</v>
      </c>
      <c r="D313" s="27" t="inlineStr">
        <is>
          <t>行賈遍郡國</t>
        </is>
      </c>
      <c r="E313" s="28" t="inlineStr">
        <is>
          <t>鄒</t>
        </is>
      </c>
      <c r="F313" s="27" t="inlineStr">
        <is>
          <t>魯以其故多去文學而趨利者</t>
        </is>
      </c>
      <c r="G313" s="26" t="n"/>
      <c r="H313" s="29" t="n"/>
      <c r="I313" s="30" t="n"/>
      <c r="J313" s="30" t="n"/>
      <c r="K313" s="30" t="n"/>
      <c r="L313" s="30" t="n"/>
      <c r="M313" s="31" t="n"/>
      <c r="N313" s="29" t="n"/>
      <c r="O313" s="31" t="n"/>
    </row>
    <row r="314" ht="15" customHeight="1" s="16">
      <c r="A314" s="26" t="n">
        <v>313</v>
      </c>
      <c r="B314" s="26" t="n">
        <v>36</v>
      </c>
      <c r="C314" s="26" t="n">
        <v>11</v>
      </c>
      <c r="D314" s="27" t="inlineStr">
        <is>
          <t>鄒</t>
        </is>
      </c>
      <c r="E314" s="32" t="inlineStr">
        <is>
          <t>魯以其故多去文學而趨利者</t>
        </is>
      </c>
      <c r="F314" s="27" t="inlineStr">
        <is>
          <t>以曹邴氏也</t>
        </is>
      </c>
      <c r="G314" s="26" t="inlineStr">
        <is>
          <t>●</t>
        </is>
      </c>
      <c r="H314" s="29" t="n"/>
      <c r="I314" s="30" t="n"/>
      <c r="J314" s="30" t="n"/>
      <c r="K314" s="30" t="n"/>
      <c r="L314" s="30" t="n"/>
      <c r="M314" s="31" t="n"/>
      <c r="N314" s="29" t="n"/>
      <c r="O314" s="31" t="n"/>
    </row>
    <row r="315" ht="29.85" customHeight="1" s="16">
      <c r="A315" s="26" t="n">
        <v>314</v>
      </c>
      <c r="B315" s="26" t="n">
        <v>36</v>
      </c>
      <c r="C315" s="26" t="n">
        <v>12</v>
      </c>
      <c r="D315" s="27" t="inlineStr">
        <is>
          <t>魯以其故多去文學而趨利者</t>
        </is>
      </c>
      <c r="E315" s="28" t="inlineStr">
        <is>
          <t>以曹邴氏也</t>
        </is>
      </c>
      <c r="F315" s="27" t="n"/>
      <c r="G315" s="26" t="n"/>
      <c r="H315" s="29" t="n"/>
      <c r="I315" s="30" t="n"/>
      <c r="J315" s="30" t="n"/>
      <c r="K315" s="30" t="n"/>
      <c r="L315" s="30" t="n"/>
      <c r="M315" s="31" t="n"/>
      <c r="N315" s="29" t="n"/>
      <c r="O315" s="31" t="n"/>
    </row>
    <row r="316" ht="15" customHeight="1" s="16">
      <c r="A316" s="26" t="n">
        <v>315</v>
      </c>
      <c r="B316" s="26" t="n">
        <v>37</v>
      </c>
      <c r="C316" s="26" t="n">
        <v>5</v>
      </c>
      <c r="D316" s="27" t="inlineStr">
        <is>
          <t>人之所患也</t>
        </is>
      </c>
      <c r="E316" s="28" t="inlineStr">
        <is>
          <t>唯刀閒收取</t>
        </is>
      </c>
      <c r="F316" s="27" t="inlineStr">
        <is>
          <t>使之逐漁鹽商賈之利</t>
        </is>
      </c>
      <c r="G316" s="26" t="n"/>
      <c r="H316" s="29" t="n"/>
      <c r="I316" s="30" t="n"/>
      <c r="J316" s="30" t="n"/>
      <c r="K316" s="30" t="n"/>
      <c r="L316" s="30" t="n"/>
      <c r="M316" s="31" t="n"/>
      <c r="N316" s="29" t="n"/>
      <c r="O316" s="31" t="n"/>
    </row>
    <row r="317" ht="15" customHeight="1" s="16">
      <c r="A317" s="26" t="n">
        <v>316</v>
      </c>
      <c r="B317" s="26" t="n">
        <v>37</v>
      </c>
      <c r="C317" s="26" t="n">
        <v>6</v>
      </c>
      <c r="D317" s="27" t="inlineStr">
        <is>
          <t>唯刀閒收取</t>
        </is>
      </c>
      <c r="E317" s="32" t="inlineStr">
        <is>
          <t>使之逐漁鹽商賈之利</t>
        </is>
      </c>
      <c r="F317" s="27" t="inlineStr">
        <is>
          <t>或連</t>
        </is>
      </c>
      <c r="G317" s="26" t="inlineStr">
        <is>
          <t>●</t>
        </is>
      </c>
      <c r="H317" s="29" t="n"/>
      <c r="I317" s="30" t="n"/>
      <c r="J317" s="30" t="n"/>
      <c r="K317" s="30" t="n"/>
      <c r="L317" s="30" t="n"/>
      <c r="M317" s="31" t="n"/>
      <c r="N317" s="29" t="n"/>
      <c r="O317" s="31" t="n"/>
    </row>
    <row r="318" ht="15" customHeight="1" s="16">
      <c r="A318" s="26" t="n">
        <v>317</v>
      </c>
      <c r="B318" s="26" t="n">
        <v>37</v>
      </c>
      <c r="C318" s="26" t="n">
        <v>7</v>
      </c>
      <c r="D318" s="27" t="inlineStr">
        <is>
          <t>使之逐漁鹽商賈之利</t>
        </is>
      </c>
      <c r="E318" s="28" t="inlineStr">
        <is>
          <t>或連</t>
        </is>
      </c>
      <c r="F318" s="27" t="inlineStr">
        <is>
          <t>車騎</t>
        </is>
      </c>
      <c r="G318" s="26" t="n"/>
      <c r="H318" s="29" t="n"/>
      <c r="I318" s="30" t="n"/>
      <c r="J318" s="30" t="n"/>
      <c r="K318" s="30" t="n"/>
      <c r="L318" s="30" t="n"/>
      <c r="M318" s="31" t="n"/>
      <c r="N318" s="29" t="n"/>
      <c r="O318" s="31" t="n"/>
    </row>
    <row r="319" ht="15" customHeight="1" s="16">
      <c r="A319" s="26" t="n">
        <v>318</v>
      </c>
      <c r="B319" s="26" t="n">
        <v>37</v>
      </c>
      <c r="C319" s="26" t="n">
        <v>11</v>
      </c>
      <c r="D319" s="27" t="inlineStr">
        <is>
          <t>然愈益任之</t>
        </is>
      </c>
      <c r="E319" s="28" t="inlineStr">
        <is>
          <t>終得其力</t>
        </is>
      </c>
      <c r="F319" s="27" t="inlineStr">
        <is>
          <t>起富數千萬</t>
        </is>
      </c>
      <c r="G319" s="26" t="n"/>
      <c r="H319" s="29" t="n"/>
      <c r="I319" s="30" t="n"/>
      <c r="J319" s="30" t="n"/>
      <c r="K319" s="30" t="n"/>
      <c r="L319" s="30" t="n"/>
      <c r="M319" s="31" t="n"/>
      <c r="N319" s="29" t="n"/>
      <c r="O319" s="31" t="n"/>
    </row>
    <row r="320" ht="15" customHeight="1" s="16">
      <c r="A320" s="26" t="n">
        <v>319</v>
      </c>
      <c r="B320" s="26" t="n">
        <v>37</v>
      </c>
      <c r="C320" s="26" t="n">
        <v>12</v>
      </c>
      <c r="D320" s="27" t="inlineStr">
        <is>
          <t>終得其力</t>
        </is>
      </c>
      <c r="E320" s="32" t="inlineStr">
        <is>
          <t>起富數千萬</t>
        </is>
      </c>
      <c r="F320" s="27" t="inlineStr">
        <is>
          <t>故曰</t>
        </is>
      </c>
      <c r="G320" s="26" t="inlineStr">
        <is>
          <t>●</t>
        </is>
      </c>
      <c r="H320" s="29" t="n"/>
      <c r="I320" s="30" t="n"/>
      <c r="J320" s="30" t="n"/>
      <c r="K320" s="30" t="n"/>
      <c r="L320" s="30" t="n"/>
      <c r="M320" s="31" t="n"/>
      <c r="N320" s="29" t="n"/>
      <c r="O320" s="31" t="n"/>
    </row>
    <row r="321" ht="15" customHeight="1" s="16">
      <c r="A321" s="26" t="n">
        <v>320</v>
      </c>
      <c r="B321" s="26" t="n">
        <v>37</v>
      </c>
      <c r="C321" s="26" t="n">
        <v>13</v>
      </c>
      <c r="D321" s="27" t="inlineStr">
        <is>
          <t>起富數千萬</t>
        </is>
      </c>
      <c r="E321" s="28" t="inlineStr">
        <is>
          <t>故曰</t>
        </is>
      </c>
      <c r="F321" s="27" t="inlineStr">
        <is>
          <t>寧爵毋刀</t>
        </is>
      </c>
      <c r="G321" s="26" t="n"/>
      <c r="H321" s="29" t="n"/>
      <c r="I321" s="30" t="n"/>
      <c r="J321" s="30" t="n"/>
      <c r="K321" s="30" t="n"/>
      <c r="L321" s="30" t="n"/>
      <c r="M321" s="31" t="n"/>
      <c r="N321" s="29" t="n"/>
      <c r="O321" s="31" t="n"/>
    </row>
    <row r="322" ht="15" customHeight="1" s="16">
      <c r="A322" s="26" t="n">
        <v>321</v>
      </c>
      <c r="B322" s="26" t="n">
        <v>38</v>
      </c>
      <c r="C322" s="26" t="n">
        <v>3</v>
      </c>
      <c r="D322" s="27" t="inlineStr">
        <is>
          <t>而師史尤甚</t>
        </is>
      </c>
      <c r="E322" s="28" t="inlineStr">
        <is>
          <t>轉轂以百數</t>
        </is>
      </c>
      <c r="F322" s="27" t="inlineStr">
        <is>
          <t>賈郡國</t>
        </is>
      </c>
      <c r="G322" s="26" t="n"/>
      <c r="H322" s="29" t="n"/>
      <c r="I322" s="30" t="n"/>
      <c r="J322" s="30" t="n"/>
      <c r="K322" s="30" t="n"/>
      <c r="L322" s="30" t="n"/>
      <c r="M322" s="31" t="n"/>
      <c r="N322" s="29" t="n"/>
      <c r="O322" s="31" t="n"/>
    </row>
    <row r="323" ht="15" customHeight="1" s="16">
      <c r="A323" s="26" t="n">
        <v>322</v>
      </c>
      <c r="B323" s="26" t="n">
        <v>38</v>
      </c>
      <c r="C323" s="26" t="n">
        <v>4</v>
      </c>
      <c r="D323" s="27" t="inlineStr">
        <is>
          <t>轉轂以百數</t>
        </is>
      </c>
      <c r="E323" s="32" t="inlineStr">
        <is>
          <t>賈郡國</t>
        </is>
      </c>
      <c r="F323" s="27" t="inlineStr">
        <is>
          <t>無所不至</t>
        </is>
      </c>
      <c r="G323" s="26" t="inlineStr">
        <is>
          <t>●</t>
        </is>
      </c>
      <c r="H323" s="29" t="n"/>
      <c r="I323" s="30" t="n"/>
      <c r="J323" s="30" t="n"/>
      <c r="K323" s="30" t="n"/>
      <c r="L323" s="30" t="n"/>
      <c r="M323" s="31" t="n"/>
      <c r="N323" s="29" t="n"/>
      <c r="O323" s="31" t="n"/>
    </row>
    <row r="324" ht="29.85" customHeight="1" s="16">
      <c r="A324" s="26" t="n">
        <v>323</v>
      </c>
      <c r="B324" s="26" t="n">
        <v>38</v>
      </c>
      <c r="C324" s="26" t="n">
        <v>5</v>
      </c>
      <c r="D324" s="27" t="inlineStr">
        <is>
          <t>賈郡國</t>
        </is>
      </c>
      <c r="E324" s="28" t="inlineStr">
        <is>
          <t>無所不至</t>
        </is>
      </c>
      <c r="F324" s="27" t="inlineStr">
        <is>
          <t>洛陽街居在齊秦楚趙之中</t>
        </is>
      </c>
      <c r="G324" s="26" t="n"/>
      <c r="H324" s="29" t="n"/>
      <c r="I324" s="30" t="n"/>
      <c r="J324" s="30" t="n"/>
      <c r="K324" s="30" t="n"/>
      <c r="L324" s="30" t="n"/>
      <c r="M324" s="31" t="n"/>
      <c r="N324" s="29" t="n"/>
      <c r="O324" s="31" t="n"/>
    </row>
    <row r="325" ht="15" customHeight="1" s="16">
      <c r="A325" s="26" t="n">
        <v>324</v>
      </c>
      <c r="B325" s="26" t="n">
        <v>38</v>
      </c>
      <c r="C325" s="26" t="n">
        <v>6</v>
      </c>
      <c r="D325" s="27" t="inlineStr">
        <is>
          <t>無所不至</t>
        </is>
      </c>
      <c r="E325" s="28" t="inlineStr">
        <is>
          <t>洛陽街居在齊秦楚趙之中</t>
        </is>
      </c>
      <c r="F325" s="27" t="inlineStr">
        <is>
          <t>貧人學事</t>
        </is>
      </c>
      <c r="G325" s="26" t="n"/>
      <c r="H325" s="29" t="n"/>
      <c r="I325" s="30" t="n"/>
      <c r="J325" s="30" t="n"/>
      <c r="K325" s="30" t="n"/>
      <c r="L325" s="30" t="n"/>
      <c r="M325" s="31" t="n"/>
      <c r="N325" s="29" t="n"/>
      <c r="O325" s="31" t="n"/>
    </row>
    <row r="326" ht="29.85" customHeight="1" s="16">
      <c r="A326" s="26" t="n">
        <v>325</v>
      </c>
      <c r="B326" s="26" t="n">
        <v>38</v>
      </c>
      <c r="C326" s="26" t="n">
        <v>7</v>
      </c>
      <c r="D326" s="27" t="inlineStr">
        <is>
          <t>洛陽街居在齊秦楚趙之中</t>
        </is>
      </c>
      <c r="E326" s="32" t="inlineStr">
        <is>
          <t>貧人學事</t>
        </is>
      </c>
      <c r="F326" s="27" t="inlineStr">
        <is>
          <t>富家</t>
        </is>
      </c>
      <c r="G326" s="26" t="inlineStr">
        <is>
          <t>●</t>
        </is>
      </c>
      <c r="H326" s="29" t="n"/>
      <c r="I326" s="30" t="n"/>
      <c r="J326" s="30" t="n"/>
      <c r="K326" s="30" t="n"/>
      <c r="L326" s="30" t="n"/>
      <c r="M326" s="31" t="n"/>
      <c r="N326" s="29" t="n"/>
      <c r="O326" s="31" t="n"/>
    </row>
    <row r="327" ht="15" customHeight="1" s="16">
      <c r="A327" s="26" t="n">
        <v>326</v>
      </c>
      <c r="B327" s="26" t="n">
        <v>38</v>
      </c>
      <c r="C327" s="26" t="n">
        <v>8</v>
      </c>
      <c r="D327" s="27" t="inlineStr">
        <is>
          <t>貧人學事</t>
        </is>
      </c>
      <c r="E327" s="32" t="inlineStr">
        <is>
          <t>富家</t>
        </is>
      </c>
      <c r="F327" s="27" t="inlineStr">
        <is>
          <t>相矜以久賈</t>
        </is>
      </c>
      <c r="G327" s="26" t="inlineStr">
        <is>
          <t>●</t>
        </is>
      </c>
      <c r="H327" s="29" t="n"/>
      <c r="I327" s="30" t="n"/>
      <c r="J327" s="30" t="n"/>
      <c r="K327" s="30" t="n"/>
      <c r="L327" s="30" t="n"/>
      <c r="M327" s="31" t="n"/>
      <c r="N327" s="29" t="n"/>
      <c r="O327" s="31" t="n"/>
    </row>
    <row r="328" ht="15" customHeight="1" s="16">
      <c r="A328" s="26" t="n">
        <v>327</v>
      </c>
      <c r="B328" s="26" t="n">
        <v>38</v>
      </c>
      <c r="C328" s="26" t="n">
        <v>9</v>
      </c>
      <c r="D328" s="27" t="inlineStr">
        <is>
          <t>富家</t>
        </is>
      </c>
      <c r="E328" s="32" t="inlineStr">
        <is>
          <t>相矜以久賈</t>
        </is>
      </c>
      <c r="F328" s="27" t="inlineStr">
        <is>
          <t>數過邑不入門</t>
        </is>
      </c>
      <c r="G328" s="26" t="inlineStr">
        <is>
          <t>●</t>
        </is>
      </c>
      <c r="H328" s="29" t="n"/>
      <c r="I328" s="30" t="n"/>
      <c r="J328" s="30" t="n"/>
      <c r="K328" s="30" t="n"/>
      <c r="L328" s="30" t="n"/>
      <c r="M328" s="31" t="n"/>
      <c r="N328" s="29" t="n"/>
      <c r="O328" s="31" t="n"/>
    </row>
    <row r="329" ht="15" customHeight="1" s="16">
      <c r="A329" s="26" t="n">
        <v>328</v>
      </c>
      <c r="B329" s="26" t="n">
        <v>38</v>
      </c>
      <c r="C329" s="26" t="n">
        <v>10</v>
      </c>
      <c r="D329" s="27" t="inlineStr">
        <is>
          <t>相矜以久賈</t>
        </is>
      </c>
      <c r="E329" s="28" t="inlineStr">
        <is>
          <t>數過邑不入門</t>
        </is>
      </c>
      <c r="F329" s="27" t="inlineStr">
        <is>
          <t>設任此等</t>
        </is>
      </c>
      <c r="G329" s="26" t="n"/>
      <c r="H329" s="29" t="n"/>
      <c r="I329" s="30" t="n"/>
      <c r="J329" s="30" t="n"/>
      <c r="K329" s="30" t="n"/>
      <c r="L329" s="30" t="n"/>
      <c r="M329" s="31" t="n"/>
      <c r="N329" s="29" t="n"/>
      <c r="O329" s="31" t="n"/>
    </row>
    <row r="330" ht="15" customHeight="1" s="16">
      <c r="A330" s="26" t="n">
        <v>329</v>
      </c>
      <c r="B330" s="26" t="n">
        <v>39</v>
      </c>
      <c r="C330" s="26" t="n">
        <v>4</v>
      </c>
      <c r="D330" s="27" t="inlineStr">
        <is>
          <t>秦之敗也</t>
        </is>
      </c>
      <c r="E330" s="28" t="inlineStr">
        <is>
          <t>豪傑皆爭取金玉</t>
        </is>
      </c>
      <c r="F330" s="27" t="inlineStr">
        <is>
          <t>而任氏獨窖倉粟</t>
        </is>
      </c>
      <c r="G330" s="26" t="n"/>
      <c r="H330" s="29" t="n"/>
      <c r="I330" s="30" t="n"/>
      <c r="J330" s="30" t="n"/>
      <c r="K330" s="30" t="n"/>
      <c r="L330" s="30" t="n"/>
      <c r="M330" s="31" t="n"/>
      <c r="N330" s="29" t="n"/>
      <c r="O330" s="31" t="n"/>
    </row>
    <row r="331" ht="15" customHeight="1" s="16">
      <c r="A331" s="26" t="n">
        <v>330</v>
      </c>
      <c r="B331" s="26" t="n">
        <v>39</v>
      </c>
      <c r="C331" s="26" t="n">
        <v>5</v>
      </c>
      <c r="D331" s="27" t="inlineStr">
        <is>
          <t>豪傑皆爭取金玉</t>
        </is>
      </c>
      <c r="E331" s="32" t="inlineStr">
        <is>
          <t>而任氏獨窖倉粟</t>
        </is>
      </c>
      <c r="F331" s="27" t="inlineStr">
        <is>
          <t>楚漢相距滎陽也</t>
        </is>
      </c>
      <c r="G331" s="26" t="inlineStr">
        <is>
          <t>●</t>
        </is>
      </c>
      <c r="H331" s="29" t="n"/>
      <c r="I331" s="30" t="n"/>
      <c r="J331" s="30" t="n"/>
      <c r="K331" s="30" t="n"/>
      <c r="L331" s="30" t="n"/>
      <c r="M331" s="31" t="n"/>
      <c r="N331" s="29" t="n"/>
      <c r="O331" s="31" t="n"/>
    </row>
    <row r="332" ht="15" customHeight="1" s="16">
      <c r="A332" s="26" t="n">
        <v>331</v>
      </c>
      <c r="B332" s="26" t="n">
        <v>39</v>
      </c>
      <c r="C332" s="26" t="n">
        <v>6</v>
      </c>
      <c r="D332" s="27" t="inlineStr">
        <is>
          <t>而任氏獨窖倉粟</t>
        </is>
      </c>
      <c r="E332" s="28" t="inlineStr">
        <is>
          <t>楚漢相距滎陽也</t>
        </is>
      </c>
      <c r="F332" s="27" t="inlineStr">
        <is>
          <t>民不得耕種</t>
        </is>
      </c>
      <c r="G332" s="26" t="n"/>
      <c r="H332" s="29" t="n"/>
      <c r="I332" s="30" t="n"/>
      <c r="J332" s="30" t="n"/>
      <c r="K332" s="30" t="n"/>
      <c r="L332" s="30" t="n"/>
      <c r="M332" s="31" t="n"/>
      <c r="N332" s="29" t="n"/>
      <c r="O332" s="31" t="n"/>
    </row>
    <row r="333" ht="15" customHeight="1" s="16">
      <c r="A333" s="26" t="n">
        <v>332</v>
      </c>
      <c r="B333" s="26" t="n">
        <v>39</v>
      </c>
      <c r="C333" s="26" t="n">
        <v>9</v>
      </c>
      <c r="D333" s="27" t="inlineStr">
        <is>
          <t>米石至萬</t>
        </is>
      </c>
      <c r="E333" s="28" t="inlineStr">
        <is>
          <t>而豪傑金玉盡歸任氏</t>
        </is>
      </c>
      <c r="F333" s="27" t="inlineStr">
        <is>
          <t>任氏以此起富</t>
        </is>
      </c>
      <c r="G333" s="26" t="n"/>
      <c r="H333" s="29" t="n"/>
      <c r="I333" s="30" t="n"/>
      <c r="J333" s="30" t="n"/>
      <c r="K333" s="30" t="n"/>
      <c r="L333" s="30" t="n"/>
      <c r="M333" s="31" t="n"/>
      <c r="N333" s="29" t="n"/>
      <c r="O333" s="31" t="n"/>
    </row>
    <row r="334" ht="15" customHeight="1" s="16">
      <c r="A334" s="26" t="n">
        <v>333</v>
      </c>
      <c r="B334" s="26" t="n">
        <v>39</v>
      </c>
      <c r="C334" s="26" t="n">
        <v>10</v>
      </c>
      <c r="D334" s="27" t="inlineStr">
        <is>
          <t>而豪傑金玉盡歸任氏</t>
        </is>
      </c>
      <c r="E334" s="32" t="inlineStr">
        <is>
          <t>任氏以此起富</t>
        </is>
      </c>
      <c r="F334" s="27" t="inlineStr">
        <is>
          <t>富人爭奢侈</t>
        </is>
      </c>
      <c r="G334" s="26" t="inlineStr">
        <is>
          <t>●</t>
        </is>
      </c>
      <c r="H334" s="29" t="n"/>
      <c r="I334" s="30" t="n"/>
      <c r="J334" s="30" t="n"/>
      <c r="K334" s="30" t="n"/>
      <c r="L334" s="30" t="n"/>
      <c r="M334" s="31" t="n"/>
      <c r="N334" s="29" t="n"/>
      <c r="O334" s="31" t="n"/>
    </row>
    <row r="335" ht="15" customHeight="1" s="16">
      <c r="A335" s="26" t="n">
        <v>334</v>
      </c>
      <c r="B335" s="26" t="n">
        <v>39</v>
      </c>
      <c r="C335" s="26" t="n">
        <v>11</v>
      </c>
      <c r="D335" s="27" t="inlineStr">
        <is>
          <t>任氏以此起富</t>
        </is>
      </c>
      <c r="E335" s="32" t="inlineStr">
        <is>
          <t>富人爭奢侈</t>
        </is>
      </c>
      <c r="F335" s="27" t="inlineStr">
        <is>
          <t>而任氏折節為儉</t>
        </is>
      </c>
      <c r="G335" s="26" t="inlineStr">
        <is>
          <t>●</t>
        </is>
      </c>
      <c r="H335" s="29" t="n"/>
      <c r="I335" s="30" t="n"/>
      <c r="J335" s="30" t="n"/>
      <c r="K335" s="30" t="n"/>
      <c r="L335" s="30" t="n"/>
      <c r="M335" s="31" t="n"/>
      <c r="N335" s="29" t="n"/>
      <c r="O335" s="31" t="n"/>
    </row>
    <row r="336" ht="15" customHeight="1" s="16">
      <c r="A336" s="26" t="n">
        <v>335</v>
      </c>
      <c r="B336" s="26" t="n">
        <v>39</v>
      </c>
      <c r="C336" s="26" t="n">
        <v>12</v>
      </c>
      <c r="D336" s="27" t="inlineStr">
        <is>
          <t>富人爭奢侈</t>
        </is>
      </c>
      <c r="E336" s="32" t="inlineStr">
        <is>
          <t>而任氏折節為儉</t>
        </is>
      </c>
      <c r="F336" s="27" t="inlineStr">
        <is>
          <t>力田畜</t>
        </is>
      </c>
      <c r="G336" s="26" t="inlineStr">
        <is>
          <t>●</t>
        </is>
      </c>
      <c r="H336" s="29" t="n"/>
      <c r="I336" s="30" t="n"/>
      <c r="J336" s="30" t="n"/>
      <c r="K336" s="30" t="n"/>
      <c r="L336" s="30" t="n"/>
      <c r="M336" s="31" t="n"/>
      <c r="N336" s="29" t="n"/>
      <c r="O336" s="31" t="n"/>
    </row>
    <row r="337" ht="15" customHeight="1" s="16">
      <c r="A337" s="26" t="n">
        <v>336</v>
      </c>
      <c r="B337" s="26" t="n">
        <v>39</v>
      </c>
      <c r="C337" s="26" t="n">
        <v>13</v>
      </c>
      <c r="D337" s="27" t="inlineStr">
        <is>
          <t>而任氏折節為儉</t>
        </is>
      </c>
      <c r="E337" s="28" t="inlineStr">
        <is>
          <t>力田畜</t>
        </is>
      </c>
      <c r="F337" s="27" t="inlineStr">
        <is>
          <t>田畜人爭取賤賈</t>
        </is>
      </c>
      <c r="G337" s="26" t="n"/>
      <c r="H337" s="29" t="n"/>
      <c r="I337" s="30" t="n"/>
      <c r="J337" s="30" t="n"/>
      <c r="K337" s="30" t="n"/>
      <c r="L337" s="30" t="n"/>
      <c r="M337" s="31" t="n"/>
      <c r="N337" s="29" t="n"/>
      <c r="O337" s="31" t="n"/>
    </row>
    <row r="338" ht="15" customHeight="1" s="16">
      <c r="A338" s="26" t="n">
        <v>337</v>
      </c>
      <c r="B338" s="26" t="n">
        <v>39</v>
      </c>
      <c r="C338" s="26" t="n">
        <v>14</v>
      </c>
      <c r="D338" s="27" t="inlineStr">
        <is>
          <t>力田畜</t>
        </is>
      </c>
      <c r="E338" s="32" t="inlineStr">
        <is>
          <t>田畜人爭取賤賈</t>
        </is>
      </c>
      <c r="F338" s="27" t="inlineStr">
        <is>
          <t>任氏獨取貴善</t>
        </is>
      </c>
      <c r="G338" s="26" t="inlineStr">
        <is>
          <t>●</t>
        </is>
      </c>
      <c r="H338" s="29" t="n"/>
      <c r="I338" s="30" t="n"/>
      <c r="J338" s="30" t="n"/>
      <c r="K338" s="30" t="n"/>
      <c r="L338" s="30" t="n"/>
      <c r="M338" s="31" t="n"/>
      <c r="N338" s="29" t="n"/>
      <c r="O338" s="31" t="n"/>
    </row>
    <row r="339" ht="15" customHeight="1" s="16">
      <c r="A339" s="26" t="n">
        <v>338</v>
      </c>
      <c r="B339" s="26" t="n">
        <v>39</v>
      </c>
      <c r="C339" s="26" t="n">
        <v>15</v>
      </c>
      <c r="D339" s="27" t="inlineStr">
        <is>
          <t>田畜人爭取賤賈</t>
        </is>
      </c>
      <c r="E339" s="28" t="inlineStr">
        <is>
          <t>任氏獨取貴善</t>
        </is>
      </c>
      <c r="F339" s="27" t="inlineStr">
        <is>
          <t>富者數世</t>
        </is>
      </c>
      <c r="G339" s="26" t="n"/>
      <c r="H339" s="29" t="n"/>
      <c r="I339" s="30" t="n"/>
      <c r="J339" s="30" t="n"/>
      <c r="K339" s="30" t="n"/>
      <c r="L339" s="30" t="n"/>
      <c r="M339" s="31" t="n"/>
      <c r="N339" s="29" t="n"/>
      <c r="O339" s="31" t="n"/>
    </row>
    <row r="340" ht="15" customHeight="1" s="16">
      <c r="A340" s="26" t="n">
        <v>339</v>
      </c>
      <c r="B340" s="26" t="n">
        <v>39</v>
      </c>
      <c r="C340" s="26" t="n">
        <v>16</v>
      </c>
      <c r="D340" s="27" t="inlineStr">
        <is>
          <t>任氏獨取貴善</t>
        </is>
      </c>
      <c r="E340" s="32" t="inlineStr">
        <is>
          <t>富者數世</t>
        </is>
      </c>
      <c r="F340" s="27" t="inlineStr">
        <is>
          <t>然任公家約</t>
        </is>
      </c>
      <c r="G340" s="26" t="inlineStr">
        <is>
          <t>●</t>
        </is>
      </c>
      <c r="H340" s="29" t="n"/>
      <c r="I340" s="30" t="n"/>
      <c r="J340" s="30" t="n"/>
      <c r="K340" s="30" t="n"/>
      <c r="L340" s="30" t="n"/>
      <c r="M340" s="31" t="n"/>
      <c r="N340" s="29" t="n"/>
      <c r="O340" s="31" t="n"/>
    </row>
    <row r="341" ht="15" customHeight="1" s="16">
      <c r="A341" s="26" t="n">
        <v>340</v>
      </c>
      <c r="B341" s="26" t="n">
        <v>39</v>
      </c>
      <c r="C341" s="26" t="n">
        <v>17</v>
      </c>
      <c r="D341" s="27" t="inlineStr">
        <is>
          <t>富者數世</t>
        </is>
      </c>
      <c r="E341" s="28" t="inlineStr">
        <is>
          <t>然任公家約</t>
        </is>
      </c>
      <c r="F341" s="27" t="inlineStr">
        <is>
          <t>非田畜所出弗衣食</t>
        </is>
      </c>
      <c r="G341" s="26" t="n"/>
      <c r="H341" s="29" t="n"/>
      <c r="I341" s="30" t="n"/>
      <c r="J341" s="30" t="n"/>
      <c r="K341" s="30" t="n"/>
      <c r="L341" s="30" t="n"/>
      <c r="M341" s="31" t="n"/>
      <c r="N341" s="29" t="n"/>
      <c r="O341" s="31" t="n"/>
    </row>
    <row r="342" ht="15" customHeight="1" s="16">
      <c r="A342" s="26" t="n">
        <v>341</v>
      </c>
      <c r="B342" s="26" t="n">
        <v>39</v>
      </c>
      <c r="C342" s="26" t="n">
        <v>21</v>
      </c>
      <c r="D342" s="27" t="inlineStr">
        <is>
          <t>畢則身不得飲酒食肉</t>
        </is>
      </c>
      <c r="E342" s="28" t="inlineStr">
        <is>
          <t>以此為閭里率</t>
        </is>
      </c>
      <c r="F342" s="27" t="inlineStr">
        <is>
          <t>故富而主上重之</t>
        </is>
      </c>
      <c r="G342" s="26" t="n"/>
      <c r="H342" s="29" t="n"/>
      <c r="I342" s="30" t="n"/>
      <c r="J342" s="30" t="n"/>
      <c r="K342" s="30" t="n"/>
      <c r="L342" s="30" t="n"/>
      <c r="M342" s="31" t="n"/>
      <c r="N342" s="29" t="n"/>
      <c r="O342" s="31" t="n"/>
    </row>
    <row r="343" ht="15" customHeight="1" s="16">
      <c r="A343" s="26" t="n">
        <v>342</v>
      </c>
      <c r="B343" s="26" t="n">
        <v>39</v>
      </c>
      <c r="C343" s="26" t="n">
        <v>22</v>
      </c>
      <c r="D343" s="27" t="inlineStr">
        <is>
          <t>以此為閭里率</t>
        </is>
      </c>
      <c r="E343" s="32" t="inlineStr">
        <is>
          <t>故富而主上重之</t>
        </is>
      </c>
      <c r="F343" s="27" t="n"/>
      <c r="G343" s="26" t="inlineStr">
        <is>
          <t>●</t>
        </is>
      </c>
      <c r="H343" s="29" t="n"/>
      <c r="I343" s="30" t="n"/>
      <c r="J343" s="30" t="n"/>
      <c r="K343" s="30" t="n"/>
      <c r="L343" s="30" t="n"/>
      <c r="M343" s="31" t="n"/>
      <c r="N343" s="29" t="n"/>
      <c r="O343" s="31" t="n"/>
    </row>
    <row r="344" ht="15" customHeight="1" s="16">
      <c r="A344" s="26" t="n">
        <v>343</v>
      </c>
      <c r="B344" s="26" t="n">
        <v>40</v>
      </c>
      <c r="C344" s="26" t="n">
        <v>1</v>
      </c>
      <c r="D344" s="27" t="n"/>
      <c r="E344" s="28" t="inlineStr">
        <is>
          <t>塞之斥也</t>
        </is>
      </c>
      <c r="F344" s="27" t="inlineStr">
        <is>
          <t>唯橋姚已致馬千匹</t>
        </is>
      </c>
      <c r="G344" s="26" t="n"/>
      <c r="H344" s="29" t="n"/>
      <c r="I344" s="30" t="n"/>
      <c r="J344" s="30" t="n"/>
      <c r="K344" s="30" t="n"/>
      <c r="L344" s="30" t="n"/>
      <c r="M344" s="31" t="n"/>
      <c r="N344" s="29" t="n"/>
      <c r="O344" s="31" t="n"/>
    </row>
    <row r="345" ht="15" customHeight="1" s="16">
      <c r="A345" s="26" t="n">
        <v>344</v>
      </c>
      <c r="B345" s="26" t="n">
        <v>40</v>
      </c>
      <c r="C345" s="26" t="n">
        <v>2</v>
      </c>
      <c r="D345" s="27" t="inlineStr">
        <is>
          <t>塞之斥也</t>
        </is>
      </c>
      <c r="E345" s="28" t="inlineStr">
        <is>
          <t>唯橋姚已致馬千匹</t>
        </is>
      </c>
      <c r="F345" s="27" t="inlineStr">
        <is>
          <t>牛倍之</t>
        </is>
      </c>
      <c r="G345" s="26" t="n"/>
      <c r="H345" s="29" t="n"/>
      <c r="I345" s="30" t="n"/>
      <c r="J345" s="30" t="n"/>
      <c r="K345" s="30" t="n"/>
      <c r="L345" s="30" t="n"/>
      <c r="M345" s="31" t="n"/>
      <c r="N345" s="29" t="n"/>
      <c r="O345" s="31" t="n"/>
    </row>
    <row r="346" ht="15" customHeight="1" s="16">
      <c r="A346" s="26" t="n">
        <v>345</v>
      </c>
      <c r="B346" s="26" t="n">
        <v>40</v>
      </c>
      <c r="C346" s="26" t="n">
        <v>3</v>
      </c>
      <c r="D346" s="27" t="inlineStr">
        <is>
          <t>唯橋姚已致馬千匹</t>
        </is>
      </c>
      <c r="E346" s="32" t="inlineStr">
        <is>
          <t>牛倍之</t>
        </is>
      </c>
      <c r="F346" s="27" t="inlineStr">
        <is>
          <t>羊萬頭</t>
        </is>
      </c>
      <c r="G346" s="26" t="inlineStr">
        <is>
          <t>●</t>
        </is>
      </c>
      <c r="H346" s="29" t="n"/>
      <c r="I346" s="30" t="n"/>
      <c r="J346" s="30" t="n"/>
      <c r="K346" s="30" t="n"/>
      <c r="L346" s="30" t="n"/>
      <c r="M346" s="31" t="n"/>
      <c r="N346" s="29" t="n"/>
      <c r="O346" s="31" t="n"/>
    </row>
    <row r="347" ht="15" customHeight="1" s="16">
      <c r="A347" s="26" t="n">
        <v>346</v>
      </c>
      <c r="B347" s="26" t="n">
        <v>40</v>
      </c>
      <c r="C347" s="26" t="n">
        <v>4</v>
      </c>
      <c r="D347" s="27" t="inlineStr">
        <is>
          <t>牛倍之</t>
        </is>
      </c>
      <c r="E347" s="28" t="inlineStr">
        <is>
          <t>羊萬頭</t>
        </is>
      </c>
      <c r="F347" s="27" t="inlineStr">
        <is>
          <t>粟以萬鐘計</t>
        </is>
      </c>
      <c r="G347" s="26" t="n"/>
      <c r="H347" s="29" t="n"/>
      <c r="I347" s="30" t="n"/>
      <c r="J347" s="30" t="n"/>
      <c r="K347" s="30" t="n"/>
      <c r="L347" s="30" t="n"/>
      <c r="M347" s="31" t="n"/>
      <c r="N347" s="29" t="n"/>
      <c r="O347" s="31" t="n"/>
    </row>
    <row r="348" ht="15" customHeight="1" s="16">
      <c r="A348" s="26" t="n">
        <v>347</v>
      </c>
      <c r="B348" s="26" t="n">
        <v>40</v>
      </c>
      <c r="C348" s="26" t="n">
        <v>8</v>
      </c>
      <c r="D348" s="27" t="inlineStr">
        <is>
          <t>長安中列侯封</t>
        </is>
      </c>
      <c r="E348" s="28" t="inlineStr">
        <is>
          <t>君行從軍旅</t>
        </is>
      </c>
      <c r="F348" s="27" t="inlineStr">
        <is>
          <t>齎貸子錢</t>
        </is>
      </c>
      <c r="G348" s="26" t="n"/>
      <c r="H348" s="29" t="n"/>
      <c r="I348" s="30" t="n"/>
      <c r="J348" s="30" t="n"/>
      <c r="K348" s="30" t="n"/>
      <c r="L348" s="30" t="n"/>
      <c r="M348" s="31" t="n"/>
      <c r="N348" s="29" t="n"/>
      <c r="O348" s="31" t="n"/>
    </row>
    <row r="349" ht="29.85" customHeight="1" s="16">
      <c r="A349" s="26" t="n">
        <v>348</v>
      </c>
      <c r="B349" s="26" t="n">
        <v>40</v>
      </c>
      <c r="C349" s="26" t="n">
        <v>9</v>
      </c>
      <c r="D349" s="27" t="inlineStr">
        <is>
          <t>君行從軍旅</t>
        </is>
      </c>
      <c r="E349" s="32" t="inlineStr">
        <is>
          <t>齎貸子錢</t>
        </is>
      </c>
      <c r="F349" s="27" t="inlineStr">
        <is>
          <t>子錢家以為侯邑國在關東</t>
        </is>
      </c>
      <c r="G349" s="26" t="inlineStr">
        <is>
          <t>●</t>
        </is>
      </c>
      <c r="H349" s="29" t="n"/>
      <c r="I349" s="30" t="n"/>
      <c r="J349" s="30" t="n"/>
      <c r="K349" s="30" t="n"/>
      <c r="L349" s="30" t="n"/>
      <c r="M349" s="31" t="n"/>
      <c r="N349" s="29" t="n"/>
      <c r="O349" s="31" t="n"/>
    </row>
    <row r="350" ht="15" customHeight="1" s="16">
      <c r="A350" s="26" t="n">
        <v>349</v>
      </c>
      <c r="B350" s="26" t="n">
        <v>40</v>
      </c>
      <c r="C350" s="26" t="n">
        <v>10</v>
      </c>
      <c r="D350" s="27" t="inlineStr">
        <is>
          <t>齎貸子錢</t>
        </is>
      </c>
      <c r="E350" s="32" t="inlineStr">
        <is>
          <t>子錢家以為侯邑國在關東</t>
        </is>
      </c>
      <c r="F350" s="27" t="inlineStr">
        <is>
          <t>關東成敗未決</t>
        </is>
      </c>
      <c r="G350" s="26" t="inlineStr">
        <is>
          <t>●</t>
        </is>
      </c>
      <c r="H350" s="29" t="n"/>
      <c r="I350" s="30" t="n"/>
      <c r="J350" s="30" t="n"/>
      <c r="K350" s="30" t="n"/>
      <c r="L350" s="30" t="n"/>
      <c r="M350" s="31" t="n"/>
      <c r="N350" s="29" t="n"/>
      <c r="O350" s="31" t="n"/>
    </row>
    <row r="351" ht="29.85" customHeight="1" s="16">
      <c r="A351" s="26" t="n">
        <v>350</v>
      </c>
      <c r="B351" s="26" t="n">
        <v>40</v>
      </c>
      <c r="C351" s="26" t="n">
        <v>11</v>
      </c>
      <c r="D351" s="27" t="inlineStr">
        <is>
          <t>子錢家以為侯邑國在關東</t>
        </is>
      </c>
      <c r="E351" s="28" t="inlineStr">
        <is>
          <t>關東成敗未決</t>
        </is>
      </c>
      <c r="F351" s="27" t="inlineStr">
        <is>
          <t>莫肯與</t>
        </is>
      </c>
      <c r="G351" s="26" t="n"/>
      <c r="H351" s="29" t="n"/>
      <c r="I351" s="30" t="n"/>
      <c r="J351" s="30" t="n"/>
      <c r="K351" s="30" t="n"/>
      <c r="L351" s="30" t="n"/>
      <c r="M351" s="31" t="n"/>
      <c r="N351" s="29" t="n"/>
      <c r="O351" s="31" t="n"/>
    </row>
    <row r="352" ht="15" customHeight="1" s="16">
      <c r="A352" s="26" t="n">
        <v>351</v>
      </c>
      <c r="B352" s="26" t="n">
        <v>40</v>
      </c>
      <c r="C352" s="26" t="n">
        <v>12</v>
      </c>
      <c r="D352" s="27" t="inlineStr">
        <is>
          <t>關東成敗未決</t>
        </is>
      </c>
      <c r="E352" s="28" t="inlineStr">
        <is>
          <t>莫肯與</t>
        </is>
      </c>
      <c r="F352" s="27" t="inlineStr">
        <is>
          <t>唯無鹽氏出捐千金</t>
        </is>
      </c>
      <c r="G352" s="26" t="n"/>
      <c r="H352" s="29" t="n"/>
      <c r="I352" s="30" t="n"/>
      <c r="J352" s="30" t="n"/>
      <c r="K352" s="30" t="n"/>
      <c r="L352" s="30" t="n"/>
      <c r="M352" s="31" t="n"/>
      <c r="N352" s="29" t="n"/>
      <c r="O352" s="31" t="n"/>
    </row>
    <row r="353" ht="15" customHeight="1" s="16">
      <c r="A353" s="26" t="n">
        <v>352</v>
      </c>
      <c r="B353" s="26" t="n">
        <v>40</v>
      </c>
      <c r="C353" s="26" t="n">
        <v>13</v>
      </c>
      <c r="D353" s="27" t="inlineStr">
        <is>
          <t>莫肯與</t>
        </is>
      </c>
      <c r="E353" s="32" t="inlineStr">
        <is>
          <t>唯無鹽氏出捐千金</t>
        </is>
      </c>
      <c r="F353" s="27" t="inlineStr">
        <is>
          <t>貸</t>
        </is>
      </c>
      <c r="G353" s="26" t="inlineStr">
        <is>
          <t>●</t>
        </is>
      </c>
      <c r="H353" s="29" t="n"/>
      <c r="I353" s="30" t="n"/>
      <c r="J353" s="30" t="n"/>
      <c r="K353" s="30" t="n"/>
      <c r="L353" s="30" t="n"/>
      <c r="M353" s="31" t="n"/>
      <c r="N353" s="29" t="n"/>
      <c r="O353" s="31" t="n"/>
    </row>
    <row r="354" ht="15" customHeight="1" s="16">
      <c r="A354" s="26" t="n">
        <v>353</v>
      </c>
      <c r="B354" s="26" t="n">
        <v>40</v>
      </c>
      <c r="C354" s="26" t="n">
        <v>14</v>
      </c>
      <c r="D354" s="27" t="inlineStr">
        <is>
          <t>唯無鹽氏出捐千金</t>
        </is>
      </c>
      <c r="E354" s="28" t="inlineStr">
        <is>
          <t>貸</t>
        </is>
      </c>
      <c r="F354" s="27" t="inlineStr">
        <is>
          <t>其息什之</t>
        </is>
      </c>
      <c r="G354" s="26" t="n"/>
      <c r="H354" s="29" t="n"/>
      <c r="I354" s="30" t="n"/>
      <c r="J354" s="30" t="n"/>
      <c r="K354" s="30" t="n"/>
      <c r="L354" s="30" t="n"/>
      <c r="M354" s="31" t="n"/>
      <c r="N354" s="29" t="n"/>
      <c r="O354" s="31" t="n"/>
    </row>
    <row r="355" ht="15" customHeight="1" s="16">
      <c r="A355" s="26" t="n">
        <v>354</v>
      </c>
      <c r="B355" s="26" t="n">
        <v>40</v>
      </c>
      <c r="C355" s="26" t="n">
        <v>15</v>
      </c>
      <c r="D355" s="27" t="inlineStr">
        <is>
          <t>貸</t>
        </is>
      </c>
      <c r="E355" s="32" t="inlineStr">
        <is>
          <t>其息什之</t>
        </is>
      </c>
      <c r="F355" s="27" t="inlineStr">
        <is>
          <t>三月</t>
        </is>
      </c>
      <c r="G355" s="26" t="inlineStr">
        <is>
          <t>●</t>
        </is>
      </c>
      <c r="H355" s="29" t="n"/>
      <c r="I355" s="30" t="n"/>
      <c r="J355" s="30" t="n"/>
      <c r="K355" s="30" t="n"/>
      <c r="L355" s="30" t="n"/>
      <c r="M355" s="31" t="n"/>
      <c r="N355" s="29" t="n"/>
      <c r="O355" s="31" t="n"/>
    </row>
    <row r="356" ht="15" customHeight="1" s="16">
      <c r="A356" s="26" t="n">
        <v>355</v>
      </c>
      <c r="B356" s="26" t="n">
        <v>40</v>
      </c>
      <c r="C356" s="26" t="n">
        <v>16</v>
      </c>
      <c r="D356" s="27" t="inlineStr">
        <is>
          <t>其息什之</t>
        </is>
      </c>
      <c r="E356" s="28" t="inlineStr">
        <is>
          <t>三月</t>
        </is>
      </c>
      <c r="F356" s="27" t="inlineStr">
        <is>
          <t>吳楚平</t>
        </is>
      </c>
      <c r="G356" s="26" t="n"/>
      <c r="H356" s="29" t="n"/>
      <c r="I356" s="30" t="n"/>
      <c r="J356" s="30" t="n"/>
      <c r="K356" s="30" t="n"/>
      <c r="L356" s="30" t="n"/>
      <c r="M356" s="31" t="n"/>
      <c r="N356" s="29" t="n"/>
      <c r="O356" s="31" t="n"/>
    </row>
    <row r="357" ht="15" customHeight="1" s="16">
      <c r="A357" s="26" t="n">
        <v>356</v>
      </c>
      <c r="B357" s="26" t="n">
        <v>40</v>
      </c>
      <c r="C357" s="26" t="n">
        <v>18</v>
      </c>
      <c r="D357" s="27" t="inlineStr">
        <is>
          <t>吳楚平</t>
        </is>
      </c>
      <c r="E357" s="28" t="inlineStr">
        <is>
          <t>一歲之中</t>
        </is>
      </c>
      <c r="F357" s="27" t="inlineStr">
        <is>
          <t>則無鹽氏之息什倍</t>
        </is>
      </c>
      <c r="G357" s="26" t="n"/>
      <c r="H357" s="29" t="n"/>
      <c r="I357" s="30" t="n"/>
      <c r="J357" s="30" t="n"/>
      <c r="K357" s="30" t="n"/>
      <c r="L357" s="30" t="n"/>
      <c r="M357" s="31" t="n"/>
      <c r="N357" s="29" t="n"/>
      <c r="O357" s="31" t="n"/>
    </row>
    <row r="358" ht="15" customHeight="1" s="16">
      <c r="A358" s="26" t="n">
        <v>357</v>
      </c>
      <c r="B358" s="26" t="n">
        <v>40</v>
      </c>
      <c r="C358" s="26" t="n">
        <v>19</v>
      </c>
      <c r="D358" s="27" t="inlineStr">
        <is>
          <t>一歲之中</t>
        </is>
      </c>
      <c r="E358" s="32" t="inlineStr">
        <is>
          <t>則無鹽氏之息什倍</t>
        </is>
      </c>
      <c r="F358" s="27" t="inlineStr">
        <is>
          <t>用此富埒關中</t>
        </is>
      </c>
      <c r="G358" s="26" t="inlineStr">
        <is>
          <t>●</t>
        </is>
      </c>
      <c r="H358" s="29" t="n"/>
      <c r="I358" s="30" t="n"/>
      <c r="J358" s="30" t="n"/>
      <c r="K358" s="30" t="n"/>
      <c r="L358" s="30" t="n"/>
      <c r="M358" s="31" t="n"/>
      <c r="N358" s="29" t="n"/>
      <c r="O358" s="31" t="n"/>
    </row>
    <row r="359" ht="15" customHeight="1" s="16">
      <c r="A359" s="26" t="n">
        <v>358</v>
      </c>
      <c r="B359" s="26" t="n">
        <v>40</v>
      </c>
      <c r="C359" s="26" t="n">
        <v>20</v>
      </c>
      <c r="D359" s="27" t="inlineStr">
        <is>
          <t>則無鹽氏之息什倍</t>
        </is>
      </c>
      <c r="E359" s="32" t="inlineStr">
        <is>
          <t>用此富埒關中</t>
        </is>
      </c>
      <c r="F359" s="27" t="n"/>
      <c r="G359" s="26" t="inlineStr">
        <is>
          <t>●</t>
        </is>
      </c>
      <c r="H359" s="29" t="n"/>
      <c r="I359" s="30" t="n"/>
      <c r="J359" s="30" t="n"/>
      <c r="K359" s="30" t="n"/>
      <c r="L359" s="30" t="n"/>
      <c r="M359" s="31" t="n"/>
      <c r="N359" s="29" t="n"/>
      <c r="O359" s="31" t="n"/>
    </row>
    <row r="360" ht="15" customHeight="1" s="16">
      <c r="A360" s="26" t="n">
        <v>359</v>
      </c>
      <c r="B360" s="26" t="n">
        <v>41</v>
      </c>
      <c r="C360" s="26" t="n">
        <v>1</v>
      </c>
      <c r="D360" s="27" t="n"/>
      <c r="E360" s="32" t="inlineStr">
        <is>
          <t>關中富商大賈</t>
        </is>
      </c>
      <c r="F360" s="27" t="inlineStr">
        <is>
          <t>大抵盡諸田</t>
        </is>
      </c>
      <c r="G360" s="26" t="inlineStr">
        <is>
          <t>●</t>
        </is>
      </c>
      <c r="H360" s="29" t="n"/>
      <c r="I360" s="30" t="n"/>
      <c r="J360" s="30" t="n"/>
      <c r="K360" s="30" t="n"/>
      <c r="L360" s="30" t="n"/>
      <c r="M360" s="31" t="n"/>
      <c r="N360" s="29" t="n"/>
      <c r="O360" s="31" t="n"/>
    </row>
    <row r="361" ht="15" customHeight="1" s="16">
      <c r="A361" s="26" t="n">
        <v>360</v>
      </c>
      <c r="B361" s="26" t="n">
        <v>41</v>
      </c>
      <c r="C361" s="26" t="n">
        <v>2</v>
      </c>
      <c r="D361" s="27" t="inlineStr">
        <is>
          <t>關中富商大賈</t>
        </is>
      </c>
      <c r="E361" s="28" t="inlineStr">
        <is>
          <t>大抵盡諸田</t>
        </is>
      </c>
      <c r="F361" s="27" t="inlineStr">
        <is>
          <t>田嗇</t>
        </is>
      </c>
      <c r="G361" s="26" t="n"/>
      <c r="H361" s="29" t="n"/>
      <c r="I361" s="30" t="n"/>
      <c r="J361" s="30" t="n"/>
      <c r="K361" s="30" t="n"/>
      <c r="L361" s="30" t="n"/>
      <c r="M361" s="31" t="n"/>
      <c r="N361" s="29" t="n"/>
      <c r="O361" s="31" t="n"/>
    </row>
    <row r="362" ht="29.85" customHeight="1" s="16">
      <c r="A362" s="26" t="n">
        <v>361</v>
      </c>
      <c r="B362" s="26" t="n">
        <v>42</v>
      </c>
      <c r="C362" s="26" t="n">
        <v>1</v>
      </c>
      <c r="D362" s="27" t="n"/>
      <c r="E362" s="28" t="inlineStr">
        <is>
          <t>此其章章尤異者也</t>
        </is>
      </c>
      <c r="F362" s="27" t="inlineStr">
        <is>
          <t>皆非有爵邑奉祿弄法犯姦而富</t>
        </is>
      </c>
      <c r="G362" s="26" t="n"/>
      <c r="H362" s="29" t="n"/>
      <c r="I362" s="30" t="n"/>
      <c r="J362" s="30" t="n"/>
      <c r="K362" s="30" t="n"/>
      <c r="L362" s="30" t="n"/>
      <c r="M362" s="31" t="n"/>
      <c r="N362" s="29" t="n"/>
      <c r="O362" s="31" t="n"/>
    </row>
    <row r="363" ht="15" customHeight="1" s="16">
      <c r="A363" s="26" t="n">
        <v>362</v>
      </c>
      <c r="B363" s="26" t="n">
        <v>42</v>
      </c>
      <c r="C363" s="26" t="n">
        <v>2</v>
      </c>
      <c r="D363" s="27" t="inlineStr">
        <is>
          <t>此其章章尤異者也</t>
        </is>
      </c>
      <c r="E363" s="32" t="inlineStr">
        <is>
          <t>皆非有爵邑奉祿弄法犯姦而富</t>
        </is>
      </c>
      <c r="F363" s="27" t="inlineStr">
        <is>
          <t>盡椎埋去就</t>
        </is>
      </c>
      <c r="G363" s="26" t="inlineStr">
        <is>
          <t>●</t>
        </is>
      </c>
      <c r="H363" s="29" t="n"/>
      <c r="I363" s="30" t="n"/>
      <c r="J363" s="30" t="n"/>
      <c r="K363" s="30" t="n"/>
      <c r="L363" s="30" t="n"/>
      <c r="M363" s="31" t="n"/>
      <c r="N363" s="29" t="n"/>
      <c r="O363" s="31" t="n"/>
    </row>
    <row r="364" ht="29.85" customHeight="1" s="16">
      <c r="A364" s="26" t="n">
        <v>363</v>
      </c>
      <c r="B364" s="26" t="n">
        <v>42</v>
      </c>
      <c r="C364" s="26" t="n">
        <v>3</v>
      </c>
      <c r="D364" s="27" t="inlineStr">
        <is>
          <t>皆非有爵邑奉祿弄法犯姦而富</t>
        </is>
      </c>
      <c r="E364" s="28" t="inlineStr">
        <is>
          <t>盡椎埋去就</t>
        </is>
      </c>
      <c r="F364" s="27" t="inlineStr">
        <is>
          <t>與時俯仰</t>
        </is>
      </c>
      <c r="G364" s="26" t="n"/>
      <c r="H364" s="29" t="n"/>
      <c r="I364" s="30" t="n"/>
      <c r="J364" s="30" t="n"/>
      <c r="K364" s="30" t="n"/>
      <c r="L364" s="30" t="n"/>
      <c r="M364" s="31" t="n"/>
      <c r="N364" s="29" t="n"/>
      <c r="O364" s="31" t="n"/>
    </row>
    <row r="365" ht="15" customHeight="1" s="16">
      <c r="A365" s="26" t="n">
        <v>364</v>
      </c>
      <c r="B365" s="26" t="n">
        <v>42</v>
      </c>
      <c r="C365" s="26" t="n">
        <v>4</v>
      </c>
      <c r="D365" s="27" t="inlineStr">
        <is>
          <t>盡椎埋去就</t>
        </is>
      </c>
      <c r="E365" s="28" t="inlineStr">
        <is>
          <t>與時俯仰</t>
        </is>
      </c>
      <c r="F365" s="27" t="inlineStr">
        <is>
          <t>獲其贏利</t>
        </is>
      </c>
      <c r="G365" s="26" t="n"/>
      <c r="H365" s="29" t="n"/>
      <c r="I365" s="30" t="n"/>
      <c r="J365" s="30" t="n"/>
      <c r="K365" s="30" t="n"/>
      <c r="L365" s="30" t="n"/>
      <c r="M365" s="31" t="n"/>
      <c r="N365" s="29" t="n"/>
      <c r="O365" s="31" t="n"/>
    </row>
    <row r="366" ht="15" customHeight="1" s="16">
      <c r="A366" s="26" t="n">
        <v>365</v>
      </c>
      <c r="B366" s="26" t="n">
        <v>42</v>
      </c>
      <c r="C366" s="26" t="n">
        <v>5</v>
      </c>
      <c r="D366" s="27" t="inlineStr">
        <is>
          <t>與時俯仰</t>
        </is>
      </c>
      <c r="E366" s="32" t="inlineStr">
        <is>
          <t>獲其贏利</t>
        </is>
      </c>
      <c r="F366" s="27" t="inlineStr">
        <is>
          <t>以末致</t>
        </is>
      </c>
      <c r="G366" s="26" t="inlineStr">
        <is>
          <t>●</t>
        </is>
      </c>
      <c r="H366" s="29" t="n"/>
      <c r="I366" s="30" t="n"/>
      <c r="J366" s="30" t="n"/>
      <c r="K366" s="30" t="n"/>
      <c r="L366" s="30" t="n"/>
      <c r="M366" s="31" t="n"/>
      <c r="N366" s="29" t="n"/>
      <c r="O366" s="31" t="n"/>
    </row>
    <row r="367" ht="15" customHeight="1" s="16">
      <c r="A367" s="26" t="n">
        <v>366</v>
      </c>
      <c r="B367" s="26" t="n">
        <v>42</v>
      </c>
      <c r="C367" s="26" t="n">
        <v>6</v>
      </c>
      <c r="D367" s="27" t="inlineStr">
        <is>
          <t>獲其贏利</t>
        </is>
      </c>
      <c r="E367" s="28" t="inlineStr">
        <is>
          <t>以末致</t>
        </is>
      </c>
      <c r="F367" s="27" t="inlineStr">
        <is>
          <t>財</t>
        </is>
      </c>
      <c r="G367" s="26" t="n"/>
      <c r="H367" s="29" t="n"/>
      <c r="I367" s="30" t="n"/>
      <c r="J367" s="30" t="n"/>
      <c r="K367" s="30" t="n"/>
      <c r="L367" s="30" t="n"/>
      <c r="M367" s="31" t="n"/>
      <c r="N367" s="29" t="n"/>
      <c r="O367" s="31" t="n"/>
    </row>
    <row r="368" ht="15" customHeight="1" s="16">
      <c r="A368" s="26" t="n">
        <v>367</v>
      </c>
      <c r="B368" s="26" t="n">
        <v>42</v>
      </c>
      <c r="C368" s="26" t="n">
        <v>7</v>
      </c>
      <c r="D368" s="27" t="inlineStr">
        <is>
          <t>以末致</t>
        </is>
      </c>
      <c r="E368" s="32" t="inlineStr">
        <is>
          <t>財</t>
        </is>
      </c>
      <c r="F368" s="27" t="inlineStr">
        <is>
          <t>用本守之</t>
        </is>
      </c>
      <c r="G368" s="26" t="inlineStr">
        <is>
          <t>●</t>
        </is>
      </c>
      <c r="H368" s="29" t="n"/>
      <c r="I368" s="30" t="n"/>
      <c r="J368" s="30" t="n"/>
      <c r="K368" s="30" t="n"/>
      <c r="L368" s="30" t="n"/>
      <c r="M368" s="31" t="n"/>
      <c r="N368" s="29" t="n"/>
      <c r="O368" s="31" t="n"/>
    </row>
    <row r="369" ht="15" customHeight="1" s="16">
      <c r="A369" s="26" t="n">
        <v>368</v>
      </c>
      <c r="B369" s="26" t="n">
        <v>42</v>
      </c>
      <c r="C369" s="26" t="n">
        <v>8</v>
      </c>
      <c r="D369" s="27" t="inlineStr">
        <is>
          <t>財</t>
        </is>
      </c>
      <c r="E369" s="28" t="inlineStr">
        <is>
          <t>用本守之</t>
        </is>
      </c>
      <c r="F369" s="27" t="inlineStr">
        <is>
          <t>以武一切</t>
        </is>
      </c>
      <c r="G369" s="26" t="n"/>
      <c r="H369" s="29" t="n"/>
      <c r="I369" s="30" t="n"/>
      <c r="J369" s="30" t="n"/>
      <c r="K369" s="30" t="n"/>
      <c r="L369" s="30" t="n"/>
      <c r="M369" s="31" t="n"/>
      <c r="N369" s="29" t="n"/>
      <c r="O369" s="31" t="n"/>
    </row>
    <row r="370" ht="15" customHeight="1" s="16">
      <c r="A370" s="26" t="n">
        <v>369</v>
      </c>
      <c r="B370" s="26" t="n">
        <v>42</v>
      </c>
      <c r="C370" s="26" t="n">
        <v>13</v>
      </c>
      <c r="D370" s="27" t="inlineStr">
        <is>
          <t>故足術也</t>
        </is>
      </c>
      <c r="E370" s="28" t="inlineStr">
        <is>
          <t>若至力農畜</t>
        </is>
      </c>
      <c r="F370" s="27" t="inlineStr">
        <is>
          <t>工虞商賈</t>
        </is>
      </c>
      <c r="G370" s="26" t="n"/>
      <c r="H370" s="29" t="n"/>
      <c r="I370" s="30" t="n"/>
      <c r="J370" s="30" t="n"/>
      <c r="K370" s="30" t="n"/>
      <c r="L370" s="30" t="n"/>
      <c r="M370" s="31" t="n"/>
      <c r="N370" s="29" t="n"/>
      <c r="O370" s="31" t="n"/>
    </row>
    <row r="371" ht="15" customHeight="1" s="16">
      <c r="A371" s="26" t="n">
        <v>370</v>
      </c>
      <c r="B371" s="26" t="n">
        <v>42</v>
      </c>
      <c r="C371" s="26" t="n">
        <v>14</v>
      </c>
      <c r="D371" s="27" t="inlineStr">
        <is>
          <t>若至力農畜</t>
        </is>
      </c>
      <c r="E371" s="32" t="inlineStr">
        <is>
          <t>工虞商賈</t>
        </is>
      </c>
      <c r="F371" s="27" t="inlineStr">
        <is>
          <t>為權利以</t>
        </is>
      </c>
      <c r="G371" s="26" t="inlineStr">
        <is>
          <t>●</t>
        </is>
      </c>
      <c r="H371" s="29" t="n"/>
      <c r="I371" s="30" t="n"/>
      <c r="J371" s="30" t="n"/>
      <c r="K371" s="30" t="n"/>
      <c r="L371" s="30" t="n"/>
      <c r="M371" s="31" t="n"/>
      <c r="N371" s="29" t="n"/>
      <c r="O371" s="31" t="n"/>
    </row>
    <row r="372" ht="15" customHeight="1" s="16">
      <c r="A372" s="26" t="n">
        <v>371</v>
      </c>
      <c r="B372" s="26" t="n">
        <v>42</v>
      </c>
      <c r="C372" s="26" t="n">
        <v>15</v>
      </c>
      <c r="D372" s="27" t="inlineStr">
        <is>
          <t>工虞商賈</t>
        </is>
      </c>
      <c r="E372" s="32" t="inlineStr">
        <is>
          <t>為權利以</t>
        </is>
      </c>
      <c r="F372" s="27" t="inlineStr">
        <is>
          <t>成富</t>
        </is>
      </c>
      <c r="G372" s="26" t="inlineStr">
        <is>
          <t>●</t>
        </is>
      </c>
      <c r="H372" s="29" t="n"/>
      <c r="I372" s="30" t="n"/>
      <c r="J372" s="30" t="n"/>
      <c r="K372" s="30" t="n"/>
      <c r="L372" s="30" t="n"/>
      <c r="M372" s="31" t="n"/>
      <c r="N372" s="29" t="n"/>
      <c r="O372" s="31" t="n"/>
    </row>
    <row r="373" ht="15" customHeight="1" s="16">
      <c r="A373" s="26" t="n">
        <v>372</v>
      </c>
      <c r="B373" s="26" t="n">
        <v>42</v>
      </c>
      <c r="C373" s="26" t="n">
        <v>16</v>
      </c>
      <c r="D373" s="27" t="inlineStr">
        <is>
          <t>為權利以</t>
        </is>
      </c>
      <c r="E373" s="32" t="inlineStr">
        <is>
          <t>成富</t>
        </is>
      </c>
      <c r="F373" s="27" t="inlineStr">
        <is>
          <t>大者傾郡</t>
        </is>
      </c>
      <c r="G373" s="26" t="inlineStr">
        <is>
          <t>●</t>
        </is>
      </c>
      <c r="H373" s="29" t="n"/>
      <c r="I373" s="30" t="n"/>
      <c r="J373" s="30" t="n"/>
      <c r="K373" s="30" t="n"/>
      <c r="L373" s="30" t="n"/>
      <c r="M373" s="31" t="n"/>
      <c r="N373" s="29" t="n"/>
      <c r="O373" s="31" t="n"/>
    </row>
    <row r="374" ht="15" customHeight="1" s="16">
      <c r="A374" s="26" t="n">
        <v>373</v>
      </c>
      <c r="B374" s="26" t="n">
        <v>42</v>
      </c>
      <c r="C374" s="26" t="n">
        <v>17</v>
      </c>
      <c r="D374" s="27" t="inlineStr">
        <is>
          <t>成富</t>
        </is>
      </c>
      <c r="E374" s="28" t="inlineStr">
        <is>
          <t>大者傾郡</t>
        </is>
      </c>
      <c r="F374" s="27" t="inlineStr">
        <is>
          <t>中者傾縣</t>
        </is>
      </c>
      <c r="G374" s="26" t="n"/>
      <c r="H374" s="29" t="n"/>
      <c r="I374" s="30" t="n"/>
      <c r="J374" s="30" t="n"/>
      <c r="K374" s="30" t="n"/>
      <c r="L374" s="30" t="n"/>
      <c r="M374" s="31" t="n"/>
      <c r="N374" s="29" t="n"/>
      <c r="O374" s="31" t="n"/>
    </row>
    <row r="375" ht="15" customHeight="1" s="16">
      <c r="A375" s="26" t="n">
        <v>374</v>
      </c>
      <c r="B375" s="26" t="n">
        <v>43</v>
      </c>
      <c r="C375" s="26" t="n">
        <v>2</v>
      </c>
      <c r="D375" s="27" t="inlineStr">
        <is>
          <t>夫纖嗇筋力</t>
        </is>
      </c>
      <c r="E375" s="28" t="inlineStr">
        <is>
          <t>治生之正道也</t>
        </is>
      </c>
      <c r="F375" s="27" t="inlineStr">
        <is>
          <t>而富者必用奇勝</t>
        </is>
      </c>
      <c r="G375" s="26" t="n"/>
      <c r="H375" s="29" t="n"/>
      <c r="I375" s="30" t="n"/>
      <c r="J375" s="30" t="n"/>
      <c r="K375" s="30" t="n"/>
      <c r="L375" s="30" t="n"/>
      <c r="M375" s="31" t="n"/>
      <c r="N375" s="29" t="n"/>
      <c r="O375" s="31" t="n"/>
    </row>
    <row r="376" ht="15" customHeight="1" s="16">
      <c r="A376" s="26" t="n">
        <v>375</v>
      </c>
      <c r="B376" s="26" t="n">
        <v>43</v>
      </c>
      <c r="C376" s="26" t="n">
        <v>3</v>
      </c>
      <c r="D376" s="27" t="inlineStr">
        <is>
          <t>治生之正道也</t>
        </is>
      </c>
      <c r="E376" s="32" t="inlineStr">
        <is>
          <t>而富者必用奇勝</t>
        </is>
      </c>
      <c r="F376" s="27" t="inlineStr">
        <is>
          <t>田農</t>
        </is>
      </c>
      <c r="G376" s="26" t="inlineStr">
        <is>
          <t>●</t>
        </is>
      </c>
      <c r="H376" s="29" t="n"/>
      <c r="I376" s="30" t="n"/>
      <c r="J376" s="30" t="n"/>
      <c r="K376" s="30" t="n"/>
      <c r="L376" s="30" t="n"/>
      <c r="M376" s="31" t="n"/>
      <c r="N376" s="29" t="n"/>
      <c r="O376" s="31" t="n"/>
    </row>
    <row r="377" ht="15" customHeight="1" s="16">
      <c r="A377" s="26" t="n">
        <v>376</v>
      </c>
      <c r="B377" s="26" t="n">
        <v>43</v>
      </c>
      <c r="C377" s="26" t="n">
        <v>4</v>
      </c>
      <c r="D377" s="27" t="inlineStr">
        <is>
          <t>而富者必用奇勝</t>
        </is>
      </c>
      <c r="E377" s="28" t="inlineStr">
        <is>
          <t>田農</t>
        </is>
      </c>
      <c r="F377" s="27" t="inlineStr">
        <is>
          <t>掘業</t>
        </is>
      </c>
      <c r="G377" s="26" t="n"/>
      <c r="H377" s="29" t="n"/>
      <c r="I377" s="30" t="n"/>
      <c r="J377" s="30" t="n"/>
      <c r="K377" s="30" t="n"/>
      <c r="L377" s="30" t="n"/>
      <c r="M377" s="31" t="n"/>
      <c r="N377" s="29" t="n"/>
      <c r="O377" s="31" t="n"/>
    </row>
    <row r="378" ht="15" customHeight="1" s="16">
      <c r="A378" s="26" t="n">
        <v>377</v>
      </c>
      <c r="B378" s="26" t="n">
        <v>43</v>
      </c>
      <c r="C378" s="26" t="n">
        <v>11</v>
      </c>
      <c r="D378" s="27" t="inlineStr">
        <is>
          <t>博戲</t>
        </is>
      </c>
      <c r="E378" s="28" t="inlineStr">
        <is>
          <t>惡業也</t>
        </is>
      </c>
      <c r="F378" s="27" t="inlineStr">
        <is>
          <t>而桓發用富</t>
        </is>
      </c>
      <c r="G378" s="26" t="n"/>
      <c r="H378" s="29" t="n"/>
      <c r="I378" s="30" t="n"/>
      <c r="J378" s="30" t="n"/>
      <c r="K378" s="30" t="n"/>
      <c r="L378" s="30" t="n"/>
      <c r="M378" s="31" t="n"/>
      <c r="N378" s="29" t="n"/>
      <c r="O378" s="31" t="n"/>
    </row>
    <row r="379" ht="15" customHeight="1" s="16">
      <c r="A379" s="26" t="n">
        <v>378</v>
      </c>
      <c r="B379" s="26" t="n">
        <v>43</v>
      </c>
      <c r="C379" s="26" t="n">
        <v>12</v>
      </c>
      <c r="D379" s="27" t="inlineStr">
        <is>
          <t>惡業也</t>
        </is>
      </c>
      <c r="E379" s="32" t="inlineStr">
        <is>
          <t>而桓發用富</t>
        </is>
      </c>
      <c r="F379" s="27" t="inlineStr">
        <is>
          <t>行賈</t>
        </is>
      </c>
      <c r="G379" s="26" t="inlineStr">
        <is>
          <t>●</t>
        </is>
      </c>
      <c r="H379" s="29" t="n"/>
      <c r="I379" s="30" t="n"/>
      <c r="J379" s="30" t="n"/>
      <c r="K379" s="30" t="n"/>
      <c r="L379" s="30" t="n"/>
      <c r="M379" s="31" t="n"/>
      <c r="N379" s="29" t="n"/>
      <c r="O379" s="31" t="n"/>
    </row>
    <row r="380" ht="15" customHeight="1" s="16">
      <c r="A380" s="26" t="n">
        <v>379</v>
      </c>
      <c r="B380" s="26" t="n">
        <v>43</v>
      </c>
      <c r="C380" s="26" t="n">
        <v>13</v>
      </c>
      <c r="D380" s="27" t="inlineStr">
        <is>
          <t>而桓發用富</t>
        </is>
      </c>
      <c r="E380" s="32" t="inlineStr">
        <is>
          <t>行賈</t>
        </is>
      </c>
      <c r="F380" s="27" t="inlineStr">
        <is>
          <t>丈夫賤行也</t>
        </is>
      </c>
      <c r="G380" s="26" t="inlineStr">
        <is>
          <t>●</t>
        </is>
      </c>
      <c r="H380" s="29" t="n"/>
      <c r="I380" s="30" t="n"/>
      <c r="J380" s="30" t="n"/>
      <c r="K380" s="30" t="n"/>
      <c r="L380" s="30" t="n"/>
      <c r="M380" s="31" t="n"/>
      <c r="N380" s="29" t="n"/>
      <c r="O380" s="31" t="n"/>
    </row>
    <row r="381" ht="15" customHeight="1" s="16">
      <c r="A381" s="26" t="n">
        <v>380</v>
      </c>
      <c r="B381" s="26" t="n">
        <v>43</v>
      </c>
      <c r="C381" s="26" t="n">
        <v>14</v>
      </c>
      <c r="D381" s="27" t="inlineStr">
        <is>
          <t>行賈</t>
        </is>
      </c>
      <c r="E381" s="28" t="inlineStr">
        <is>
          <t>丈夫賤行也</t>
        </is>
      </c>
      <c r="F381" s="27" t="inlineStr">
        <is>
          <t>而雍樂成以饒</t>
        </is>
      </c>
      <c r="G381" s="26" t="n"/>
      <c r="H381" s="29" t="n"/>
      <c r="I381" s="30" t="n"/>
      <c r="J381" s="30" t="n"/>
      <c r="K381" s="30" t="n"/>
      <c r="L381" s="30" t="n"/>
      <c r="M381" s="31" t="n"/>
      <c r="N381" s="29" t="n"/>
      <c r="O381" s="31" t="n"/>
    </row>
    <row r="382" ht="15" customHeight="1" s="16">
      <c r="A382" s="26" t="n">
        <v>381</v>
      </c>
      <c r="B382" s="26" t="n">
        <v>43</v>
      </c>
      <c r="C382" s="26" t="n">
        <v>17</v>
      </c>
      <c r="D382" s="27" t="inlineStr">
        <is>
          <t>販脂</t>
        </is>
      </c>
      <c r="E382" s="28" t="inlineStr">
        <is>
          <t>辱處也</t>
        </is>
      </c>
      <c r="F382" s="27" t="inlineStr">
        <is>
          <t>而雍伯千金</t>
        </is>
      </c>
      <c r="G382" s="26" t="n"/>
      <c r="H382" s="29" t="n"/>
      <c r="I382" s="30" t="n"/>
      <c r="J382" s="30" t="n"/>
      <c r="K382" s="30" t="n"/>
      <c r="L382" s="30" t="n"/>
      <c r="M382" s="31" t="n"/>
      <c r="N382" s="29" t="n"/>
      <c r="O382" s="31" t="n"/>
    </row>
    <row r="383" ht="15" customHeight="1" s="16">
      <c r="A383" s="26" t="n">
        <v>382</v>
      </c>
      <c r="B383" s="26" t="n">
        <v>43</v>
      </c>
      <c r="C383" s="26" t="n">
        <v>18</v>
      </c>
      <c r="D383" s="27" t="inlineStr">
        <is>
          <t>辱處也</t>
        </is>
      </c>
      <c r="E383" s="32" t="inlineStr">
        <is>
          <t>而雍伯千金</t>
        </is>
      </c>
      <c r="F383" s="27" t="inlineStr">
        <is>
          <t>賣漿</t>
        </is>
      </c>
      <c r="G383" s="26" t="inlineStr">
        <is>
          <t>●</t>
        </is>
      </c>
      <c r="H383" s="29" t="n"/>
      <c r="I383" s="30" t="n"/>
      <c r="J383" s="30" t="n"/>
      <c r="K383" s="30" t="n"/>
      <c r="L383" s="30" t="n"/>
      <c r="M383" s="31" t="n"/>
      <c r="N383" s="29" t="n"/>
      <c r="O383" s="31" t="n"/>
    </row>
    <row r="384" ht="15" customHeight="1" s="16">
      <c r="A384" s="26" t="n">
        <v>383</v>
      </c>
      <c r="B384" s="26" t="n">
        <v>43</v>
      </c>
      <c r="C384" s="26" t="n">
        <v>19</v>
      </c>
      <c r="D384" s="27" t="inlineStr">
        <is>
          <t>而雍伯千金</t>
        </is>
      </c>
      <c r="E384" s="32" t="inlineStr">
        <is>
          <t>賣漿</t>
        </is>
      </c>
      <c r="F384" s="27" t="inlineStr">
        <is>
          <t>小業也</t>
        </is>
      </c>
      <c r="G384" s="26" t="inlineStr">
        <is>
          <t>●</t>
        </is>
      </c>
      <c r="H384" s="29" t="n"/>
      <c r="I384" s="30" t="n"/>
      <c r="J384" s="30" t="n"/>
      <c r="K384" s="30" t="n"/>
      <c r="L384" s="30" t="n"/>
      <c r="M384" s="31" t="n"/>
      <c r="N384" s="29" t="n"/>
      <c r="O384" s="31" t="n"/>
    </row>
    <row r="385" ht="15" customHeight="1" s="16">
      <c r="A385" s="26" t="n">
        <v>384</v>
      </c>
      <c r="B385" s="26" t="n">
        <v>43</v>
      </c>
      <c r="C385" s="26" t="n">
        <v>20</v>
      </c>
      <c r="D385" s="27" t="inlineStr">
        <is>
          <t>賣漿</t>
        </is>
      </c>
      <c r="E385" s="28" t="inlineStr">
        <is>
          <t>小業也</t>
        </is>
      </c>
      <c r="F385" s="27" t="inlineStr">
        <is>
          <t>而張氏千萬</t>
        </is>
      </c>
      <c r="G385" s="26" t="n"/>
      <c r="H385" s="29" t="n"/>
      <c r="I385" s="30" t="n"/>
      <c r="J385" s="30" t="n"/>
      <c r="K385" s="30" t="n"/>
      <c r="L385" s="30" t="n"/>
      <c r="M385" s="31" t="n"/>
      <c r="N385" s="29" t="n"/>
      <c r="O385" s="31" t="n"/>
    </row>
    <row r="386" ht="15" customHeight="1" s="16">
      <c r="A386" s="26" t="n">
        <v>385</v>
      </c>
      <c r="B386" s="26" t="n">
        <v>43</v>
      </c>
      <c r="C386" s="26" t="n">
        <v>33</v>
      </c>
      <c r="D386" s="27" t="inlineStr">
        <is>
          <t>此皆誠壹之所致</t>
        </is>
      </c>
      <c r="E386" s="28" t="inlineStr">
        <is>
          <t>由是觀之</t>
        </is>
      </c>
      <c r="F386" s="27" t="inlineStr">
        <is>
          <t>富無經業</t>
        </is>
      </c>
      <c r="G386" s="26" t="n"/>
      <c r="H386" s="29" t="n"/>
      <c r="I386" s="30" t="n"/>
      <c r="J386" s="30" t="n"/>
      <c r="K386" s="30" t="n"/>
      <c r="L386" s="30" t="n"/>
      <c r="M386" s="31" t="n"/>
      <c r="N386" s="29" t="n"/>
      <c r="O386" s="31" t="n"/>
    </row>
    <row r="387" ht="15" customHeight="1" s="16">
      <c r="A387" s="26" t="n">
        <v>386</v>
      </c>
      <c r="B387" s="26" t="n">
        <v>43</v>
      </c>
      <c r="C387" s="26" t="n">
        <v>34</v>
      </c>
      <c r="D387" s="27" t="inlineStr">
        <is>
          <t>由是觀之</t>
        </is>
      </c>
      <c r="E387" s="32" t="inlineStr">
        <is>
          <t>富無經業</t>
        </is>
      </c>
      <c r="F387" s="27" t="inlineStr">
        <is>
          <t>則貨無常主</t>
        </is>
      </c>
      <c r="G387" s="26" t="inlineStr">
        <is>
          <t>●</t>
        </is>
      </c>
      <c r="H387" s="29" t="n"/>
      <c r="I387" s="30" t="n"/>
      <c r="J387" s="30" t="n"/>
      <c r="K387" s="30" t="n"/>
      <c r="L387" s="30" t="n"/>
      <c r="M387" s="31" t="n"/>
      <c r="N387" s="29" t="n"/>
      <c r="O387" s="31" t="n"/>
    </row>
    <row r="388" ht="15" customHeight="1" s="16">
      <c r="A388" s="26" t="n">
        <v>387</v>
      </c>
      <c r="B388" s="26" t="n">
        <v>43</v>
      </c>
      <c r="C388" s="26" t="n">
        <v>35</v>
      </c>
      <c r="D388" s="27" t="inlineStr">
        <is>
          <t>富無經業</t>
        </is>
      </c>
      <c r="E388" s="32" t="inlineStr">
        <is>
          <t>則貨無常主</t>
        </is>
      </c>
      <c r="F388" s="27" t="inlineStr">
        <is>
          <t>能者輻湊</t>
        </is>
      </c>
      <c r="G388" s="26" t="inlineStr">
        <is>
          <t>●</t>
        </is>
      </c>
      <c r="H388" s="29" t="n"/>
      <c r="I388" s="30" t="n"/>
      <c r="J388" s="30" t="n"/>
      <c r="K388" s="30" t="n"/>
      <c r="L388" s="30" t="n"/>
      <c r="M388" s="31" t="n"/>
      <c r="N388" s="29" t="n"/>
      <c r="O388" s="31" t="n"/>
    </row>
    <row r="389" ht="15" customHeight="1" s="16">
      <c r="A389" s="26" t="n">
        <v>388</v>
      </c>
      <c r="B389" s="26" t="n">
        <v>43</v>
      </c>
      <c r="C389" s="26" t="n">
        <v>36</v>
      </c>
      <c r="D389" s="27" t="inlineStr">
        <is>
          <t>則貨無常主</t>
        </is>
      </c>
      <c r="E389" s="28" t="inlineStr">
        <is>
          <t>能者輻湊</t>
        </is>
      </c>
      <c r="F389" s="27" t="inlineStr">
        <is>
          <t>不肖者瓦解</t>
        </is>
      </c>
      <c r="G389" s="26" t="n"/>
      <c r="H389" s="29" t="n"/>
      <c r="I389" s="30" t="n"/>
      <c r="J389" s="30" t="n"/>
      <c r="K389" s="30" t="n"/>
      <c r="L389" s="30" t="n"/>
      <c r="M389" s="31" t="n"/>
      <c r="N389" s="29" t="n"/>
      <c r="O389" s="31" t="n"/>
    </row>
    <row r="390" ht="15" customHeight="1" s="16">
      <c r="A390" s="26" t="n">
        <v>389</v>
      </c>
      <c r="B390" s="26" t="n">
        <v>43</v>
      </c>
      <c r="C390" s="26" t="n">
        <v>37</v>
      </c>
      <c r="D390" s="27" t="inlineStr">
        <is>
          <t>能者輻湊</t>
        </is>
      </c>
      <c r="E390" s="28" t="inlineStr">
        <is>
          <t>不肖者瓦解</t>
        </is>
      </c>
      <c r="F390" s="27" t="inlineStr">
        <is>
          <t>千金之家比一都之君</t>
        </is>
      </c>
      <c r="G390" s="26" t="n"/>
      <c r="H390" s="29" t="n"/>
      <c r="I390" s="30" t="n"/>
      <c r="J390" s="30" t="n"/>
      <c r="K390" s="30" t="n"/>
      <c r="L390" s="30" t="n"/>
      <c r="M390" s="31" t="n"/>
      <c r="N390" s="29" t="n"/>
      <c r="O390" s="31" t="n"/>
    </row>
    <row r="391" ht="15" customHeight="1" s="16">
      <c r="A391" s="26" t="n">
        <v>390</v>
      </c>
      <c r="B391" s="26" t="n">
        <v>43</v>
      </c>
      <c r="C391" s="26" t="n">
        <v>38</v>
      </c>
      <c r="D391" s="27" t="inlineStr">
        <is>
          <t>不肖者瓦解</t>
        </is>
      </c>
      <c r="E391" s="32" t="inlineStr">
        <is>
          <t>千金之家比一都之君</t>
        </is>
      </c>
      <c r="F391" s="27" t="inlineStr">
        <is>
          <t>巨萬者乃與王者同樂</t>
        </is>
      </c>
      <c r="G391" s="26" t="inlineStr">
        <is>
          <t>●</t>
        </is>
      </c>
      <c r="H391" s="29" t="n"/>
      <c r="I391" s="30" t="n"/>
      <c r="J391" s="30" t="n"/>
      <c r="K391" s="30" t="n"/>
      <c r="L391" s="30" t="n"/>
      <c r="M391" s="31" t="n"/>
      <c r="N391" s="29" t="n"/>
      <c r="O391" s="31" t="n"/>
    </row>
    <row r="392" ht="15" customHeight="1" s="16">
      <c r="A392" s="26" t="n">
        <v>391</v>
      </c>
      <c r="B392" s="26" t="n">
        <v>43</v>
      </c>
      <c r="C392" s="26" t="n">
        <v>39</v>
      </c>
      <c r="D392" s="27" t="inlineStr">
        <is>
          <t>千金之家比一都之君</t>
        </is>
      </c>
      <c r="E392" s="28" t="inlineStr">
        <is>
          <t>巨萬者乃與王者同樂</t>
        </is>
      </c>
      <c r="F392" s="27" t="inlineStr">
        <is>
          <t>豈所謂</t>
        </is>
      </c>
      <c r="G392" s="26" t="n"/>
      <c r="H392" s="29" t="n"/>
      <c r="I392" s="30" t="n"/>
      <c r="J392" s="30" t="n"/>
      <c r="K392" s="30" t="n"/>
      <c r="L392" s="30" t="n"/>
      <c r="M392" s="31" t="n"/>
      <c r="N392" s="29" t="n"/>
      <c r="O392" s="31" t="n"/>
    </row>
    <row r="393" ht="15" customHeight="1" s="16">
      <c r="A393" s="26" t="n">
        <v>392</v>
      </c>
      <c r="B393" s="26" t="n">
        <v>43</v>
      </c>
      <c r="C393" s="26" t="n">
        <v>40</v>
      </c>
      <c r="D393" s="27" t="inlineStr">
        <is>
          <t>巨萬者乃與王者同樂</t>
        </is>
      </c>
      <c r="E393" s="28" t="inlineStr">
        <is>
          <t>豈所謂</t>
        </is>
      </c>
      <c r="F393" s="27" t="inlineStr">
        <is>
          <t>素封</t>
        </is>
      </c>
      <c r="G393" s="26" t="n"/>
      <c r="H393" s="29" t="n"/>
      <c r="I393" s="30" t="n"/>
      <c r="J393" s="30" t="n"/>
      <c r="K393" s="30" t="n"/>
      <c r="L393" s="30" t="n"/>
      <c r="M393" s="31" t="n"/>
      <c r="N393" s="29" t="n"/>
      <c r="O393" s="31" t="n"/>
    </row>
    <row r="394" ht="15" customHeight="1" s="16">
      <c r="A394" s="26" t="n">
        <v>393</v>
      </c>
      <c r="B394" s="26" t="n">
        <v>43</v>
      </c>
      <c r="C394" s="26" t="n">
        <v>41</v>
      </c>
      <c r="D394" s="27" t="inlineStr">
        <is>
          <t>豈所謂</t>
        </is>
      </c>
      <c r="E394" s="32" t="inlineStr">
        <is>
          <t>素封</t>
        </is>
      </c>
      <c r="F394" s="27" t="inlineStr">
        <is>
          <t>者邪非也</t>
        </is>
      </c>
      <c r="G394" s="26" t="inlineStr">
        <is>
          <t>●</t>
        </is>
      </c>
      <c r="H394" s="29" t="n"/>
      <c r="I394" s="30" t="n"/>
      <c r="J394" s="30" t="n"/>
      <c r="K394" s="30" t="n"/>
      <c r="L394" s="30" t="n"/>
      <c r="M394" s="31" t="n"/>
      <c r="N394" s="29" t="n"/>
      <c r="O394" s="31" t="n"/>
    </row>
    <row r="395" ht="15" customHeight="1" s="16">
      <c r="A395" s="26" t="n">
        <v>394</v>
      </c>
      <c r="B395" s="26" t="n">
        <v>43</v>
      </c>
      <c r="C395" s="26" t="n">
        <v>42</v>
      </c>
      <c r="D395" s="27" t="inlineStr">
        <is>
          <t>素封</t>
        </is>
      </c>
      <c r="E395" s="28" t="inlineStr">
        <is>
          <t>者邪非也</t>
        </is>
      </c>
      <c r="F395" s="27" t="n"/>
      <c r="G395" s="26" t="n"/>
      <c r="H395" s="29" t="n"/>
      <c r="I395" s="30" t="n"/>
      <c r="J395" s="30" t="n"/>
      <c r="K395" s="30" t="n"/>
      <c r="L395" s="30" t="n"/>
      <c r="M395" s="31" t="n"/>
      <c r="N395" s="29" t="n"/>
      <c r="O395" s="31" t="n"/>
    </row>
  </sheetData>
  <dataValidations count="4">
    <dataValidation sqref="H2:H395" showDropDown="0" showInputMessage="0" showErrorMessage="0" allowBlank="1" type="list" errorStyle="stop" operator="between">
      <formula1>"Y,N"</formula1>
      <formula2>0</formula2>
    </dataValidation>
    <dataValidation sqref="I2:I395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395" showDropDown="0" showInputMessage="0" showErrorMessage="0" allowBlank="1" type="list" errorStyle="stop" operator="between">
      <formula1>"높음,보통,낮음"</formula1>
      <formula2>0</formula2>
    </dataValidation>
    <dataValidation sqref="J2:J395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7</v>
      </c>
      <c r="C2" s="26" t="n">
        <v>10</v>
      </c>
      <c r="D2" s="27" t="inlineStr">
        <is>
          <t>徐往舘所</t>
        </is>
      </c>
      <c r="E2" s="28" t="inlineStr">
        <is>
          <t>諸裨已著軍服戰笠矣</t>
        </is>
      </c>
      <c r="F2" s="27" t="inlineStr">
        <is>
          <t>頂起銀花雲月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7</v>
      </c>
      <c r="C3" s="26" t="n">
        <v>11</v>
      </c>
      <c r="D3" s="27" t="inlineStr">
        <is>
          <t>諸裨已著軍服戰笠矣</t>
        </is>
      </c>
      <c r="E3" s="32" t="inlineStr">
        <is>
          <t>頂起銀花雲月</t>
        </is>
      </c>
      <c r="F3" s="27" t="inlineStr">
        <is>
          <t>懸孔雀羽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7</v>
      </c>
      <c r="C4" s="26" t="n">
        <v>12</v>
      </c>
      <c r="D4" s="27" t="inlineStr">
        <is>
          <t>頂起銀花雲月</t>
        </is>
      </c>
      <c r="E4" s="28" t="inlineStr">
        <is>
          <t>懸孔雀羽</t>
        </is>
      </c>
      <c r="F4" s="27" t="inlineStr">
        <is>
          <t>腰繫藍方紗紬纏帶</t>
        </is>
      </c>
      <c r="G4" s="26" t="n"/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8</v>
      </c>
      <c r="C5" s="26" t="n">
        <v>38</v>
      </c>
      <c r="D5" s="27" t="inlineStr">
        <is>
          <t>者</t>
        </is>
      </c>
      <c r="E5" s="28" t="inlineStr">
        <is>
          <t>自檢其囊中得廿六文</t>
        </is>
      </c>
      <c r="F5" s="27" t="inlineStr">
        <is>
          <t>而東錢有禁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15" customHeight="1" s="16">
      <c r="A6" s="26" t="n">
        <v>5</v>
      </c>
      <c r="B6" s="26" t="n">
        <v>8</v>
      </c>
      <c r="C6" s="26" t="n">
        <v>39</v>
      </c>
      <c r="D6" s="27" t="inlineStr">
        <is>
          <t>自檢其囊中得廿六文</t>
        </is>
      </c>
      <c r="E6" s="32" t="inlineStr">
        <is>
          <t>而東錢有禁</t>
        </is>
      </c>
      <c r="F6" s="27" t="inlineStr">
        <is>
          <t>不可出境</t>
        </is>
      </c>
      <c r="G6" s="26" t="inlineStr">
        <is>
          <t>●</t>
        </is>
      </c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8</v>
      </c>
      <c r="C7" s="26" t="n">
        <v>40</v>
      </c>
      <c r="D7" s="27" t="inlineStr">
        <is>
          <t>而東錢有禁</t>
        </is>
      </c>
      <c r="E7" s="28" t="inlineStr">
        <is>
          <t>不可出境</t>
        </is>
      </c>
      <c r="F7" s="27" t="inlineStr">
        <is>
          <t>棄之道則可惜</t>
        </is>
      </c>
      <c r="G7" s="26" t="n"/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8</v>
      </c>
      <c r="C8" s="26" t="n">
        <v>56</v>
      </c>
      <c r="D8" s="27" t="inlineStr">
        <is>
          <t>滿酌一盞</t>
        </is>
      </c>
      <c r="E8" s="28" t="inlineStr">
        <is>
          <t>酹第一柱</t>
        </is>
      </c>
      <c r="F8" s="27" t="inlineStr">
        <is>
          <t>自祈利涉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8</v>
      </c>
      <c r="C9" s="26" t="n">
        <v>57</v>
      </c>
      <c r="D9" s="27" t="inlineStr">
        <is>
          <t>酹第一柱</t>
        </is>
      </c>
      <c r="E9" s="32" t="inlineStr">
        <is>
          <t>自祈利涉</t>
        </is>
      </c>
      <c r="F9" s="27" t="inlineStr">
        <is>
          <t>又斟一杯</t>
        </is>
      </c>
      <c r="G9" s="26" t="inlineStr">
        <is>
          <t>●</t>
        </is>
      </c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8</v>
      </c>
      <c r="C10" s="26" t="n">
        <v>58</v>
      </c>
      <c r="D10" s="27" t="inlineStr">
        <is>
          <t>自祈利涉</t>
        </is>
      </c>
      <c r="E10" s="28" t="inlineStr">
        <is>
          <t>又斟一杯</t>
        </is>
      </c>
      <c r="F10" s="27" t="inlineStr">
        <is>
          <t>酹第二柱</t>
        </is>
      </c>
      <c r="G10" s="26" t="n"/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9</v>
      </c>
      <c r="C11" s="26" t="n">
        <v>9</v>
      </c>
      <c r="D11" s="27" t="inlineStr">
        <is>
          <t>紅粉樓中別莫愁</t>
        </is>
      </c>
      <c r="E11" s="28" t="inlineStr">
        <is>
          <t>秋風數騎出邊頭</t>
        </is>
      </c>
      <c r="F11" s="27" t="inlineStr">
        <is>
          <t>畵船簫鼓無消息</t>
        </is>
      </c>
      <c r="G11" s="26" t="n"/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15" customHeight="1" s="16">
      <c r="A12" s="26" t="n">
        <v>11</v>
      </c>
      <c r="B12" s="26" t="n">
        <v>9</v>
      </c>
      <c r="C12" s="26" t="n">
        <v>10</v>
      </c>
      <c r="D12" s="27" t="inlineStr">
        <is>
          <t>秋風數騎出邊頭</t>
        </is>
      </c>
      <c r="E12" s="32" t="inlineStr">
        <is>
          <t>畵船簫鼓無消息</t>
        </is>
      </c>
      <c r="F12" s="27" t="inlineStr">
        <is>
          <t>斷膓淸南第一州</t>
        </is>
      </c>
      <c r="G12" s="26" t="inlineStr">
        <is>
          <t>●</t>
        </is>
      </c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9</v>
      </c>
      <c r="C13" s="26" t="n">
        <v>11</v>
      </c>
      <c r="D13" s="27" t="inlineStr">
        <is>
          <t>畵船簫鼓無消息</t>
        </is>
      </c>
      <c r="E13" s="28" t="inlineStr">
        <is>
          <t>斷膓淸南第一州</t>
        </is>
      </c>
      <c r="F13" s="27" t="inlineStr">
        <is>
          <t>此柳惠風入瀋陽時作也</t>
        </is>
      </c>
      <c r="G13" s="26" t="n"/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10</v>
      </c>
      <c r="C14" s="26" t="n">
        <v>22</v>
      </c>
      <c r="D14" s="27" t="inlineStr">
        <is>
          <t>舊件新浣</t>
        </is>
      </c>
      <c r="E14" s="28" t="inlineStr">
        <is>
          <t>鬅騰郭索</t>
        </is>
      </c>
      <c r="F14" s="27" t="inlineStr">
        <is>
          <t>可謂太崇儉矣</t>
        </is>
      </c>
      <c r="G14" s="26" t="n"/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10</v>
      </c>
      <c r="C15" s="26" t="n">
        <v>23</v>
      </c>
      <c r="D15" s="27" t="inlineStr">
        <is>
          <t>鬅騰郭索</t>
        </is>
      </c>
      <c r="E15" s="32" t="inlineStr">
        <is>
          <t>可謂太崇儉矣</t>
        </is>
      </c>
      <c r="F15" s="27" t="inlineStr">
        <is>
          <t>稍俟副使之出城</t>
        </is>
      </c>
      <c r="G15" s="26" t="inlineStr">
        <is>
          <t>●</t>
        </is>
      </c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15" customHeight="1" s="16">
      <c r="A16" s="26" t="n">
        <v>15</v>
      </c>
      <c r="B16" s="26" t="n">
        <v>10</v>
      </c>
      <c r="C16" s="26" t="n">
        <v>24</v>
      </c>
      <c r="D16" s="27" t="inlineStr">
        <is>
          <t>可謂太崇儉矣</t>
        </is>
      </c>
      <c r="E16" s="28" t="inlineStr">
        <is>
          <t>稍俟副使之出城</t>
        </is>
      </c>
      <c r="F16" s="27" t="inlineStr">
        <is>
          <t>乃按轡徐行</t>
        </is>
      </c>
      <c r="G16" s="26" t="n"/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15" customHeight="1" s="16">
      <c r="A17" s="26" t="n">
        <v>16</v>
      </c>
      <c r="B17" s="26" t="n">
        <v>10</v>
      </c>
      <c r="C17" s="26" t="n">
        <v>37</v>
      </c>
      <c r="D17" s="27" t="inlineStr">
        <is>
          <t>搜其禁物</t>
        </is>
      </c>
      <c r="E17" s="28" t="inlineStr">
        <is>
          <t>大者如黃金眞珠人參貂皮</t>
        </is>
      </c>
      <c r="F17" s="27" t="inlineStr">
        <is>
          <t>及包外濫銀</t>
        </is>
      </c>
      <c r="G17" s="26" t="n"/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29.85" customHeight="1" s="16">
      <c r="A18" s="26" t="n">
        <v>17</v>
      </c>
      <c r="B18" s="26" t="n">
        <v>10</v>
      </c>
      <c r="C18" s="26" t="n">
        <v>38</v>
      </c>
      <c r="D18" s="27" t="inlineStr">
        <is>
          <t>大者如黃金眞珠人參貂皮</t>
        </is>
      </c>
      <c r="E18" s="32" t="inlineStr">
        <is>
          <t>及包外濫銀</t>
        </is>
      </c>
      <c r="F18" s="27" t="inlineStr">
        <is>
          <t>小者新舊名目</t>
        </is>
      </c>
      <c r="G18" s="26" t="inlineStr">
        <is>
          <t>●</t>
        </is>
      </c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10</v>
      </c>
      <c r="C19" s="26" t="n">
        <v>39</v>
      </c>
      <c r="D19" s="27" t="inlineStr">
        <is>
          <t>及包外濫銀</t>
        </is>
      </c>
      <c r="E19" s="28" t="inlineStr">
        <is>
          <t>小者新舊名目</t>
        </is>
      </c>
      <c r="F19" s="27" t="inlineStr">
        <is>
          <t>不下數十種</t>
        </is>
      </c>
      <c r="G19" s="26" t="n"/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15" customHeight="1" s="16">
      <c r="A20" s="26" t="n">
        <v>19</v>
      </c>
      <c r="B20" s="26" t="n">
        <v>10</v>
      </c>
      <c r="C20" s="26" t="n">
        <v>54</v>
      </c>
      <c r="D20" s="27" t="inlineStr">
        <is>
          <t>而其實</t>
        </is>
      </c>
      <c r="E20" s="28" t="inlineStr">
        <is>
          <t>文具而已</t>
        </is>
      </c>
      <c r="F20" s="27" t="inlineStr">
        <is>
          <t>灣賈之先期潛越</t>
        </is>
      </c>
      <c r="G20" s="26" t="n"/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15" customHeight="1" s="16">
      <c r="A21" s="26" t="n">
        <v>20</v>
      </c>
      <c r="B21" s="26" t="n">
        <v>10</v>
      </c>
      <c r="C21" s="26" t="n">
        <v>55</v>
      </c>
      <c r="D21" s="27" t="inlineStr">
        <is>
          <t>文具而已</t>
        </is>
      </c>
      <c r="E21" s="32" t="inlineStr">
        <is>
          <t>灣賈之先期潛越</t>
        </is>
      </c>
      <c r="F21" s="27" t="inlineStr">
        <is>
          <t>有誰禁之</t>
        </is>
      </c>
      <c r="G21" s="26" t="inlineStr">
        <is>
          <t>●</t>
        </is>
      </c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15" customHeight="1" s="16">
      <c r="A22" s="26" t="n">
        <v>21</v>
      </c>
      <c r="B22" s="26" t="n">
        <v>10</v>
      </c>
      <c r="C22" s="26" t="n">
        <v>56</v>
      </c>
      <c r="D22" s="27" t="inlineStr">
        <is>
          <t>灣賈之先期潛越</t>
        </is>
      </c>
      <c r="E22" s="28" t="inlineStr">
        <is>
          <t>有誰禁之</t>
        </is>
      </c>
      <c r="F22" s="27" t="inlineStr">
        <is>
          <t>禁物之現捉於初旗者</t>
        </is>
      </c>
      <c r="G22" s="26" t="n"/>
      <c r="H22" s="29" t="n"/>
      <c r="I22" s="30" t="n"/>
      <c r="J22" s="30" t="n"/>
      <c r="K22" s="30" t="n"/>
      <c r="L22" s="30" t="n"/>
      <c r="M22" s="31" t="n"/>
      <c r="N22" s="29" t="n"/>
      <c r="O22" s="31" t="n"/>
    </row>
    <row r="23" ht="15" customHeight="1" s="16">
      <c r="A23" s="26" t="n">
        <v>22</v>
      </c>
      <c r="B23" s="26" t="n">
        <v>10</v>
      </c>
      <c r="C23" s="26" t="n">
        <v>66</v>
      </c>
      <c r="D23" s="27" t="inlineStr">
        <is>
          <t>今行原包猶未及半</t>
        </is>
      </c>
      <c r="E23" s="28" t="inlineStr">
        <is>
          <t>多空包者</t>
        </is>
      </c>
      <c r="F23" s="27" t="inlineStr">
        <is>
          <t>其濫銀奚論</t>
        </is>
      </c>
      <c r="G23" s="26" t="n"/>
      <c r="H23" s="29" t="n"/>
      <c r="I23" s="30" t="n"/>
      <c r="J23" s="30" t="n"/>
      <c r="K23" s="30" t="n"/>
      <c r="L23" s="30" t="n"/>
      <c r="M23" s="31" t="n"/>
      <c r="N23" s="29" t="n"/>
      <c r="O23" s="31" t="n"/>
    </row>
    <row r="24" ht="15" customHeight="1" s="16">
      <c r="A24" s="26" t="n">
        <v>23</v>
      </c>
      <c r="B24" s="26" t="n">
        <v>10</v>
      </c>
      <c r="C24" s="26" t="n">
        <v>67</v>
      </c>
      <c r="D24" s="27" t="inlineStr">
        <is>
          <t>多空包者</t>
        </is>
      </c>
      <c r="E24" s="32" t="inlineStr">
        <is>
          <t>其濫銀奚論</t>
        </is>
      </c>
      <c r="F24" s="27" t="n"/>
      <c r="G24" s="26" t="inlineStr">
        <is>
          <t>●</t>
        </is>
      </c>
      <c r="H24" s="29" t="n"/>
      <c r="I24" s="30" t="n"/>
      <c r="J24" s="30" t="n"/>
      <c r="K24" s="30" t="n"/>
      <c r="L24" s="30" t="n"/>
      <c r="M24" s="31" t="n"/>
      <c r="N24" s="29" t="n"/>
      <c r="O24" s="31" t="n"/>
    </row>
    <row r="25" ht="15" customHeight="1" s="16">
      <c r="A25" s="26" t="n">
        <v>24</v>
      </c>
      <c r="B25" s="26" t="n">
        <v>11</v>
      </c>
      <c r="C25" s="26" t="n">
        <v>1</v>
      </c>
      <c r="D25" s="27" t="n"/>
      <c r="E25" s="28" t="inlineStr">
        <is>
          <t>茶啖草草</t>
        </is>
      </c>
      <c r="F25" s="27" t="inlineStr">
        <is>
          <t>乍進旋退</t>
        </is>
      </c>
      <c r="G25" s="26" t="n"/>
      <c r="H25" s="29" t="n"/>
      <c r="I25" s="30" t="n"/>
      <c r="J25" s="30" t="n"/>
      <c r="K25" s="30" t="n"/>
      <c r="L25" s="30" t="n"/>
      <c r="M25" s="31" t="n"/>
      <c r="N25" s="29" t="n"/>
      <c r="O25" s="31" t="n"/>
    </row>
    <row r="26" ht="15" customHeight="1" s="16">
      <c r="A26" s="26" t="n">
        <v>25</v>
      </c>
      <c r="B26" s="26" t="n">
        <v>11</v>
      </c>
      <c r="C26" s="26" t="n">
        <v>64</v>
      </c>
      <c r="D26" s="27" t="inlineStr">
        <is>
          <t>惟</t>
        </is>
      </c>
      <c r="E26" s="28" t="inlineStr">
        <is>
          <t>知道者能之</t>
        </is>
      </c>
      <c r="F26" s="27" t="inlineStr">
        <is>
          <t>鄭之子產</t>
        </is>
      </c>
      <c r="G26" s="26" t="n"/>
      <c r="H26" s="29" t="n"/>
      <c r="I26" s="30" t="n"/>
      <c r="J26" s="30" t="n"/>
      <c r="K26" s="30" t="n"/>
      <c r="L26" s="30" t="n"/>
      <c r="M26" s="31" t="n"/>
      <c r="N26" s="29" t="n"/>
      <c r="O26" s="31" t="n"/>
    </row>
    <row r="27" ht="15" customHeight="1" s="16">
      <c r="A27" s="26" t="n">
        <v>26</v>
      </c>
      <c r="B27" s="26" t="n">
        <v>11</v>
      </c>
      <c r="C27" s="26" t="n">
        <v>65</v>
      </c>
      <c r="D27" s="27" t="inlineStr">
        <is>
          <t>知道者能之</t>
        </is>
      </c>
      <c r="E27" s="32" t="inlineStr">
        <is>
          <t>鄭之子產</t>
        </is>
      </c>
      <c r="F27" s="27" t="n"/>
      <c r="G27" s="26" t="inlineStr">
        <is>
          <t>●</t>
        </is>
      </c>
      <c r="H27" s="29" t="n"/>
      <c r="I27" s="30" t="n"/>
      <c r="J27" s="30" t="n"/>
      <c r="K27" s="30" t="n"/>
      <c r="L27" s="30" t="n"/>
      <c r="M27" s="31" t="n"/>
      <c r="N27" s="29" t="n"/>
      <c r="O27" s="31" t="n"/>
    </row>
    <row r="28" ht="15" customHeight="1" s="16">
      <c r="A28" s="26" t="n">
        <v>27</v>
      </c>
      <c r="B28" s="26" t="n">
        <v>12</v>
      </c>
      <c r="C28" s="26" t="n">
        <v>1</v>
      </c>
      <c r="D28" s="27" t="n"/>
      <c r="E28" s="28" t="inlineStr">
        <is>
          <t>船已泊岸</t>
        </is>
      </c>
      <c r="F28" s="27" t="inlineStr">
        <is>
          <t>蘆荻如織</t>
        </is>
      </c>
      <c r="G28" s="26" t="n"/>
      <c r="H28" s="29" t="n"/>
      <c r="I28" s="30" t="n"/>
      <c r="J28" s="30" t="n"/>
      <c r="K28" s="30" t="n"/>
      <c r="L28" s="30" t="n"/>
      <c r="M28" s="31" t="n"/>
      <c r="N28" s="29" t="n"/>
      <c r="O28" s="31" t="n"/>
    </row>
    <row r="29" ht="15" customHeight="1" s="16">
      <c r="A29" s="26" t="n">
        <v>28</v>
      </c>
      <c r="B29" s="26" t="n">
        <v>12</v>
      </c>
      <c r="C29" s="26" t="n">
        <v>36</v>
      </c>
      <c r="D29" s="27" t="inlineStr">
        <is>
          <t>有一人起立應聲曰</t>
        </is>
      </c>
      <c r="E29" s="28" t="inlineStr">
        <is>
          <t>爾們的不時節</t>
        </is>
      </c>
      <c r="F29" s="27" t="inlineStr">
        <is>
          <t>緣何朝貢入大國</t>
        </is>
      </c>
      <c r="G29" s="26" t="n"/>
      <c r="H29" s="29" t="n"/>
      <c r="I29" s="30" t="n"/>
      <c r="J29" s="30" t="n"/>
      <c r="K29" s="30" t="n"/>
      <c r="L29" s="30" t="n"/>
      <c r="M29" s="31" t="n"/>
      <c r="N29" s="29" t="n"/>
      <c r="O29" s="31" t="n"/>
    </row>
    <row r="30" ht="15" customHeight="1" s="16">
      <c r="A30" s="26" t="n">
        <v>29</v>
      </c>
      <c r="B30" s="26" t="n">
        <v>12</v>
      </c>
      <c r="C30" s="26" t="n">
        <v>37</v>
      </c>
      <c r="D30" s="27" t="inlineStr">
        <is>
          <t>爾們的不時節</t>
        </is>
      </c>
      <c r="E30" s="32" t="inlineStr">
        <is>
          <t>緣何朝貢入大國</t>
        </is>
      </c>
      <c r="F30" s="27" t="inlineStr">
        <is>
          <t>暑天裏長途</t>
        </is>
      </c>
      <c r="G30" s="26" t="inlineStr">
        <is>
          <t>●</t>
        </is>
      </c>
      <c r="H30" s="29" t="n"/>
      <c r="I30" s="30" t="n"/>
      <c r="J30" s="30" t="n"/>
      <c r="K30" s="30" t="n"/>
      <c r="L30" s="30" t="n"/>
      <c r="M30" s="31" t="n"/>
      <c r="N30" s="29" t="n"/>
      <c r="O30" s="31" t="n"/>
    </row>
    <row r="31" ht="15" customHeight="1" s="16">
      <c r="A31" s="26" t="n">
        <v>30</v>
      </c>
      <c r="B31" s="26" t="n">
        <v>12</v>
      </c>
      <c r="C31" s="26" t="n">
        <v>38</v>
      </c>
      <c r="D31" s="27" t="inlineStr">
        <is>
          <t>緣何朝貢入大國</t>
        </is>
      </c>
      <c r="E31" s="28" t="inlineStr">
        <is>
          <t>暑天裏長途</t>
        </is>
      </c>
      <c r="F31" s="27" t="inlineStr">
        <is>
          <t>辛苦時大</t>
        </is>
      </c>
      <c r="G31" s="26" t="n"/>
      <c r="H31" s="29" t="n"/>
      <c r="I31" s="30" t="n"/>
      <c r="J31" s="30" t="n"/>
      <c r="K31" s="30" t="n"/>
      <c r="L31" s="30" t="n"/>
      <c r="M31" s="31" t="n"/>
      <c r="N31" s="29" t="n"/>
      <c r="O31" s="31" t="n"/>
    </row>
    <row r="32" ht="15" customHeight="1" s="16">
      <c r="A32" s="26" t="n">
        <v>31</v>
      </c>
      <c r="B32" s="26" t="n">
        <v>12</v>
      </c>
      <c r="C32" s="26" t="n">
        <v>133</v>
      </c>
      <c r="D32" s="27" t="inlineStr">
        <is>
          <t>余騰身載其背</t>
        </is>
      </c>
      <c r="E32" s="28" t="inlineStr">
        <is>
          <t>其人笑嘻嘻入船</t>
        </is>
      </c>
      <c r="F32" s="27" t="inlineStr">
        <is>
          <t>出氣長息曰</t>
        </is>
      </c>
      <c r="G32" s="26" t="n"/>
      <c r="H32" s="29" t="n"/>
      <c r="I32" s="30" t="n"/>
      <c r="J32" s="30" t="n"/>
      <c r="K32" s="30" t="n"/>
      <c r="L32" s="30" t="n"/>
      <c r="M32" s="31" t="n"/>
      <c r="N32" s="29" t="n"/>
      <c r="O32" s="31" t="n"/>
    </row>
    <row r="33" ht="15" customHeight="1" s="16">
      <c r="A33" s="26" t="n">
        <v>32</v>
      </c>
      <c r="B33" s="26" t="n">
        <v>12</v>
      </c>
      <c r="C33" s="26" t="n">
        <v>134</v>
      </c>
      <c r="D33" s="27" t="inlineStr">
        <is>
          <t>其人笑嘻嘻入船</t>
        </is>
      </c>
      <c r="E33" s="32" t="inlineStr">
        <is>
          <t>出氣長息曰</t>
        </is>
      </c>
      <c r="F33" s="27" t="inlineStr">
        <is>
          <t>黑旋風媽媽這樣沉挑時</t>
        </is>
      </c>
      <c r="G33" s="26" t="inlineStr">
        <is>
          <t>●</t>
        </is>
      </c>
      <c r="H33" s="29" t="n"/>
      <c r="I33" s="30" t="n"/>
      <c r="J33" s="30" t="n"/>
      <c r="K33" s="30" t="n"/>
      <c r="L33" s="30" t="n"/>
      <c r="M33" s="31" t="n"/>
      <c r="N33" s="29" t="n"/>
      <c r="O33" s="31" t="n"/>
    </row>
    <row r="34" ht="15" customHeight="1" s="16">
      <c r="A34" s="26" t="n">
        <v>33</v>
      </c>
      <c r="B34" s="26" t="n">
        <v>12</v>
      </c>
      <c r="C34" s="26" t="n">
        <v>135</v>
      </c>
      <c r="D34" s="27" t="inlineStr">
        <is>
          <t>出氣長息曰</t>
        </is>
      </c>
      <c r="E34" s="28" t="inlineStr">
        <is>
          <t>黑旋風媽媽這樣沉挑時</t>
        </is>
      </c>
      <c r="F34" s="27" t="inlineStr">
        <is>
          <t>巴不得上了沂</t>
        </is>
      </c>
      <c r="G34" s="26" t="n"/>
      <c r="H34" s="29" t="n"/>
      <c r="I34" s="30" t="n"/>
      <c r="J34" s="30" t="n"/>
      <c r="K34" s="30" t="n"/>
      <c r="L34" s="30" t="n"/>
      <c r="M34" s="31" t="n"/>
      <c r="N34" s="29" t="n"/>
      <c r="O34" s="31" t="n"/>
    </row>
    <row r="35" ht="15" customHeight="1" s="16">
      <c r="A35" s="26" t="n">
        <v>34</v>
      </c>
      <c r="B35" s="26" t="n">
        <v>13</v>
      </c>
      <c r="C35" s="26" t="n">
        <v>46</v>
      </c>
      <c r="D35" s="27" t="inlineStr">
        <is>
          <t>或五人同帳</t>
        </is>
      </c>
      <c r="E35" s="28" t="inlineStr">
        <is>
          <t>譯卒及刷馬驅人</t>
        </is>
      </c>
      <c r="F35" s="27" t="inlineStr">
        <is>
          <t>伍伍什什</t>
        </is>
      </c>
      <c r="G35" s="26" t="n"/>
      <c r="H35" s="29" t="n"/>
      <c r="I35" s="30" t="n"/>
      <c r="J35" s="30" t="n"/>
      <c r="K35" s="30" t="n"/>
      <c r="L35" s="30" t="n"/>
      <c r="M35" s="31" t="n"/>
      <c r="N35" s="29" t="n"/>
      <c r="O35" s="31" t="n"/>
    </row>
    <row r="36" ht="15" customHeight="1" s="16">
      <c r="A36" s="26" t="n">
        <v>35</v>
      </c>
      <c r="B36" s="26" t="n">
        <v>13</v>
      </c>
      <c r="C36" s="26" t="n">
        <v>47</v>
      </c>
      <c r="D36" s="27" t="inlineStr">
        <is>
          <t>譯卒及刷馬驅人</t>
        </is>
      </c>
      <c r="E36" s="32" t="inlineStr">
        <is>
          <t>伍伍什什</t>
        </is>
      </c>
      <c r="F36" s="27" t="inlineStr">
        <is>
          <t>靠溪搆木</t>
        </is>
      </c>
      <c r="G36" s="26" t="inlineStr">
        <is>
          <t>●</t>
        </is>
      </c>
      <c r="H36" s="29" t="n"/>
      <c r="I36" s="30" t="n"/>
      <c r="J36" s="30" t="n"/>
      <c r="K36" s="30" t="n"/>
      <c r="L36" s="30" t="n"/>
      <c r="M36" s="31" t="n"/>
      <c r="N36" s="29" t="n"/>
      <c r="O36" s="31" t="n"/>
    </row>
    <row r="37" ht="15" customHeight="1" s="16">
      <c r="A37" s="26" t="n">
        <v>36</v>
      </c>
      <c r="B37" s="26" t="n">
        <v>13</v>
      </c>
      <c r="C37" s="26" t="n">
        <v>48</v>
      </c>
      <c r="D37" s="27" t="inlineStr">
        <is>
          <t>伍伍什什</t>
        </is>
      </c>
      <c r="E37" s="28" t="inlineStr">
        <is>
          <t>靠溪搆木</t>
        </is>
      </c>
      <c r="F37" s="27" t="inlineStr">
        <is>
          <t>炊烟相連</t>
        </is>
      </c>
      <c r="G37" s="26" t="n"/>
      <c r="H37" s="29" t="n"/>
      <c r="I37" s="30" t="n"/>
      <c r="J37" s="30" t="n"/>
      <c r="K37" s="30" t="n"/>
      <c r="L37" s="30" t="n"/>
      <c r="M37" s="31" t="n"/>
      <c r="N37" s="29" t="n"/>
      <c r="O37" s="31" t="n"/>
    </row>
    <row r="38" ht="15" customHeight="1" s="16">
      <c r="A38" s="26" t="n">
        <v>37</v>
      </c>
      <c r="B38" s="26" t="n">
        <v>13</v>
      </c>
      <c r="C38" s="26" t="n">
        <v>52</v>
      </c>
      <c r="D38" s="27" t="inlineStr">
        <is>
          <t>儼</t>
        </is>
      </c>
      <c r="E38" s="28" t="inlineStr">
        <is>
          <t>成村閭</t>
        </is>
      </c>
      <c r="F38" s="27" t="inlineStr">
        <is>
          <t>灣商一隊</t>
        </is>
      </c>
      <c r="G38" s="26" t="n"/>
      <c r="H38" s="29" t="n"/>
      <c r="I38" s="30" t="n"/>
      <c r="J38" s="30" t="n"/>
      <c r="K38" s="30" t="n"/>
      <c r="L38" s="30" t="n"/>
      <c r="M38" s="31" t="n"/>
      <c r="N38" s="29" t="n"/>
      <c r="O38" s="31" t="n"/>
    </row>
    <row r="39" ht="15" customHeight="1" s="16">
      <c r="A39" s="26" t="n">
        <v>38</v>
      </c>
      <c r="B39" s="26" t="n">
        <v>13</v>
      </c>
      <c r="C39" s="26" t="n">
        <v>53</v>
      </c>
      <c r="D39" s="27" t="inlineStr">
        <is>
          <t>成村閭</t>
        </is>
      </c>
      <c r="E39" s="32" t="inlineStr">
        <is>
          <t>灣商一隊</t>
        </is>
      </c>
      <c r="F39" s="27" t="inlineStr">
        <is>
          <t>自爲一屯</t>
        </is>
      </c>
      <c r="G39" s="26" t="inlineStr">
        <is>
          <t>●</t>
        </is>
      </c>
      <c r="H39" s="29" t="n"/>
      <c r="I39" s="30" t="n"/>
      <c r="J39" s="30" t="n"/>
      <c r="K39" s="30" t="n"/>
      <c r="L39" s="30" t="n"/>
      <c r="M39" s="31" t="n"/>
      <c r="N39" s="29" t="n"/>
      <c r="O39" s="31" t="n"/>
    </row>
    <row r="40" ht="15" customHeight="1" s="16">
      <c r="A40" s="26" t="n">
        <v>39</v>
      </c>
      <c r="B40" s="26" t="n">
        <v>13</v>
      </c>
      <c r="C40" s="26" t="n">
        <v>54</v>
      </c>
      <c r="D40" s="27" t="inlineStr">
        <is>
          <t>灣商一隊</t>
        </is>
      </c>
      <c r="E40" s="28" t="inlineStr">
        <is>
          <t>自爲一屯</t>
        </is>
      </c>
      <c r="F40" s="27" t="inlineStr">
        <is>
          <t>臨溪洗數十鷄</t>
        </is>
      </c>
      <c r="G40" s="26" t="n"/>
      <c r="H40" s="29" t="n"/>
      <c r="I40" s="30" t="n"/>
      <c r="J40" s="30" t="n"/>
      <c r="K40" s="30" t="n"/>
      <c r="L40" s="30" t="n"/>
      <c r="M40" s="31" t="n"/>
      <c r="N40" s="29" t="n"/>
      <c r="O40" s="31" t="n"/>
    </row>
    <row r="41" ht="15" customHeight="1" s="16">
      <c r="A41" s="26" t="n">
        <v>40</v>
      </c>
      <c r="B41" s="26" t="n">
        <v>21</v>
      </c>
      <c r="C41" s="26" t="n">
        <v>35</v>
      </c>
      <c r="D41" s="27" t="inlineStr">
        <is>
          <t>滿面歡笑曰</t>
        </is>
      </c>
      <c r="E41" s="28" t="inlineStr">
        <is>
          <t>老爺</t>
        </is>
      </c>
      <c r="F41" s="27" t="inlineStr">
        <is>
          <t>息怒</t>
        </is>
      </c>
      <c r="G41" s="26" t="n"/>
      <c r="H41" s="29" t="n"/>
      <c r="I41" s="30" t="n"/>
      <c r="J41" s="30" t="n"/>
      <c r="K41" s="30" t="n"/>
      <c r="L41" s="30" t="n"/>
      <c r="M41" s="31" t="n"/>
      <c r="N41" s="29" t="n"/>
      <c r="O41" s="31" t="n"/>
    </row>
    <row r="42" ht="15" customHeight="1" s="16">
      <c r="A42" s="26" t="n">
        <v>41</v>
      </c>
      <c r="B42" s="26" t="n">
        <v>21</v>
      </c>
      <c r="C42" s="26" t="n">
        <v>36</v>
      </c>
      <c r="D42" s="27" t="inlineStr">
        <is>
          <t>老爺</t>
        </is>
      </c>
      <c r="E42" s="32" t="inlineStr">
        <is>
          <t>息怒</t>
        </is>
      </c>
      <c r="F42" s="27" t="inlineStr">
        <is>
          <t>小人們該死的</t>
        </is>
      </c>
      <c r="G42" s="26" t="inlineStr">
        <is>
          <t>●</t>
        </is>
      </c>
      <c r="H42" s="29" t="n"/>
      <c r="I42" s="30" t="n"/>
      <c r="J42" s="30" t="n"/>
      <c r="K42" s="30" t="n"/>
      <c r="L42" s="30" t="n"/>
      <c r="M42" s="31" t="n"/>
      <c r="N42" s="29" t="n"/>
      <c r="O42" s="31" t="n"/>
    </row>
    <row r="43" ht="15" customHeight="1" s="16">
      <c r="A43" s="26" t="n">
        <v>42</v>
      </c>
      <c r="B43" s="26" t="n">
        <v>21</v>
      </c>
      <c r="C43" s="26" t="n">
        <v>37</v>
      </c>
      <c r="D43" s="27" t="inlineStr">
        <is>
          <t>息怒</t>
        </is>
      </c>
      <c r="E43" s="28" t="inlineStr">
        <is>
          <t>小人們該死的</t>
        </is>
      </c>
      <c r="F43" s="27" t="inlineStr">
        <is>
          <t>馬頭輩皆大笑</t>
        </is>
      </c>
      <c r="G43" s="26" t="n"/>
      <c r="H43" s="29" t="n"/>
      <c r="I43" s="30" t="n"/>
      <c r="J43" s="30" t="n"/>
      <c r="K43" s="30" t="n"/>
      <c r="L43" s="30" t="n"/>
      <c r="M43" s="31" t="n"/>
      <c r="N43" s="29" t="n"/>
      <c r="O43" s="31" t="n"/>
    </row>
    <row r="44" ht="15" customHeight="1" s="16">
      <c r="A44" s="26" t="n">
        <v>43</v>
      </c>
      <c r="B44" s="26" t="n">
        <v>23</v>
      </c>
      <c r="C44" s="26" t="n">
        <v>27</v>
      </c>
      <c r="D44" s="27" t="inlineStr">
        <is>
          <t>口含烟竹</t>
        </is>
      </c>
      <c r="E44" s="28" t="inlineStr">
        <is>
          <t>光頭搖扇</t>
        </is>
      </c>
      <c r="F44" s="27" t="inlineStr">
        <is>
          <t>或黑貢緞衣</t>
        </is>
      </c>
      <c r="G44" s="26" t="n"/>
      <c r="H44" s="29" t="n"/>
      <c r="I44" s="30" t="n"/>
      <c r="J44" s="30" t="n"/>
      <c r="K44" s="30" t="n"/>
      <c r="L44" s="30" t="n"/>
      <c r="M44" s="31" t="n"/>
      <c r="N44" s="29" t="n"/>
      <c r="O44" s="31" t="n"/>
    </row>
    <row r="45" ht="15" customHeight="1" s="16">
      <c r="A45" s="26" t="n">
        <v>44</v>
      </c>
      <c r="B45" s="26" t="n">
        <v>23</v>
      </c>
      <c r="C45" s="26" t="n">
        <v>28</v>
      </c>
      <c r="D45" s="27" t="inlineStr">
        <is>
          <t>光頭搖扇</t>
        </is>
      </c>
      <c r="E45" s="32" t="inlineStr">
        <is>
          <t>或黑貢緞衣</t>
        </is>
      </c>
      <c r="F45" s="27" t="inlineStr">
        <is>
          <t>或秀花紬衣</t>
        </is>
      </c>
      <c r="G45" s="26" t="inlineStr">
        <is>
          <t>●</t>
        </is>
      </c>
      <c r="H45" s="29" t="n"/>
      <c r="I45" s="30" t="n"/>
      <c r="J45" s="30" t="n"/>
      <c r="K45" s="30" t="n"/>
      <c r="L45" s="30" t="n"/>
      <c r="M45" s="31" t="n"/>
      <c r="N45" s="29" t="n"/>
      <c r="O45" s="31" t="n"/>
    </row>
    <row r="46" ht="15" customHeight="1" s="16">
      <c r="A46" s="26" t="n">
        <v>45</v>
      </c>
      <c r="B46" s="26" t="n">
        <v>23</v>
      </c>
      <c r="C46" s="26" t="n">
        <v>29</v>
      </c>
      <c r="D46" s="27" t="inlineStr">
        <is>
          <t>或黑貢緞衣</t>
        </is>
      </c>
      <c r="E46" s="28" t="inlineStr">
        <is>
          <t>或秀花紬衣</t>
        </is>
      </c>
      <c r="F46" s="27" t="inlineStr">
        <is>
          <t>或生布生苧</t>
        </is>
      </c>
      <c r="G46" s="26" t="n"/>
      <c r="H46" s="29" t="n"/>
      <c r="I46" s="30" t="n"/>
      <c r="J46" s="30" t="n"/>
      <c r="K46" s="30" t="n"/>
      <c r="L46" s="30" t="n"/>
      <c r="M46" s="31" t="n"/>
      <c r="N46" s="29" t="n"/>
      <c r="O46" s="31" t="n"/>
    </row>
    <row r="47" ht="15" customHeight="1" s="16">
      <c r="A47" s="26" t="n">
        <v>46</v>
      </c>
      <c r="B47" s="26" t="n">
        <v>23</v>
      </c>
      <c r="C47" s="26" t="n">
        <v>49</v>
      </c>
      <c r="D47" s="27" t="inlineStr">
        <is>
          <t>家裏都是太平麽</t>
        </is>
      </c>
      <c r="E47" s="28" t="inlineStr">
        <is>
          <t>充</t>
        </is>
      </c>
      <c r="F47" s="27" t="inlineStr">
        <is>
          <t>得包銀麽</t>
        </is>
      </c>
      <c r="G47" s="26" t="n"/>
      <c r="H47" s="29" t="n"/>
      <c r="I47" s="30" t="n"/>
      <c r="J47" s="30" t="n"/>
      <c r="K47" s="30" t="n"/>
      <c r="L47" s="30" t="n"/>
      <c r="M47" s="31" t="n"/>
      <c r="N47" s="29" t="n"/>
      <c r="O47" s="31" t="n"/>
    </row>
    <row r="48" ht="15" customHeight="1" s="16">
      <c r="A48" s="26" t="n">
        <v>47</v>
      </c>
      <c r="B48" s="26" t="n">
        <v>23</v>
      </c>
      <c r="C48" s="26" t="n">
        <v>50</v>
      </c>
      <c r="D48" s="27" t="inlineStr">
        <is>
          <t>充</t>
        </is>
      </c>
      <c r="E48" s="32" t="inlineStr">
        <is>
          <t>得包銀麽</t>
        </is>
      </c>
      <c r="F48" s="27" t="inlineStr">
        <is>
          <t>人人酬酢如出一口</t>
        </is>
      </c>
      <c r="G48" s="26" t="inlineStr">
        <is>
          <t>●</t>
        </is>
      </c>
      <c r="H48" s="29" t="n"/>
      <c r="I48" s="30" t="n"/>
      <c r="J48" s="30" t="n"/>
      <c r="K48" s="30" t="n"/>
      <c r="L48" s="30" t="n"/>
      <c r="M48" s="31" t="n"/>
      <c r="N48" s="29" t="n"/>
      <c r="O48" s="31" t="n"/>
    </row>
    <row r="49" ht="29.85" customHeight="1" s="16">
      <c r="A49" s="26" t="n">
        <v>48</v>
      </c>
      <c r="B49" s="26" t="n">
        <v>23</v>
      </c>
      <c r="C49" s="26" t="n">
        <v>51</v>
      </c>
      <c r="D49" s="27" t="inlineStr">
        <is>
          <t>得包銀麽</t>
        </is>
      </c>
      <c r="E49" s="28" t="inlineStr">
        <is>
          <t>人人酬酢如出一口</t>
        </is>
      </c>
      <c r="F49" s="27" t="inlineStr">
        <is>
          <t>又爭問韓相公安相公來麽</t>
        </is>
      </c>
      <c r="G49" s="26" t="n"/>
      <c r="H49" s="29" t="n"/>
      <c r="I49" s="30" t="n"/>
      <c r="J49" s="30" t="n"/>
      <c r="K49" s="30" t="n"/>
      <c r="L49" s="30" t="n"/>
      <c r="M49" s="31" t="n"/>
      <c r="N49" s="29" t="n"/>
      <c r="O49" s="31" t="n"/>
    </row>
    <row r="50" ht="15" customHeight="1" s="16">
      <c r="A50" s="26" t="n">
        <v>49</v>
      </c>
      <c r="B50" s="26" t="n">
        <v>23</v>
      </c>
      <c r="C50" s="26" t="n">
        <v>58</v>
      </c>
      <c r="D50" s="27" t="inlineStr">
        <is>
          <t>習知燕中事</t>
        </is>
      </c>
      <c r="E50" s="28" t="inlineStr">
        <is>
          <t>所謂相公者</t>
        </is>
      </c>
      <c r="F50" s="27" t="inlineStr">
        <is>
          <t>商賈相尊之稱也</t>
        </is>
      </c>
      <c r="G50" s="26" t="n"/>
      <c r="H50" s="29" t="n"/>
      <c r="I50" s="30" t="n"/>
      <c r="J50" s="30" t="n"/>
      <c r="K50" s="30" t="n"/>
      <c r="L50" s="30" t="n"/>
      <c r="M50" s="31" t="n"/>
      <c r="N50" s="29" t="n"/>
      <c r="O50" s="31" t="n"/>
    </row>
    <row r="51" ht="15" customHeight="1" s="16">
      <c r="A51" s="26" t="n">
        <v>50</v>
      </c>
      <c r="B51" s="26" t="n">
        <v>23</v>
      </c>
      <c r="C51" s="26" t="n">
        <v>59</v>
      </c>
      <c r="D51" s="27" t="inlineStr">
        <is>
          <t>所謂相公者</t>
        </is>
      </c>
      <c r="E51" s="32" t="inlineStr">
        <is>
          <t>商賈相尊之稱也</t>
        </is>
      </c>
      <c r="F51" s="27" t="n"/>
      <c r="G51" s="26" t="inlineStr">
        <is>
          <t>●</t>
        </is>
      </c>
      <c r="H51" s="29" t="n"/>
      <c r="I51" s="30" t="n"/>
      <c r="J51" s="30" t="n"/>
      <c r="K51" s="30" t="n"/>
      <c r="L51" s="30" t="n"/>
      <c r="M51" s="31" t="n"/>
      <c r="N51" s="29" t="n"/>
      <c r="O51" s="31" t="n"/>
    </row>
    <row r="52" ht="15" customHeight="1" s="16">
      <c r="A52" s="26" t="n">
        <v>51</v>
      </c>
      <c r="B52" s="26" t="n">
        <v>24</v>
      </c>
      <c r="C52" s="26" t="n">
        <v>1</v>
      </c>
      <c r="D52" s="27" t="n"/>
      <c r="E52" s="28" t="inlineStr">
        <is>
          <t>使行時</t>
        </is>
      </c>
      <c r="F52" s="27" t="inlineStr">
        <is>
          <t>例給正官八包</t>
        </is>
      </c>
      <c r="G52" s="26" t="n"/>
      <c r="H52" s="29" t="n"/>
      <c r="I52" s="30" t="n"/>
      <c r="J52" s="30" t="n"/>
      <c r="K52" s="30" t="n"/>
      <c r="L52" s="30" t="n"/>
      <c r="M52" s="31" t="n"/>
      <c r="N52" s="29" t="n"/>
      <c r="O52" s="31" t="n"/>
    </row>
    <row r="53" ht="15" customHeight="1" s="16">
      <c r="A53" s="26" t="n">
        <v>52</v>
      </c>
      <c r="B53" s="26" t="n">
        <v>24</v>
      </c>
      <c r="C53" s="26" t="n">
        <v>10</v>
      </c>
      <c r="D53" s="27" t="inlineStr">
        <is>
          <t>今不</t>
        </is>
      </c>
      <c r="E53" s="28" t="inlineStr">
        <is>
          <t>官給</t>
        </is>
      </c>
      <c r="F53" s="27" t="inlineStr">
        <is>
          <t>令自備銀</t>
        </is>
      </c>
      <c r="G53" s="26" t="n"/>
      <c r="H53" s="29" t="n"/>
      <c r="I53" s="30" t="n"/>
      <c r="J53" s="30" t="n"/>
      <c r="K53" s="30" t="n"/>
      <c r="L53" s="30" t="n"/>
      <c r="M53" s="31" t="n"/>
      <c r="N53" s="29" t="n"/>
      <c r="O53" s="31" t="n"/>
    </row>
    <row r="54" ht="15" customHeight="1" s="16">
      <c r="A54" s="26" t="n">
        <v>53</v>
      </c>
      <c r="B54" s="26" t="n">
        <v>24</v>
      </c>
      <c r="C54" s="26" t="n">
        <v>11</v>
      </c>
      <c r="D54" s="27" t="inlineStr">
        <is>
          <t>官給</t>
        </is>
      </c>
      <c r="E54" s="32" t="inlineStr">
        <is>
          <t>令自備銀</t>
        </is>
      </c>
      <c r="F54" s="27" t="inlineStr">
        <is>
          <t>只限包數</t>
        </is>
      </c>
      <c r="G54" s="26" t="inlineStr">
        <is>
          <t>●</t>
        </is>
      </c>
      <c r="H54" s="29" t="n"/>
      <c r="I54" s="30" t="n"/>
      <c r="J54" s="30" t="n"/>
      <c r="K54" s="30" t="n"/>
      <c r="L54" s="30" t="n"/>
      <c r="M54" s="31" t="n"/>
      <c r="N54" s="29" t="n"/>
      <c r="O54" s="31" t="n"/>
    </row>
    <row r="55" ht="15" customHeight="1" s="16">
      <c r="A55" s="26" t="n">
        <v>54</v>
      </c>
      <c r="B55" s="26" t="n">
        <v>24</v>
      </c>
      <c r="C55" s="26" t="n">
        <v>12</v>
      </c>
      <c r="D55" s="27" t="inlineStr">
        <is>
          <t>令自備銀</t>
        </is>
      </c>
      <c r="E55" s="28" t="inlineStr">
        <is>
          <t>只限包數</t>
        </is>
      </c>
      <c r="F55" s="27" t="inlineStr">
        <is>
          <t>堂上包銀三千兩</t>
        </is>
      </c>
      <c r="G55" s="26" t="n"/>
      <c r="H55" s="29" t="n"/>
      <c r="I55" s="30" t="n"/>
      <c r="J55" s="30" t="n"/>
      <c r="K55" s="30" t="n"/>
      <c r="L55" s="30" t="n"/>
      <c r="M55" s="31" t="n"/>
      <c r="N55" s="29" t="n"/>
      <c r="O55" s="31" t="n"/>
    </row>
    <row r="56" ht="15" customHeight="1" s="16">
      <c r="A56" s="26" t="n">
        <v>55</v>
      </c>
      <c r="B56" s="26" t="n">
        <v>24</v>
      </c>
      <c r="C56" s="26" t="n">
        <v>13</v>
      </c>
      <c r="D56" s="27" t="inlineStr">
        <is>
          <t>只限包數</t>
        </is>
      </c>
      <c r="E56" s="32" t="inlineStr">
        <is>
          <t>堂上包銀三千兩</t>
        </is>
      </c>
      <c r="F56" s="27" t="inlineStr">
        <is>
          <t>堂下二千兩</t>
        </is>
      </c>
      <c r="G56" s="26" t="inlineStr">
        <is>
          <t>●</t>
        </is>
      </c>
      <c r="H56" s="29" t="n"/>
      <c r="I56" s="30" t="n"/>
      <c r="J56" s="30" t="n"/>
      <c r="K56" s="30" t="n"/>
      <c r="L56" s="30" t="n"/>
      <c r="M56" s="31" t="n"/>
      <c r="N56" s="29" t="n"/>
      <c r="O56" s="31" t="n"/>
    </row>
    <row r="57" ht="15" customHeight="1" s="16">
      <c r="A57" s="26" t="n">
        <v>56</v>
      </c>
      <c r="B57" s="26" t="n">
        <v>24</v>
      </c>
      <c r="C57" s="26" t="n">
        <v>14</v>
      </c>
      <c r="D57" s="27" t="inlineStr">
        <is>
          <t>堂上包銀三千兩</t>
        </is>
      </c>
      <c r="E57" s="28" t="inlineStr">
        <is>
          <t>堂下二千兩</t>
        </is>
      </c>
      <c r="F57" s="27" t="inlineStr">
        <is>
          <t>自帶入燕</t>
        </is>
      </c>
      <c r="G57" s="26" t="n"/>
      <c r="H57" s="29" t="n"/>
      <c r="I57" s="30" t="n"/>
      <c r="J57" s="30" t="n"/>
      <c r="K57" s="30" t="n"/>
      <c r="L57" s="30" t="n"/>
      <c r="M57" s="31" t="n"/>
      <c r="N57" s="29" t="n"/>
      <c r="O57" s="31" t="n"/>
    </row>
    <row r="58" ht="15" customHeight="1" s="16">
      <c r="A58" s="26" t="n">
        <v>57</v>
      </c>
      <c r="B58" s="26" t="n">
        <v>24</v>
      </c>
      <c r="C58" s="26" t="n">
        <v>15</v>
      </c>
      <c r="D58" s="27" t="inlineStr">
        <is>
          <t>堂下二千兩</t>
        </is>
      </c>
      <c r="E58" s="28" t="inlineStr">
        <is>
          <t>自帶入燕</t>
        </is>
      </c>
      <c r="F58" s="27" t="inlineStr">
        <is>
          <t>貿易諸貨爲奇羡</t>
        </is>
      </c>
      <c r="G58" s="26" t="n"/>
      <c r="H58" s="29" t="n"/>
      <c r="I58" s="30" t="n"/>
      <c r="J58" s="30" t="n"/>
      <c r="K58" s="30" t="n"/>
      <c r="L58" s="30" t="n"/>
      <c r="M58" s="31" t="n"/>
      <c r="N58" s="29" t="n"/>
      <c r="O58" s="31" t="n"/>
    </row>
    <row r="59" ht="15" customHeight="1" s="16">
      <c r="A59" s="26" t="n">
        <v>58</v>
      </c>
      <c r="B59" s="26" t="n">
        <v>24</v>
      </c>
      <c r="C59" s="26" t="n">
        <v>16</v>
      </c>
      <c r="D59" s="27" t="inlineStr">
        <is>
          <t>自帶入燕</t>
        </is>
      </c>
      <c r="E59" s="32" t="inlineStr">
        <is>
          <t>貿易諸貨爲奇羡</t>
        </is>
      </c>
      <c r="F59" s="27" t="inlineStr">
        <is>
          <t>貧不能自帶</t>
        </is>
      </c>
      <c r="G59" s="26" t="inlineStr">
        <is>
          <t>●</t>
        </is>
      </c>
      <c r="H59" s="29" t="n"/>
      <c r="I59" s="30" t="n"/>
      <c r="J59" s="30" t="n"/>
      <c r="K59" s="30" t="n"/>
      <c r="L59" s="30" t="n"/>
      <c r="M59" s="31" t="n"/>
      <c r="N59" s="29" t="n"/>
      <c r="O59" s="31" t="n"/>
    </row>
    <row r="60" ht="15" customHeight="1" s="16">
      <c r="A60" s="26" t="n">
        <v>59</v>
      </c>
      <c r="B60" s="26" t="n">
        <v>24</v>
      </c>
      <c r="C60" s="26" t="n">
        <v>17</v>
      </c>
      <c r="D60" s="27" t="inlineStr">
        <is>
          <t>貿易諸貨爲奇羡</t>
        </is>
      </c>
      <c r="E60" s="32" t="inlineStr">
        <is>
          <t>貧不能自帶</t>
        </is>
      </c>
      <c r="F60" s="27" t="inlineStr">
        <is>
          <t>則賣其包窠松都</t>
        </is>
      </c>
      <c r="G60" s="26" t="inlineStr">
        <is>
          <t>●</t>
        </is>
      </c>
      <c r="H60" s="29" t="n"/>
      <c r="I60" s="30" t="n"/>
      <c r="J60" s="30" t="n"/>
      <c r="K60" s="30" t="n"/>
      <c r="L60" s="30" t="n"/>
      <c r="M60" s="31" t="n"/>
      <c r="N60" s="29" t="n"/>
      <c r="O60" s="31" t="n"/>
    </row>
    <row r="61" ht="15" customHeight="1" s="16">
      <c r="A61" s="26" t="n">
        <v>60</v>
      </c>
      <c r="B61" s="26" t="n">
        <v>24</v>
      </c>
      <c r="C61" s="26" t="n">
        <v>18</v>
      </c>
      <c r="D61" s="27" t="inlineStr">
        <is>
          <t>貧不能自帶</t>
        </is>
      </c>
      <c r="E61" s="32" t="inlineStr">
        <is>
          <t>則賣其包窠松都</t>
        </is>
      </c>
      <c r="F61" s="27" t="inlineStr">
        <is>
          <t>平壤</t>
        </is>
      </c>
      <c r="G61" s="26" t="inlineStr">
        <is>
          <t>●</t>
        </is>
      </c>
      <c r="H61" s="29" t="n"/>
      <c r="I61" s="30" t="n"/>
      <c r="J61" s="30" t="n"/>
      <c r="K61" s="30" t="n"/>
      <c r="L61" s="30" t="n"/>
      <c r="M61" s="31" t="n"/>
      <c r="N61" s="29" t="n"/>
      <c r="O61" s="31" t="n"/>
    </row>
    <row r="62" ht="15" customHeight="1" s="16">
      <c r="A62" s="26" t="n">
        <v>61</v>
      </c>
      <c r="B62" s="26" t="n">
        <v>24</v>
      </c>
      <c r="C62" s="26" t="n">
        <v>19</v>
      </c>
      <c r="D62" s="27" t="inlineStr">
        <is>
          <t>則賣其包窠松都</t>
        </is>
      </c>
      <c r="E62" s="28" t="inlineStr">
        <is>
          <t>平壤</t>
        </is>
      </c>
      <c r="F62" s="27" t="inlineStr">
        <is>
          <t>安州等處</t>
        </is>
      </c>
      <c r="G62" s="26" t="n"/>
      <c r="H62" s="29" t="n"/>
      <c r="I62" s="30" t="n"/>
      <c r="J62" s="30" t="n"/>
      <c r="K62" s="30" t="n"/>
      <c r="L62" s="30" t="n"/>
      <c r="M62" s="31" t="n"/>
      <c r="N62" s="29" t="n"/>
      <c r="O62" s="31" t="n"/>
    </row>
    <row r="63" ht="15" customHeight="1" s="16">
      <c r="A63" s="26" t="n">
        <v>62</v>
      </c>
      <c r="B63" s="26" t="n">
        <v>24</v>
      </c>
      <c r="C63" s="26" t="n">
        <v>20</v>
      </c>
      <c r="D63" s="27" t="inlineStr">
        <is>
          <t>平壤</t>
        </is>
      </c>
      <c r="E63" s="28" t="inlineStr">
        <is>
          <t>安州等處</t>
        </is>
      </c>
      <c r="F63" s="27" t="inlineStr">
        <is>
          <t>燕商買其包窠</t>
        </is>
      </c>
      <c r="G63" s="26" t="n"/>
      <c r="H63" s="29" t="n"/>
      <c r="I63" s="30" t="n"/>
      <c r="J63" s="30" t="n"/>
      <c r="K63" s="30" t="n"/>
      <c r="L63" s="30" t="n"/>
      <c r="M63" s="31" t="n"/>
      <c r="N63" s="29" t="n"/>
      <c r="O63" s="31" t="n"/>
    </row>
    <row r="64" ht="15" customHeight="1" s="16">
      <c r="A64" s="26" t="n">
        <v>63</v>
      </c>
      <c r="B64" s="26" t="n">
        <v>24</v>
      </c>
      <c r="C64" s="26" t="n">
        <v>21</v>
      </c>
      <c r="D64" s="27" t="inlineStr">
        <is>
          <t>安州等處</t>
        </is>
      </c>
      <c r="E64" s="32" t="inlineStr">
        <is>
          <t>燕商買其包窠</t>
        </is>
      </c>
      <c r="F64" s="27" t="inlineStr">
        <is>
          <t>充銀以去</t>
        </is>
      </c>
      <c r="G64" s="26" t="inlineStr">
        <is>
          <t>●</t>
        </is>
      </c>
      <c r="H64" s="29" t="n"/>
      <c r="I64" s="30" t="n"/>
      <c r="J64" s="30" t="n"/>
      <c r="K64" s="30" t="n"/>
      <c r="L64" s="30" t="n"/>
      <c r="M64" s="31" t="n"/>
      <c r="N64" s="29" t="n"/>
      <c r="O64" s="31" t="n"/>
    </row>
    <row r="65" ht="15" customHeight="1" s="16">
      <c r="A65" s="26" t="n">
        <v>64</v>
      </c>
      <c r="B65" s="26" t="n">
        <v>24</v>
      </c>
      <c r="C65" s="26" t="n">
        <v>22</v>
      </c>
      <c r="D65" s="27" t="inlineStr">
        <is>
          <t>燕商買其包窠</t>
        </is>
      </c>
      <c r="E65" s="32" t="inlineStr">
        <is>
          <t>充銀以去</t>
        </is>
      </c>
      <c r="F65" s="27" t="inlineStr">
        <is>
          <t>然諸處燕商</t>
        </is>
      </c>
      <c r="G65" s="26" t="inlineStr">
        <is>
          <t>●</t>
        </is>
      </c>
      <c r="H65" s="29" t="n"/>
      <c r="I65" s="30" t="n"/>
      <c r="J65" s="30" t="n"/>
      <c r="K65" s="30" t="n"/>
      <c r="L65" s="30" t="n"/>
      <c r="M65" s="31" t="n"/>
      <c r="N65" s="29" t="n"/>
      <c r="O65" s="31" t="n"/>
    </row>
    <row r="66" ht="15" customHeight="1" s="16">
      <c r="A66" s="26" t="n">
        <v>65</v>
      </c>
      <c r="B66" s="26" t="n">
        <v>24</v>
      </c>
      <c r="C66" s="26" t="n">
        <v>23</v>
      </c>
      <c r="D66" s="27" t="inlineStr">
        <is>
          <t>充銀以去</t>
        </is>
      </c>
      <c r="E66" s="32" t="inlineStr">
        <is>
          <t>然諸處燕商</t>
        </is>
      </c>
      <c r="F66" s="27" t="inlineStr">
        <is>
          <t>法不得身自入燕</t>
        </is>
      </c>
      <c r="G66" s="26" t="inlineStr">
        <is>
          <t>●</t>
        </is>
      </c>
      <c r="H66" s="29" t="n"/>
      <c r="I66" s="30" t="n"/>
      <c r="J66" s="30" t="n"/>
      <c r="K66" s="30" t="n"/>
      <c r="L66" s="30" t="n"/>
      <c r="M66" s="31" t="n"/>
      <c r="N66" s="29" t="n"/>
      <c r="O66" s="31" t="n"/>
    </row>
    <row r="67" ht="15" customHeight="1" s="16">
      <c r="A67" s="26" t="n">
        <v>66</v>
      </c>
      <c r="B67" s="26" t="n">
        <v>24</v>
      </c>
      <c r="C67" s="26" t="n">
        <v>24</v>
      </c>
      <c r="D67" s="27" t="inlineStr">
        <is>
          <t>然諸處燕商</t>
        </is>
      </c>
      <c r="E67" s="28" t="inlineStr">
        <is>
          <t>法不得身自入燕</t>
        </is>
      </c>
      <c r="F67" s="27" t="inlineStr">
        <is>
          <t>將包交付</t>
        </is>
      </c>
      <c r="G67" s="26" t="n"/>
      <c r="H67" s="29" t="n"/>
      <c r="I67" s="30" t="n"/>
      <c r="J67" s="30" t="n"/>
      <c r="K67" s="30" t="n"/>
      <c r="L67" s="30" t="n"/>
      <c r="M67" s="31" t="n"/>
      <c r="N67" s="29" t="n"/>
      <c r="O67" s="31" t="n"/>
    </row>
    <row r="68" ht="15" customHeight="1" s="16">
      <c r="A68" s="26" t="n">
        <v>67</v>
      </c>
      <c r="B68" s="26" t="n">
        <v>24</v>
      </c>
      <c r="C68" s="26" t="n">
        <v>26</v>
      </c>
      <c r="D68" s="27" t="inlineStr">
        <is>
          <t>將包交付</t>
        </is>
      </c>
      <c r="E68" s="28" t="inlineStr">
        <is>
          <t>灣人</t>
        </is>
      </c>
      <c r="F68" s="27" t="inlineStr">
        <is>
          <t>貿易以來</t>
        </is>
      </c>
      <c r="G68" s="26" t="n"/>
      <c r="H68" s="29" t="n"/>
      <c r="I68" s="30" t="n"/>
      <c r="J68" s="30" t="n"/>
      <c r="K68" s="30" t="n"/>
      <c r="L68" s="30" t="n"/>
      <c r="M68" s="31" t="n"/>
      <c r="N68" s="29" t="n"/>
      <c r="O68" s="31" t="n"/>
    </row>
    <row r="69" ht="15" customHeight="1" s="16">
      <c r="A69" s="26" t="n">
        <v>68</v>
      </c>
      <c r="B69" s="26" t="n">
        <v>24</v>
      </c>
      <c r="C69" s="26" t="n">
        <v>27</v>
      </c>
      <c r="D69" s="27" t="inlineStr">
        <is>
          <t>灣人</t>
        </is>
      </c>
      <c r="E69" s="32" t="inlineStr">
        <is>
          <t>貿易以來</t>
        </is>
      </c>
      <c r="F69" s="27" t="inlineStr">
        <is>
          <t>如韓林諸賈</t>
        </is>
      </c>
      <c r="G69" s="26" t="inlineStr">
        <is>
          <t>●</t>
        </is>
      </c>
      <c r="H69" s="29" t="n"/>
      <c r="I69" s="30" t="n"/>
      <c r="J69" s="30" t="n"/>
      <c r="K69" s="30" t="n"/>
      <c r="L69" s="30" t="n"/>
      <c r="M69" s="31" t="n"/>
      <c r="N69" s="29" t="n"/>
      <c r="O69" s="31" t="n"/>
    </row>
    <row r="70" ht="15" customHeight="1" s="16">
      <c r="A70" s="26" t="n">
        <v>69</v>
      </c>
      <c r="B70" s="26" t="n">
        <v>24</v>
      </c>
      <c r="C70" s="26" t="n">
        <v>28</v>
      </c>
      <c r="D70" s="27" t="inlineStr">
        <is>
          <t>貿易以來</t>
        </is>
      </c>
      <c r="E70" s="32" t="inlineStr">
        <is>
          <t>如韓林諸賈</t>
        </is>
      </c>
      <c r="F70" s="27" t="inlineStr">
        <is>
          <t>連歲入燕</t>
        </is>
      </c>
      <c r="G70" s="26" t="inlineStr">
        <is>
          <t>●</t>
        </is>
      </c>
      <c r="H70" s="29" t="n"/>
      <c r="I70" s="30" t="n"/>
      <c r="J70" s="30" t="n"/>
      <c r="K70" s="30" t="n"/>
      <c r="L70" s="30" t="n"/>
      <c r="M70" s="31" t="n"/>
      <c r="N70" s="29" t="n"/>
      <c r="O70" s="31" t="n"/>
    </row>
    <row r="71" ht="15" customHeight="1" s="16">
      <c r="A71" s="26" t="n">
        <v>70</v>
      </c>
      <c r="B71" s="26" t="n">
        <v>24</v>
      </c>
      <c r="C71" s="26" t="n">
        <v>29</v>
      </c>
      <c r="D71" s="27" t="inlineStr">
        <is>
          <t>如韓林諸賈</t>
        </is>
      </c>
      <c r="E71" s="28" t="inlineStr">
        <is>
          <t>連歲入燕</t>
        </is>
      </c>
      <c r="F71" s="27" t="inlineStr">
        <is>
          <t>視燕如門庭</t>
        </is>
      </c>
      <c r="G71" s="26" t="n"/>
      <c r="H71" s="29" t="n"/>
      <c r="I71" s="30" t="n"/>
      <c r="J71" s="30" t="n"/>
      <c r="K71" s="30" t="n"/>
      <c r="L71" s="30" t="n"/>
      <c r="M71" s="31" t="n"/>
      <c r="N71" s="29" t="n"/>
      <c r="O71" s="31" t="n"/>
    </row>
    <row r="72" ht="15" customHeight="1" s="16">
      <c r="A72" s="26" t="n">
        <v>71</v>
      </c>
      <c r="B72" s="26" t="n">
        <v>24</v>
      </c>
      <c r="C72" s="26" t="n">
        <v>35</v>
      </c>
      <c r="D72" s="27" t="inlineStr">
        <is>
          <t>都在其手</t>
        </is>
      </c>
      <c r="E72" s="28" t="inlineStr">
        <is>
          <t>燕</t>
        </is>
      </c>
      <c r="F72" s="27" t="inlineStr">
        <is>
          <t>貨之日增厥價</t>
        </is>
      </c>
      <c r="G72" s="26" t="n"/>
      <c r="H72" s="29" t="n"/>
      <c r="I72" s="30" t="n"/>
      <c r="J72" s="30" t="n"/>
      <c r="K72" s="30" t="n"/>
      <c r="L72" s="30" t="n"/>
      <c r="M72" s="31" t="n"/>
      <c r="N72" s="29" t="n"/>
      <c r="O72" s="31" t="n"/>
    </row>
    <row r="73" ht="15" customHeight="1" s="16">
      <c r="A73" s="26" t="n">
        <v>72</v>
      </c>
      <c r="B73" s="26" t="n">
        <v>24</v>
      </c>
      <c r="C73" s="26" t="n">
        <v>36</v>
      </c>
      <c r="D73" s="27" t="inlineStr">
        <is>
          <t>燕</t>
        </is>
      </c>
      <c r="E73" s="32" t="inlineStr">
        <is>
          <t>貨之日增厥價</t>
        </is>
      </c>
      <c r="F73" s="27" t="inlineStr">
        <is>
          <t>亶由此輩</t>
        </is>
      </c>
      <c r="G73" s="26" t="inlineStr">
        <is>
          <t>●</t>
        </is>
      </c>
      <c r="H73" s="29" t="n"/>
      <c r="I73" s="30" t="n"/>
      <c r="J73" s="30" t="n"/>
      <c r="K73" s="30" t="n"/>
      <c r="L73" s="30" t="n"/>
      <c r="M73" s="31" t="n"/>
      <c r="N73" s="29" t="n"/>
      <c r="O73" s="31" t="n"/>
    </row>
    <row r="74" ht="15" customHeight="1" s="16">
      <c r="A74" s="26" t="n">
        <v>73</v>
      </c>
      <c r="B74" s="26" t="n">
        <v>24</v>
      </c>
      <c r="C74" s="26" t="n">
        <v>37</v>
      </c>
      <c r="D74" s="27" t="inlineStr">
        <is>
          <t>貨之日增厥價</t>
        </is>
      </c>
      <c r="E74" s="28" t="inlineStr">
        <is>
          <t>亶由此輩</t>
        </is>
      </c>
      <c r="F74" s="27" t="inlineStr">
        <is>
          <t>擧國都不理會</t>
        </is>
      </c>
      <c r="G74" s="26" t="n"/>
      <c r="H74" s="29" t="n"/>
      <c r="I74" s="30" t="n"/>
      <c r="J74" s="30" t="n"/>
      <c r="K74" s="30" t="n"/>
      <c r="L74" s="30" t="n"/>
      <c r="M74" s="31" t="n"/>
      <c r="N74" s="29" t="n"/>
      <c r="O74" s="31" t="n"/>
    </row>
    <row r="75" ht="15" customHeight="1" s="16">
      <c r="A75" s="26" t="n">
        <v>74</v>
      </c>
      <c r="B75" s="26" t="n">
        <v>24</v>
      </c>
      <c r="C75" s="26" t="n">
        <v>39</v>
      </c>
      <c r="D75" s="27" t="inlineStr">
        <is>
          <t>擧國都不理會</t>
        </is>
      </c>
      <c r="E75" s="28" t="inlineStr">
        <is>
          <t>專責譯官</t>
        </is>
      </c>
      <c r="F75" s="27" t="inlineStr">
        <is>
          <t>譯官失權於灣賈</t>
        </is>
      </c>
      <c r="G75" s="26" t="n"/>
      <c r="H75" s="29" t="n"/>
      <c r="I75" s="30" t="n"/>
      <c r="J75" s="30" t="n"/>
      <c r="K75" s="30" t="n"/>
      <c r="L75" s="30" t="n"/>
      <c r="M75" s="31" t="n"/>
      <c r="N75" s="29" t="n"/>
      <c r="O75" s="31" t="n"/>
    </row>
    <row r="76" ht="15" customHeight="1" s="16">
      <c r="A76" s="26" t="n">
        <v>75</v>
      </c>
      <c r="B76" s="26" t="n">
        <v>24</v>
      </c>
      <c r="C76" s="26" t="n">
        <v>40</v>
      </c>
      <c r="D76" s="27" t="inlineStr">
        <is>
          <t>專責譯官</t>
        </is>
      </c>
      <c r="E76" s="32" t="inlineStr">
        <is>
          <t>譯官失權於灣賈</t>
        </is>
      </c>
      <c r="F76" s="27" t="inlineStr">
        <is>
          <t>拱手而已</t>
        </is>
      </c>
      <c r="G76" s="26" t="inlineStr">
        <is>
          <t>●</t>
        </is>
      </c>
      <c r="H76" s="29" t="n"/>
      <c r="I76" s="30" t="n"/>
      <c r="J76" s="30" t="n"/>
      <c r="K76" s="30" t="n"/>
      <c r="L76" s="30" t="n"/>
      <c r="M76" s="31" t="n"/>
      <c r="N76" s="29" t="n"/>
      <c r="O76" s="31" t="n"/>
    </row>
    <row r="77" ht="15" customHeight="1" s="16">
      <c r="A77" s="26" t="n">
        <v>76</v>
      </c>
      <c r="B77" s="26" t="n">
        <v>24</v>
      </c>
      <c r="C77" s="26" t="n">
        <v>41</v>
      </c>
      <c r="D77" s="27" t="inlineStr">
        <is>
          <t>譯官失權於灣賈</t>
        </is>
      </c>
      <c r="E77" s="28" t="inlineStr">
        <is>
          <t>拱手而已</t>
        </is>
      </c>
      <c r="F77" s="27" t="inlineStr">
        <is>
          <t>諸處燕商</t>
        </is>
      </c>
      <c r="G77" s="26" t="n"/>
      <c r="H77" s="29" t="n"/>
      <c r="I77" s="30" t="n"/>
      <c r="J77" s="30" t="n"/>
      <c r="K77" s="30" t="n"/>
      <c r="L77" s="30" t="n"/>
      <c r="M77" s="31" t="n"/>
      <c r="N77" s="29" t="n"/>
      <c r="O77" s="31" t="n"/>
    </row>
    <row r="78" ht="15" customHeight="1" s="16">
      <c r="A78" s="26" t="n">
        <v>77</v>
      </c>
      <c r="B78" s="26" t="n">
        <v>24</v>
      </c>
      <c r="C78" s="26" t="n">
        <v>42</v>
      </c>
      <c r="D78" s="27" t="inlineStr">
        <is>
          <t>拱手而已</t>
        </is>
      </c>
      <c r="E78" s="32" t="inlineStr">
        <is>
          <t>諸處燕商</t>
        </is>
      </c>
      <c r="F78" s="27" t="inlineStr">
        <is>
          <t>雖知爲灣</t>
        </is>
      </c>
      <c r="G78" s="26" t="inlineStr">
        <is>
          <t>●</t>
        </is>
      </c>
      <c r="H78" s="29" t="n"/>
      <c r="I78" s="30" t="n"/>
      <c r="J78" s="30" t="n"/>
      <c r="K78" s="30" t="n"/>
      <c r="L78" s="30" t="n"/>
      <c r="M78" s="31" t="n"/>
      <c r="N78" s="29" t="n"/>
      <c r="O78" s="31" t="n"/>
    </row>
    <row r="79" ht="15" customHeight="1" s="16">
      <c r="A79" s="26" t="n">
        <v>78</v>
      </c>
      <c r="B79" s="26" t="n">
        <v>24</v>
      </c>
      <c r="C79" s="26" t="n">
        <v>43</v>
      </c>
      <c r="D79" s="27" t="inlineStr">
        <is>
          <t>諸處燕商</t>
        </is>
      </c>
      <c r="E79" s="28" t="inlineStr">
        <is>
          <t>雖知爲灣</t>
        </is>
      </c>
      <c r="F79" s="27" t="inlineStr">
        <is>
          <t>賈之所操縱</t>
        </is>
      </c>
      <c r="G79" s="26" t="n"/>
      <c r="H79" s="29" t="n"/>
      <c r="I79" s="30" t="n"/>
      <c r="J79" s="30" t="n"/>
      <c r="K79" s="30" t="n"/>
      <c r="L79" s="30" t="n"/>
      <c r="M79" s="31" t="n"/>
      <c r="N79" s="29" t="n"/>
      <c r="O79" s="31" t="n"/>
    </row>
    <row r="80" ht="15" customHeight="1" s="16">
      <c r="A80" s="26" t="n">
        <v>79</v>
      </c>
      <c r="B80" s="26" t="n">
        <v>24</v>
      </c>
      <c r="C80" s="26" t="n">
        <v>44</v>
      </c>
      <c r="D80" s="27" t="inlineStr">
        <is>
          <t>雖知爲灣</t>
        </is>
      </c>
      <c r="E80" s="32" t="inlineStr">
        <is>
          <t>賈之所操縱</t>
        </is>
      </c>
      <c r="F80" s="27" t="inlineStr">
        <is>
          <t>而事非目覩</t>
        </is>
      </c>
      <c r="G80" s="26" t="inlineStr">
        <is>
          <t>●</t>
        </is>
      </c>
      <c r="H80" s="29" t="n"/>
      <c r="I80" s="30" t="n"/>
      <c r="J80" s="30" t="n"/>
      <c r="K80" s="30" t="n"/>
      <c r="L80" s="30" t="n"/>
      <c r="M80" s="31" t="n"/>
      <c r="N80" s="29" t="n"/>
      <c r="O80" s="31" t="n"/>
    </row>
    <row r="81" ht="15" customHeight="1" s="16">
      <c r="A81" s="26" t="n">
        <v>80</v>
      </c>
      <c r="B81" s="26" t="n">
        <v>24</v>
      </c>
      <c r="C81" s="26" t="n">
        <v>45</v>
      </c>
      <c r="D81" s="27" t="inlineStr">
        <is>
          <t>賈之所操縱</t>
        </is>
      </c>
      <c r="E81" s="28" t="inlineStr">
        <is>
          <t>而事非目覩</t>
        </is>
      </c>
      <c r="F81" s="27" t="inlineStr">
        <is>
          <t>則敢怒而不敢言</t>
        </is>
      </c>
      <c r="G81" s="26" t="n"/>
      <c r="H81" s="29" t="n"/>
      <c r="I81" s="30" t="n"/>
      <c r="J81" s="30" t="n"/>
      <c r="K81" s="30" t="n"/>
      <c r="L81" s="30" t="n"/>
      <c r="M81" s="31" t="n"/>
      <c r="N81" s="29" t="n"/>
      <c r="O81" s="31" t="n"/>
    </row>
    <row r="82" ht="15" customHeight="1" s="16">
      <c r="A82" s="26" t="n">
        <v>81</v>
      </c>
      <c r="B82" s="26" t="n">
        <v>24</v>
      </c>
      <c r="C82" s="26" t="n">
        <v>47</v>
      </c>
      <c r="D82" s="27" t="inlineStr">
        <is>
          <t>則敢怒而不敢言</t>
        </is>
      </c>
      <c r="E82" s="28" t="inlineStr">
        <is>
          <t>其來已久</t>
        </is>
      </c>
      <c r="F82" s="27" t="inlineStr">
        <is>
          <t>今者灣賈之蹔爲隱身</t>
        </is>
      </c>
      <c r="G82" s="26" t="n"/>
      <c r="H82" s="29" t="n"/>
      <c r="I82" s="30" t="n"/>
      <c r="J82" s="30" t="n"/>
      <c r="K82" s="30" t="n"/>
      <c r="L82" s="30" t="n"/>
      <c r="M82" s="31" t="n"/>
      <c r="N82" s="29" t="n"/>
      <c r="O82" s="31" t="n"/>
    </row>
    <row r="83" ht="15" customHeight="1" s="16">
      <c r="A83" s="26" t="n">
        <v>82</v>
      </c>
      <c r="B83" s="26" t="n">
        <v>24</v>
      </c>
      <c r="C83" s="26" t="n">
        <v>48</v>
      </c>
      <c r="D83" s="27" t="inlineStr">
        <is>
          <t>其來已久</t>
        </is>
      </c>
      <c r="E83" s="32" t="inlineStr">
        <is>
          <t>今者灣賈之蹔爲隱身</t>
        </is>
      </c>
      <c r="F83" s="27" t="inlineStr">
        <is>
          <t>不卽相見</t>
        </is>
      </c>
      <c r="G83" s="26" t="inlineStr">
        <is>
          <t>●</t>
        </is>
      </c>
      <c r="H83" s="29" t="n"/>
      <c r="I83" s="30" t="n"/>
      <c r="J83" s="30" t="n"/>
      <c r="K83" s="30" t="n"/>
      <c r="L83" s="30" t="n"/>
      <c r="M83" s="31" t="n"/>
      <c r="N83" s="29" t="n"/>
      <c r="O83" s="31" t="n"/>
    </row>
    <row r="84" ht="15" customHeight="1" s="16">
      <c r="A84" s="26" t="n">
        <v>83</v>
      </c>
      <c r="B84" s="26" t="n">
        <v>24</v>
      </c>
      <c r="C84" s="26" t="n">
        <v>49</v>
      </c>
      <c r="D84" s="27" t="inlineStr">
        <is>
          <t>今者灣賈之蹔爲隱身</t>
        </is>
      </c>
      <c r="E84" s="28" t="inlineStr">
        <is>
          <t>不卽相見</t>
        </is>
      </c>
      <c r="F84" s="27" t="inlineStr">
        <is>
          <t>亦一鉤引小</t>
        </is>
      </c>
      <c r="G84" s="26" t="n"/>
      <c r="H84" s="29" t="n"/>
      <c r="I84" s="30" t="n"/>
      <c r="J84" s="30" t="n"/>
      <c r="K84" s="30" t="n"/>
      <c r="L84" s="30" t="n"/>
      <c r="M84" s="31" t="n"/>
      <c r="N84" s="29" t="n"/>
      <c r="O84" s="31" t="n"/>
    </row>
    <row r="85" ht="15" customHeight="1" s="16">
      <c r="A85" s="26" t="n">
        <v>84</v>
      </c>
      <c r="B85" s="26" t="n">
        <v>25</v>
      </c>
      <c r="C85" s="26" t="n">
        <v>19</v>
      </c>
      <c r="D85" s="27" t="inlineStr">
        <is>
          <t>遼東及東岳廟</t>
        </is>
      </c>
      <c r="E85" s="28" t="inlineStr">
        <is>
          <t>素號姦細人出沒處</t>
        </is>
      </c>
      <c r="F85" s="27" t="inlineStr">
        <is>
          <t>汝復賣眼</t>
        </is>
      </c>
      <c r="G85" s="26" t="n"/>
      <c r="H85" s="29" t="n"/>
      <c r="I85" s="30" t="n"/>
      <c r="J85" s="30" t="n"/>
      <c r="K85" s="30" t="n"/>
      <c r="L85" s="30" t="n"/>
      <c r="M85" s="31" t="n"/>
      <c r="N85" s="29" t="n"/>
      <c r="O85" s="31" t="n"/>
    </row>
    <row r="86" ht="15" customHeight="1" s="16">
      <c r="A86" s="26" t="n">
        <v>85</v>
      </c>
      <c r="B86" s="26" t="n">
        <v>25</v>
      </c>
      <c r="C86" s="26" t="n">
        <v>20</v>
      </c>
      <c r="D86" s="27" t="inlineStr">
        <is>
          <t>素號姦細人出沒處</t>
        </is>
      </c>
      <c r="E86" s="32" t="inlineStr">
        <is>
          <t>汝復賣眼</t>
        </is>
      </c>
      <c r="F86" s="27" t="inlineStr">
        <is>
          <t>又未知幾物見失</t>
        </is>
      </c>
      <c r="G86" s="26" t="inlineStr">
        <is>
          <t>●</t>
        </is>
      </c>
      <c r="H86" s="29" t="n"/>
      <c r="I86" s="30" t="n"/>
      <c r="J86" s="30" t="n"/>
      <c r="K86" s="30" t="n"/>
      <c r="L86" s="30" t="n"/>
      <c r="M86" s="31" t="n"/>
      <c r="N86" s="29" t="n"/>
      <c r="O86" s="31" t="n"/>
    </row>
    <row r="87" ht="15" customHeight="1" s="16">
      <c r="A87" s="26" t="n">
        <v>86</v>
      </c>
      <c r="B87" s="26" t="n">
        <v>25</v>
      </c>
      <c r="C87" s="26" t="n">
        <v>21</v>
      </c>
      <c r="D87" s="27" t="inlineStr">
        <is>
          <t>汝復賣眼</t>
        </is>
      </c>
      <c r="E87" s="28" t="inlineStr">
        <is>
          <t>又未知幾物見失</t>
        </is>
      </c>
      <c r="F87" s="27" t="inlineStr">
        <is>
          <t>張福閔然搔首曰</t>
        </is>
      </c>
      <c r="G87" s="26" t="n"/>
      <c r="H87" s="29" t="n"/>
      <c r="I87" s="30" t="n"/>
      <c r="J87" s="30" t="n"/>
      <c r="K87" s="30" t="n"/>
      <c r="L87" s="30" t="n"/>
      <c r="M87" s="31" t="n"/>
      <c r="N87" s="29" t="n"/>
      <c r="O87" s="31" t="n"/>
    </row>
    <row r="88" ht="15" customHeight="1" s="16">
      <c r="A88" s="26" t="n">
        <v>87</v>
      </c>
      <c r="B88" s="26" t="n">
        <v>27</v>
      </c>
      <c r="C88" s="26" t="n">
        <v>60</v>
      </c>
      <c r="D88" s="27" t="inlineStr">
        <is>
          <t>美鬚髯衣服鮮麗</t>
        </is>
      </c>
      <c r="E88" s="28" t="inlineStr">
        <is>
          <t>前抱得龍腰曰</t>
        </is>
      </c>
      <c r="F88" s="27" t="inlineStr">
        <is>
          <t>請大哥息怒</t>
        </is>
      </c>
      <c r="G88" s="26" t="n"/>
      <c r="H88" s="29" t="n"/>
      <c r="I88" s="30" t="n"/>
      <c r="J88" s="30" t="n"/>
      <c r="K88" s="30" t="n"/>
      <c r="L88" s="30" t="n"/>
      <c r="M88" s="31" t="n"/>
      <c r="N88" s="29" t="n"/>
      <c r="O88" s="31" t="n"/>
    </row>
    <row r="89" ht="15" customHeight="1" s="16">
      <c r="A89" s="26" t="n">
        <v>88</v>
      </c>
      <c r="B89" s="26" t="n">
        <v>27</v>
      </c>
      <c r="C89" s="26" t="n">
        <v>61</v>
      </c>
      <c r="D89" s="27" t="inlineStr">
        <is>
          <t>前抱得龍腰曰</t>
        </is>
      </c>
      <c r="E89" s="32" t="inlineStr">
        <is>
          <t>請大哥息怒</t>
        </is>
      </c>
      <c r="F89" s="27" t="inlineStr">
        <is>
          <t>得龍回</t>
        </is>
      </c>
      <c r="G89" s="26" t="inlineStr">
        <is>
          <t>●</t>
        </is>
      </c>
      <c r="H89" s="29" t="n"/>
      <c r="I89" s="30" t="n"/>
      <c r="J89" s="30" t="n"/>
      <c r="K89" s="30" t="n"/>
      <c r="L89" s="30" t="n"/>
      <c r="M89" s="31" t="n"/>
      <c r="N89" s="29" t="n"/>
      <c r="O89" s="31" t="n"/>
    </row>
    <row r="90" ht="15" customHeight="1" s="16">
      <c r="A90" s="26" t="n">
        <v>89</v>
      </c>
      <c r="B90" s="26" t="n">
        <v>27</v>
      </c>
      <c r="C90" s="26" t="n">
        <v>62</v>
      </c>
      <c r="D90" s="27" t="inlineStr">
        <is>
          <t>請大哥息怒</t>
        </is>
      </c>
      <c r="E90" s="28" t="inlineStr">
        <is>
          <t>得龍回</t>
        </is>
      </c>
      <c r="F90" s="27" t="inlineStr">
        <is>
          <t>怒作哂曰</t>
        </is>
      </c>
      <c r="G90" s="26" t="n"/>
      <c r="H90" s="29" t="n"/>
      <c r="I90" s="30" t="n"/>
      <c r="J90" s="30" t="n"/>
      <c r="K90" s="30" t="n"/>
      <c r="L90" s="30" t="n"/>
      <c r="M90" s="31" t="n"/>
      <c r="N90" s="29" t="n"/>
      <c r="O90" s="31" t="n"/>
    </row>
    <row r="91" ht="15" customHeight="1" s="16">
      <c r="A91" s="26" t="n">
        <v>90</v>
      </c>
      <c r="B91" s="26" t="n">
        <v>27</v>
      </c>
      <c r="C91" s="26" t="n">
        <v>90</v>
      </c>
      <c r="D91" s="27" t="inlineStr">
        <is>
          <t>鳳城將軍二員</t>
        </is>
      </c>
      <c r="E91" s="28" t="inlineStr">
        <is>
          <t>主客司一員</t>
        </is>
      </c>
      <c r="F91" s="27" t="inlineStr">
        <is>
          <t>稅官一員</t>
        </is>
      </c>
      <c r="G91" s="26" t="n"/>
      <c r="H91" s="29" t="n"/>
      <c r="I91" s="30" t="n"/>
      <c r="J91" s="30" t="n"/>
      <c r="K91" s="30" t="n"/>
      <c r="L91" s="30" t="n"/>
      <c r="M91" s="31" t="n"/>
      <c r="N91" s="29" t="n"/>
      <c r="O91" s="31" t="n"/>
    </row>
    <row r="92" ht="15" customHeight="1" s="16">
      <c r="A92" s="26" t="n">
        <v>91</v>
      </c>
      <c r="B92" s="26" t="n">
        <v>27</v>
      </c>
      <c r="C92" s="26" t="n">
        <v>91</v>
      </c>
      <c r="D92" s="27" t="inlineStr">
        <is>
          <t>主客司一員</t>
        </is>
      </c>
      <c r="E92" s="32" t="inlineStr">
        <is>
          <t>稅官一員</t>
        </is>
      </c>
      <c r="F92" s="27" t="inlineStr">
        <is>
          <t>御史一員</t>
        </is>
      </c>
      <c r="G92" s="26" t="inlineStr">
        <is>
          <t>●</t>
        </is>
      </c>
      <c r="H92" s="29" t="n"/>
      <c r="I92" s="30" t="n"/>
      <c r="J92" s="30" t="n"/>
      <c r="K92" s="30" t="n"/>
      <c r="L92" s="30" t="n"/>
      <c r="M92" s="31" t="n"/>
      <c r="N92" s="29" t="n"/>
      <c r="O92" s="31" t="n"/>
    </row>
    <row r="93" ht="15" customHeight="1" s="16">
      <c r="A93" s="26" t="n">
        <v>92</v>
      </c>
      <c r="B93" s="26" t="n">
        <v>27</v>
      </c>
      <c r="C93" s="26" t="n">
        <v>92</v>
      </c>
      <c r="D93" s="27" t="inlineStr">
        <is>
          <t>稅官一員</t>
        </is>
      </c>
      <c r="E93" s="28" t="inlineStr">
        <is>
          <t>御史一員</t>
        </is>
      </c>
      <c r="F93" s="27" t="inlineStr">
        <is>
          <t>滿洲章京八人</t>
        </is>
      </c>
      <c r="G93" s="26" t="n"/>
      <c r="H93" s="29" t="n"/>
      <c r="I93" s="30" t="n"/>
      <c r="J93" s="30" t="n"/>
      <c r="K93" s="30" t="n"/>
      <c r="L93" s="30" t="n"/>
      <c r="M93" s="31" t="n"/>
      <c r="N93" s="29" t="n"/>
      <c r="O93" s="31" t="n"/>
    </row>
    <row r="94" ht="15" customHeight="1" s="16">
      <c r="A94" s="26" t="n">
        <v>93</v>
      </c>
      <c r="B94" s="26" t="n">
        <v>27</v>
      </c>
      <c r="C94" s="26" t="n">
        <v>100</v>
      </c>
      <c r="D94" s="27" t="inlineStr">
        <is>
          <t>加出博氏</t>
        </is>
      </c>
      <c r="E94" s="28" t="inlineStr">
        <is>
          <t>一人</t>
        </is>
      </c>
      <c r="F94" s="27" t="inlineStr">
        <is>
          <t>稅官博氏一人</t>
        </is>
      </c>
      <c r="G94" s="26" t="n"/>
      <c r="H94" s="29" t="n"/>
      <c r="I94" s="30" t="n"/>
      <c r="J94" s="30" t="n"/>
      <c r="K94" s="30" t="n"/>
      <c r="L94" s="30" t="n"/>
      <c r="M94" s="31" t="n"/>
      <c r="N94" s="29" t="n"/>
      <c r="O94" s="31" t="n"/>
    </row>
    <row r="95" ht="15" customHeight="1" s="16">
      <c r="A95" s="26" t="n">
        <v>94</v>
      </c>
      <c r="B95" s="26" t="n">
        <v>27</v>
      </c>
      <c r="C95" s="26" t="n">
        <v>101</v>
      </c>
      <c r="D95" s="27" t="inlineStr">
        <is>
          <t>一人</t>
        </is>
      </c>
      <c r="E95" s="32" t="inlineStr">
        <is>
          <t>稅官博氏一人</t>
        </is>
      </c>
      <c r="F95" s="27" t="inlineStr">
        <is>
          <t>外郞一人</t>
        </is>
      </c>
      <c r="G95" s="26" t="inlineStr">
        <is>
          <t>●</t>
        </is>
      </c>
      <c r="H95" s="29" t="n"/>
      <c r="I95" s="30" t="n"/>
      <c r="J95" s="30" t="n"/>
      <c r="K95" s="30" t="n"/>
      <c r="L95" s="30" t="n"/>
      <c r="M95" s="31" t="n"/>
      <c r="N95" s="29" t="n"/>
      <c r="O95" s="31" t="n"/>
    </row>
    <row r="96" ht="15" customHeight="1" s="16">
      <c r="A96" s="26" t="n">
        <v>95</v>
      </c>
      <c r="B96" s="26" t="n">
        <v>27</v>
      </c>
      <c r="C96" s="26" t="n">
        <v>102</v>
      </c>
      <c r="D96" s="27" t="inlineStr">
        <is>
          <t>稅官博氏一人</t>
        </is>
      </c>
      <c r="E96" s="28" t="inlineStr">
        <is>
          <t>外郞一人</t>
        </is>
      </c>
      <c r="F96" s="27" t="inlineStr">
        <is>
          <t>衙譯二人</t>
        </is>
      </c>
      <c r="G96" s="26" t="n"/>
      <c r="H96" s="29" t="n"/>
      <c r="I96" s="30" t="n"/>
      <c r="J96" s="30" t="n"/>
      <c r="K96" s="30" t="n"/>
      <c r="L96" s="30" t="n"/>
      <c r="M96" s="31" t="n"/>
      <c r="N96" s="29" t="n"/>
      <c r="O96" s="31" t="n"/>
    </row>
    <row r="97" ht="15" customHeight="1" s="16">
      <c r="A97" s="26" t="n">
        <v>96</v>
      </c>
      <c r="B97" s="26" t="n">
        <v>27</v>
      </c>
      <c r="C97" s="26" t="n">
        <v>106</v>
      </c>
      <c r="D97" s="27" t="inlineStr">
        <is>
          <t>甫古十七人</t>
        </is>
      </c>
      <c r="E97" s="28" t="inlineStr">
        <is>
          <t>加出甫古七人</t>
        </is>
      </c>
      <c r="F97" s="27" t="inlineStr">
        <is>
          <t>稅官甫古二人</t>
        </is>
      </c>
      <c r="G97" s="26" t="n"/>
      <c r="H97" s="29" t="n"/>
      <c r="I97" s="30" t="n"/>
      <c r="J97" s="30" t="n"/>
      <c r="K97" s="30" t="n"/>
      <c r="L97" s="30" t="n"/>
      <c r="M97" s="31" t="n"/>
      <c r="N97" s="29" t="n"/>
      <c r="O97" s="31" t="n"/>
    </row>
    <row r="98" ht="15" customHeight="1" s="16">
      <c r="A98" s="26" t="n">
        <v>97</v>
      </c>
      <c r="B98" s="26" t="n">
        <v>27</v>
      </c>
      <c r="C98" s="26" t="n">
        <v>107</v>
      </c>
      <c r="D98" s="27" t="inlineStr">
        <is>
          <t>加出甫古七人</t>
        </is>
      </c>
      <c r="E98" s="32" t="inlineStr">
        <is>
          <t>稅官甫古二人</t>
        </is>
      </c>
      <c r="F98" s="27" t="inlineStr">
        <is>
          <t>分頭甫古九人</t>
        </is>
      </c>
      <c r="G98" s="26" t="inlineStr">
        <is>
          <t>●</t>
        </is>
      </c>
      <c r="H98" s="29" t="n"/>
      <c r="I98" s="30" t="n"/>
      <c r="J98" s="30" t="n"/>
      <c r="K98" s="30" t="n"/>
      <c r="L98" s="30" t="n"/>
      <c r="M98" s="31" t="n"/>
      <c r="N98" s="29" t="n"/>
      <c r="O98" s="31" t="n"/>
    </row>
    <row r="99" ht="15" customHeight="1" s="16">
      <c r="A99" s="26" t="n">
        <v>98</v>
      </c>
      <c r="B99" s="26" t="n">
        <v>27</v>
      </c>
      <c r="C99" s="26" t="n">
        <v>108</v>
      </c>
      <c r="D99" s="27" t="inlineStr">
        <is>
          <t>稅官甫古二人</t>
        </is>
      </c>
      <c r="E99" s="28" t="inlineStr">
        <is>
          <t>分頭甫古九人</t>
        </is>
      </c>
      <c r="F99" s="27" t="inlineStr">
        <is>
          <t>甲軍五十名</t>
        </is>
      </c>
      <c r="G99" s="26" t="n"/>
      <c r="H99" s="29" t="n"/>
      <c r="I99" s="30" t="n"/>
      <c r="J99" s="30" t="n"/>
      <c r="K99" s="30" t="n"/>
      <c r="L99" s="30" t="n"/>
      <c r="M99" s="31" t="n"/>
      <c r="N99" s="29" t="n"/>
      <c r="O99" s="31" t="n"/>
    </row>
    <row r="100" ht="15" customHeight="1" s="16">
      <c r="A100" s="26" t="n">
        <v>99</v>
      </c>
      <c r="B100" s="26" t="n">
        <v>27</v>
      </c>
      <c r="C100" s="26" t="n">
        <v>110</v>
      </c>
      <c r="D100" s="27" t="inlineStr">
        <is>
          <t>甲軍五十名</t>
        </is>
      </c>
      <c r="E100" s="28" t="inlineStr">
        <is>
          <t>加出甲軍三十六名</t>
        </is>
      </c>
      <c r="F100" s="27" t="inlineStr">
        <is>
          <t>稅官甲軍十六名</t>
        </is>
      </c>
      <c r="G100" s="26" t="n"/>
      <c r="H100" s="29" t="n"/>
      <c r="I100" s="30" t="n"/>
      <c r="J100" s="30" t="n"/>
      <c r="K100" s="30" t="n"/>
      <c r="L100" s="30" t="n"/>
      <c r="M100" s="31" t="n"/>
      <c r="N100" s="29" t="n"/>
      <c r="O100" s="31" t="n"/>
    </row>
    <row r="101" ht="15" customHeight="1" s="16">
      <c r="A101" s="26" t="n">
        <v>100</v>
      </c>
      <c r="B101" s="26" t="n">
        <v>27</v>
      </c>
      <c r="C101" s="26" t="n">
        <v>111</v>
      </c>
      <c r="D101" s="27" t="inlineStr">
        <is>
          <t>加出甲軍三十六名</t>
        </is>
      </c>
      <c r="E101" s="32" t="inlineStr">
        <is>
          <t>稅官甲軍十六名</t>
        </is>
      </c>
      <c r="F101" s="27" t="inlineStr">
        <is>
          <t>合一百二人</t>
        </is>
      </c>
      <c r="G101" s="26" t="inlineStr">
        <is>
          <t>●</t>
        </is>
      </c>
      <c r="H101" s="29" t="n"/>
      <c r="I101" s="30" t="n"/>
      <c r="J101" s="30" t="n"/>
      <c r="K101" s="30" t="n"/>
      <c r="L101" s="30" t="n"/>
      <c r="M101" s="31" t="n"/>
      <c r="N101" s="29" t="n"/>
      <c r="O101" s="31" t="n"/>
    </row>
    <row r="102" ht="15" customHeight="1" s="16">
      <c r="A102" s="26" t="n">
        <v>101</v>
      </c>
      <c r="B102" s="26" t="n">
        <v>27</v>
      </c>
      <c r="C102" s="26" t="n">
        <v>112</v>
      </c>
      <c r="D102" s="27" t="inlineStr">
        <is>
          <t>稅官甲軍十六名</t>
        </is>
      </c>
      <c r="E102" s="28" t="inlineStr">
        <is>
          <t>合一百二人</t>
        </is>
      </c>
      <c r="F102" s="27" t="inlineStr">
        <is>
          <t>分給壯紙一百五十六</t>
        </is>
      </c>
      <c r="G102" s="26" t="n"/>
      <c r="H102" s="29" t="n"/>
      <c r="I102" s="30" t="n"/>
      <c r="J102" s="30" t="n"/>
      <c r="K102" s="30" t="n"/>
      <c r="L102" s="30" t="n"/>
      <c r="M102" s="31" t="n"/>
      <c r="N102" s="29" t="n"/>
      <c r="O102" s="31" t="n"/>
    </row>
    <row r="103" ht="15" customHeight="1" s="16">
      <c r="A103" s="26" t="n">
        <v>102</v>
      </c>
      <c r="B103" s="26" t="n">
        <v>27</v>
      </c>
      <c r="C103" s="26" t="n">
        <v>120</v>
      </c>
      <c r="D103" s="27" t="inlineStr">
        <is>
          <t>細烟竹七十四箇</t>
        </is>
      </c>
      <c r="E103" s="28" t="inlineStr">
        <is>
          <t>八面</t>
        </is>
      </c>
      <c r="F103" s="27" t="inlineStr">
        <is>
          <t>銀項烟竹七十四箇</t>
        </is>
      </c>
      <c r="G103" s="26" t="n"/>
      <c r="H103" s="29" t="n"/>
      <c r="I103" s="30" t="n"/>
      <c r="J103" s="30" t="n"/>
      <c r="K103" s="30" t="n"/>
      <c r="L103" s="30" t="n"/>
      <c r="M103" s="31" t="n"/>
      <c r="N103" s="29" t="n"/>
      <c r="O103" s="31" t="n"/>
    </row>
    <row r="104" ht="15" customHeight="1" s="16">
      <c r="A104" s="26" t="n">
        <v>103</v>
      </c>
      <c r="B104" s="26" t="n">
        <v>27</v>
      </c>
      <c r="C104" s="26" t="n">
        <v>121</v>
      </c>
      <c r="D104" s="27" t="inlineStr">
        <is>
          <t>八面</t>
        </is>
      </c>
      <c r="E104" s="32" t="inlineStr">
        <is>
          <t>銀項烟竹七十四箇</t>
        </is>
      </c>
      <c r="F104" s="27" t="inlineStr">
        <is>
          <t>錫粧刀三十七柄</t>
        </is>
      </c>
      <c r="G104" s="26" t="inlineStr">
        <is>
          <t>●</t>
        </is>
      </c>
      <c r="H104" s="29" t="n"/>
      <c r="I104" s="30" t="n"/>
      <c r="J104" s="30" t="n"/>
      <c r="K104" s="30" t="n"/>
      <c r="L104" s="30" t="n"/>
      <c r="M104" s="31" t="n"/>
      <c r="N104" s="29" t="n"/>
      <c r="O104" s="31" t="n"/>
    </row>
    <row r="105" ht="15" customHeight="1" s="16">
      <c r="A105" s="26" t="n">
        <v>104</v>
      </c>
      <c r="B105" s="26" t="n">
        <v>27</v>
      </c>
      <c r="C105" s="26" t="n">
        <v>122</v>
      </c>
      <c r="D105" s="27" t="inlineStr">
        <is>
          <t>銀項烟竹七十四箇</t>
        </is>
      </c>
      <c r="E105" s="28" t="inlineStr">
        <is>
          <t>錫粧刀三十七柄</t>
        </is>
      </c>
      <c r="F105" s="27" t="inlineStr">
        <is>
          <t>鞘刀二百八十四柄</t>
        </is>
      </c>
      <c r="G105" s="26" t="n"/>
      <c r="H105" s="29" t="n"/>
      <c r="I105" s="30" t="n"/>
      <c r="J105" s="30" t="n"/>
      <c r="K105" s="30" t="n"/>
      <c r="L105" s="30" t="n"/>
      <c r="M105" s="31" t="n"/>
      <c r="N105" s="29" t="n"/>
      <c r="O105" s="31" t="n"/>
    </row>
    <row r="106" ht="15" customHeight="1" s="16">
      <c r="A106" s="26" t="n">
        <v>105</v>
      </c>
      <c r="B106" s="26" t="n">
        <v>27</v>
      </c>
      <c r="C106" s="26" t="n">
        <v>129</v>
      </c>
      <c r="D106" s="27" t="inlineStr">
        <is>
          <t>七部</t>
        </is>
      </c>
      <c r="E106" s="28" t="inlineStr">
        <is>
          <t>環刀七把</t>
        </is>
      </c>
      <c r="F106" s="27" t="inlineStr">
        <is>
          <t>銀粧刀七柄</t>
        </is>
      </c>
      <c r="G106" s="26" t="n"/>
      <c r="H106" s="29" t="n"/>
      <c r="I106" s="30" t="n"/>
      <c r="J106" s="30" t="n"/>
      <c r="K106" s="30" t="n"/>
      <c r="L106" s="30" t="n"/>
      <c r="M106" s="31" t="n"/>
      <c r="N106" s="29" t="n"/>
      <c r="O106" s="31" t="n"/>
    </row>
    <row r="107" ht="15" customHeight="1" s="16">
      <c r="A107" s="26" t="n">
        <v>106</v>
      </c>
      <c r="B107" s="26" t="n">
        <v>27</v>
      </c>
      <c r="C107" s="26" t="n">
        <v>130</v>
      </c>
      <c r="D107" s="27" t="inlineStr">
        <is>
          <t>環刀七把</t>
        </is>
      </c>
      <c r="E107" s="32" t="inlineStr">
        <is>
          <t>銀粧刀七柄</t>
        </is>
      </c>
      <c r="F107" s="27" t="inlineStr">
        <is>
          <t>銀烟竹七箇</t>
        </is>
      </c>
      <c r="G107" s="26" t="inlineStr">
        <is>
          <t>●</t>
        </is>
      </c>
      <c r="H107" s="29" t="n"/>
      <c r="I107" s="30" t="n"/>
      <c r="J107" s="30" t="n"/>
      <c r="K107" s="30" t="n"/>
      <c r="L107" s="30" t="n"/>
      <c r="M107" s="31" t="n"/>
      <c r="N107" s="29" t="n"/>
      <c r="O107" s="31" t="n"/>
    </row>
    <row r="108" ht="15" customHeight="1" s="16">
      <c r="A108" s="26" t="n">
        <v>107</v>
      </c>
      <c r="B108" s="26" t="n">
        <v>27</v>
      </c>
      <c r="C108" s="26" t="n">
        <v>131</v>
      </c>
      <c r="D108" s="27" t="inlineStr">
        <is>
          <t>銀粧刀七柄</t>
        </is>
      </c>
      <c r="E108" s="32" t="inlineStr">
        <is>
          <t>銀烟竹七箇</t>
        </is>
      </c>
      <c r="F108" s="27" t="inlineStr">
        <is>
          <t>錫長烟竹四十二箇</t>
        </is>
      </c>
      <c r="G108" s="26" t="inlineStr">
        <is>
          <t>●</t>
        </is>
      </c>
      <c r="H108" s="29" t="n"/>
      <c r="I108" s="30" t="n"/>
      <c r="J108" s="30" t="n"/>
      <c r="K108" s="30" t="n"/>
      <c r="L108" s="30" t="n"/>
      <c r="M108" s="31" t="n"/>
      <c r="N108" s="29" t="n"/>
      <c r="O108" s="31" t="n"/>
    </row>
    <row r="109" ht="15" customHeight="1" s="16">
      <c r="A109" s="26" t="n">
        <v>108</v>
      </c>
      <c r="B109" s="26" t="n">
        <v>27</v>
      </c>
      <c r="C109" s="26" t="n">
        <v>132</v>
      </c>
      <c r="D109" s="27" t="inlineStr">
        <is>
          <t>銀烟竹七箇</t>
        </is>
      </c>
      <c r="E109" s="28" t="inlineStr">
        <is>
          <t>錫長烟竹四十二箇</t>
        </is>
      </c>
      <c r="F109" s="27" t="inlineStr">
        <is>
          <t>筆四十枝</t>
        </is>
      </c>
      <c r="G109" s="26" t="n"/>
      <c r="H109" s="29" t="n"/>
      <c r="I109" s="30" t="n"/>
      <c r="J109" s="30" t="n"/>
      <c r="K109" s="30" t="n"/>
      <c r="L109" s="30" t="n"/>
      <c r="M109" s="31" t="n"/>
      <c r="N109" s="29" t="n"/>
      <c r="O109" s="31" t="n"/>
    </row>
    <row r="110" ht="15" customHeight="1" s="16">
      <c r="A110" s="26" t="n">
        <v>109</v>
      </c>
      <c r="B110" s="26" t="n">
        <v>27</v>
      </c>
      <c r="C110" s="26" t="n">
        <v>158</v>
      </c>
      <c r="D110" s="27" t="inlineStr">
        <is>
          <t>軍牢跪告曰</t>
        </is>
      </c>
      <c r="E110" s="28" t="inlineStr">
        <is>
          <t>門上御史</t>
        </is>
      </c>
      <c r="F110" s="27" t="inlineStr">
        <is>
          <t>鳳城將軍出坐收稅廳</t>
        </is>
      </c>
      <c r="G110" s="26" t="n"/>
      <c r="H110" s="29" t="n"/>
      <c r="I110" s="30" t="n"/>
      <c r="J110" s="30" t="n"/>
      <c r="K110" s="30" t="n"/>
      <c r="L110" s="30" t="n"/>
      <c r="M110" s="31" t="n"/>
      <c r="N110" s="29" t="n"/>
      <c r="O110" s="31" t="n"/>
    </row>
    <row r="111" ht="15" customHeight="1" s="16">
      <c r="A111" s="26" t="n">
        <v>110</v>
      </c>
      <c r="B111" s="26" t="n">
        <v>27</v>
      </c>
      <c r="C111" s="26" t="n">
        <v>159</v>
      </c>
      <c r="D111" s="27" t="inlineStr">
        <is>
          <t>門上御史</t>
        </is>
      </c>
      <c r="E111" s="32" t="inlineStr">
        <is>
          <t>鳳城將軍出坐收稅廳</t>
        </is>
      </c>
      <c r="F111" s="27" t="inlineStr">
        <is>
          <t>於是三使</t>
        </is>
      </c>
      <c r="G111" s="26" t="inlineStr">
        <is>
          <t>●</t>
        </is>
      </c>
      <c r="H111" s="29" t="n"/>
      <c r="I111" s="30" t="n"/>
      <c r="J111" s="30" t="n"/>
      <c r="K111" s="30" t="n"/>
      <c r="L111" s="30" t="n"/>
      <c r="M111" s="31" t="n"/>
      <c r="N111" s="29" t="n"/>
      <c r="O111" s="31" t="n"/>
    </row>
    <row r="112" ht="15" customHeight="1" s="16">
      <c r="A112" s="26" t="n">
        <v>111</v>
      </c>
      <c r="B112" s="26" t="n">
        <v>27</v>
      </c>
      <c r="C112" s="26" t="n">
        <v>160</v>
      </c>
      <c r="D112" s="27" t="inlineStr">
        <is>
          <t>鳳城將軍出坐收稅廳</t>
        </is>
      </c>
      <c r="E112" s="28" t="inlineStr">
        <is>
          <t>於是三使</t>
        </is>
      </c>
      <c r="F112" s="27" t="inlineStr">
        <is>
          <t>次第入柵</t>
        </is>
      </c>
      <c r="G112" s="26" t="n"/>
      <c r="H112" s="29" t="n"/>
      <c r="I112" s="30" t="n"/>
      <c r="J112" s="30" t="n"/>
      <c r="K112" s="30" t="n"/>
      <c r="L112" s="30" t="n"/>
      <c r="M112" s="31" t="n"/>
      <c r="N112" s="29" t="n"/>
      <c r="O112" s="31" t="n"/>
    </row>
    <row r="113" ht="15" customHeight="1" s="16">
      <c r="A113" s="26" t="n">
        <v>112</v>
      </c>
      <c r="B113" s="26" t="n">
        <v>27</v>
      </c>
      <c r="C113" s="26" t="n">
        <v>164</v>
      </c>
      <c r="D113" s="27" t="inlineStr">
        <is>
          <t>一入此門</t>
        </is>
      </c>
      <c r="E113" s="28" t="inlineStr">
        <is>
          <t>則中土也</t>
        </is>
      </c>
      <c r="F113" s="27" t="inlineStr">
        <is>
          <t>鄕園消息</t>
        </is>
      </c>
      <c r="G113" s="26" t="n"/>
      <c r="H113" s="29" t="n"/>
      <c r="I113" s="30" t="n"/>
      <c r="J113" s="30" t="n"/>
      <c r="K113" s="30" t="n"/>
      <c r="L113" s="30" t="n"/>
      <c r="M113" s="31" t="n"/>
      <c r="N113" s="29" t="n"/>
      <c r="O113" s="31" t="n"/>
    </row>
    <row r="114" ht="15" customHeight="1" s="16">
      <c r="A114" s="26" t="n">
        <v>113</v>
      </c>
      <c r="B114" s="26" t="n">
        <v>27</v>
      </c>
      <c r="C114" s="26" t="n">
        <v>165</v>
      </c>
      <c r="D114" s="27" t="inlineStr">
        <is>
          <t>則中土也</t>
        </is>
      </c>
      <c r="E114" s="32" t="inlineStr">
        <is>
          <t>鄕園消息</t>
        </is>
      </c>
      <c r="F114" s="27" t="inlineStr">
        <is>
          <t>從此絶矣</t>
        </is>
      </c>
      <c r="G114" s="26" t="inlineStr">
        <is>
          <t>●</t>
        </is>
      </c>
      <c r="H114" s="29" t="n"/>
      <c r="I114" s="30" t="n"/>
      <c r="J114" s="30" t="n"/>
      <c r="K114" s="30" t="n"/>
      <c r="L114" s="30" t="n"/>
      <c r="M114" s="31" t="n"/>
      <c r="N114" s="29" t="n"/>
      <c r="O114" s="31" t="n"/>
    </row>
    <row r="115" ht="15" customHeight="1" s="16">
      <c r="A115" s="26" t="n">
        <v>114</v>
      </c>
      <c r="B115" s="26" t="n">
        <v>27</v>
      </c>
      <c r="C115" s="26" t="n">
        <v>166</v>
      </c>
      <c r="D115" s="27" t="inlineStr">
        <is>
          <t>鄕園消息</t>
        </is>
      </c>
      <c r="E115" s="28" t="inlineStr">
        <is>
          <t>從此絶矣</t>
        </is>
      </c>
      <c r="F115" s="27" t="inlineStr">
        <is>
          <t>悵然東面而立良久</t>
        </is>
      </c>
      <c r="G115" s="26" t="n"/>
      <c r="H115" s="29" t="n"/>
      <c r="I115" s="30" t="n"/>
      <c r="J115" s="30" t="n"/>
      <c r="K115" s="30" t="n"/>
      <c r="L115" s="30" t="n"/>
      <c r="M115" s="31" t="n"/>
      <c r="N115" s="29" t="n"/>
      <c r="O115" s="31" t="n"/>
    </row>
    <row r="116" ht="15" customHeight="1" s="16">
      <c r="A116" s="26" t="n">
        <v>115</v>
      </c>
      <c r="B116" s="26" t="n">
        <v>29</v>
      </c>
      <c r="C116" s="26" t="n">
        <v>12</v>
      </c>
      <c r="D116" s="27" t="inlineStr">
        <is>
          <t>主人大怒指着</t>
        </is>
      </c>
      <c r="E116" s="28" t="inlineStr">
        <is>
          <t>卞君道不解事的官人</t>
        </is>
      </c>
      <c r="F116" s="27" t="inlineStr">
        <is>
          <t>好妨人賣買</t>
        </is>
      </c>
      <c r="G116" s="26" t="n"/>
      <c r="H116" s="29" t="n"/>
      <c r="I116" s="30" t="n"/>
      <c r="J116" s="30" t="n"/>
      <c r="K116" s="30" t="n"/>
      <c r="L116" s="30" t="n"/>
      <c r="M116" s="31" t="n"/>
      <c r="N116" s="29" t="n"/>
      <c r="O116" s="31" t="n"/>
    </row>
    <row r="117" ht="15" customHeight="1" s="16">
      <c r="A117" s="26" t="n">
        <v>116</v>
      </c>
      <c r="B117" s="26" t="n">
        <v>29</v>
      </c>
      <c r="C117" s="26" t="n">
        <v>13</v>
      </c>
      <c r="D117" s="27" t="inlineStr">
        <is>
          <t>卞君道不解事的官人</t>
        </is>
      </c>
      <c r="E117" s="32" t="inlineStr">
        <is>
          <t>好妨人賣買</t>
        </is>
      </c>
      <c r="F117" s="27" t="inlineStr">
        <is>
          <t>戴宗撫其背曰</t>
        </is>
      </c>
      <c r="G117" s="26" t="inlineStr">
        <is>
          <t>●</t>
        </is>
      </c>
      <c r="H117" s="29" t="n"/>
      <c r="I117" s="30" t="n"/>
      <c r="J117" s="30" t="n"/>
      <c r="K117" s="30" t="n"/>
      <c r="L117" s="30" t="n"/>
      <c r="M117" s="31" t="n"/>
      <c r="N117" s="29" t="n"/>
      <c r="O117" s="31" t="n"/>
    </row>
    <row r="118" ht="15" customHeight="1" s="16">
      <c r="A118" s="26" t="n">
        <v>117</v>
      </c>
      <c r="B118" s="26" t="n">
        <v>29</v>
      </c>
      <c r="C118" s="26" t="n">
        <v>14</v>
      </c>
      <c r="D118" s="27" t="inlineStr">
        <is>
          <t>好妨人賣買</t>
        </is>
      </c>
      <c r="E118" s="28" t="inlineStr">
        <is>
          <t>戴宗撫其背曰</t>
        </is>
      </c>
      <c r="F118" s="27" t="inlineStr">
        <is>
          <t>哥哥</t>
        </is>
      </c>
      <c r="G118" s="26" t="n"/>
      <c r="H118" s="29" t="n"/>
      <c r="I118" s="30" t="n"/>
      <c r="J118" s="30" t="n"/>
      <c r="K118" s="30" t="n"/>
      <c r="L118" s="30" t="n"/>
      <c r="M118" s="31" t="n"/>
      <c r="N118" s="29" t="n"/>
      <c r="O118" s="31" t="n"/>
    </row>
    <row r="119" ht="15" customHeight="1" s="16">
      <c r="A119" s="26" t="n">
        <v>118</v>
      </c>
      <c r="B119" s="26" t="n">
        <v>29</v>
      </c>
      <c r="C119" s="26" t="n">
        <v>25</v>
      </c>
      <c r="D119" s="27" t="inlineStr">
        <is>
          <t>來</t>
        </is>
      </c>
      <c r="E119" s="28" t="inlineStr">
        <is>
          <t>已飮的</t>
        </is>
      </c>
      <c r="F119" s="27" t="inlineStr">
        <is>
          <t>計還酒錢</t>
        </is>
      </c>
      <c r="G119" s="26" t="n"/>
      <c r="H119" s="29" t="n"/>
      <c r="I119" s="30" t="n"/>
      <c r="J119" s="30" t="n"/>
      <c r="K119" s="30" t="n"/>
      <c r="L119" s="30" t="n"/>
      <c r="M119" s="31" t="n"/>
      <c r="N119" s="29" t="n"/>
      <c r="O119" s="31" t="n"/>
    </row>
    <row r="120" ht="15" customHeight="1" s="16">
      <c r="A120" s="26" t="n">
        <v>119</v>
      </c>
      <c r="B120" s="26" t="n">
        <v>29</v>
      </c>
      <c r="C120" s="26" t="n">
        <v>26</v>
      </c>
      <c r="D120" s="27" t="inlineStr">
        <is>
          <t>已飮的</t>
        </is>
      </c>
      <c r="E120" s="32" t="inlineStr">
        <is>
          <t>計還酒錢</t>
        </is>
      </c>
      <c r="F120" s="27" t="inlineStr">
        <is>
          <t>未飮的暢襟快飮</t>
        </is>
      </c>
      <c r="G120" s="26" t="inlineStr">
        <is>
          <t>●</t>
        </is>
      </c>
      <c r="H120" s="29" t="n"/>
      <c r="I120" s="30" t="n"/>
      <c r="J120" s="30" t="n"/>
      <c r="K120" s="30" t="n"/>
      <c r="L120" s="30" t="n"/>
      <c r="M120" s="31" t="n"/>
      <c r="N120" s="29" t="n"/>
      <c r="O120" s="31" t="n"/>
    </row>
    <row r="121" ht="15" customHeight="1" s="16">
      <c r="A121" s="26" t="n">
        <v>120</v>
      </c>
      <c r="B121" s="26" t="n">
        <v>29</v>
      </c>
      <c r="C121" s="26" t="n">
        <v>27</v>
      </c>
      <c r="D121" s="27" t="inlineStr">
        <is>
          <t>計還酒錢</t>
        </is>
      </c>
      <c r="E121" s="28" t="inlineStr">
        <is>
          <t>未飮的暢襟快飮</t>
        </is>
      </c>
      <c r="F121" s="27" t="inlineStr">
        <is>
          <t>哥哥放心</t>
        </is>
      </c>
      <c r="G121" s="26" t="n"/>
      <c r="H121" s="29" t="n"/>
      <c r="I121" s="30" t="n"/>
      <c r="J121" s="30" t="n"/>
      <c r="K121" s="30" t="n"/>
      <c r="L121" s="30" t="n"/>
      <c r="M121" s="31" t="n"/>
      <c r="N121" s="29" t="n"/>
      <c r="O121" s="31" t="n"/>
    </row>
    <row r="122" ht="15" customHeight="1" s="16">
      <c r="A122" s="26" t="n">
        <v>121</v>
      </c>
      <c r="B122" s="26" t="n">
        <v>29</v>
      </c>
      <c r="C122" s="26" t="n">
        <v>35</v>
      </c>
      <c r="D122" s="27" t="inlineStr">
        <is>
          <t>這等鬼監魀於鬧攘裡</t>
        </is>
      </c>
      <c r="E122" s="28" t="inlineStr">
        <is>
          <t>都白喫一道烟</t>
        </is>
      </c>
      <c r="F122" s="27" t="inlineStr">
        <is>
          <t>走了罷那地覔酒錢</t>
        </is>
      </c>
      <c r="G122" s="26" t="n"/>
      <c r="H122" s="29" t="n"/>
      <c r="I122" s="30" t="n"/>
      <c r="J122" s="30" t="n"/>
      <c r="K122" s="30" t="n"/>
      <c r="L122" s="30" t="n"/>
      <c r="M122" s="31" t="n"/>
      <c r="N122" s="29" t="n"/>
      <c r="O122" s="31" t="n"/>
    </row>
    <row r="123" ht="15" customHeight="1" s="16">
      <c r="A123" s="26" t="n">
        <v>122</v>
      </c>
      <c r="B123" s="26" t="n">
        <v>29</v>
      </c>
      <c r="C123" s="26" t="n">
        <v>36</v>
      </c>
      <c r="D123" s="27" t="inlineStr">
        <is>
          <t>都白喫一道烟</t>
        </is>
      </c>
      <c r="E123" s="32" t="inlineStr">
        <is>
          <t>走了罷那地覔酒錢</t>
        </is>
      </c>
      <c r="F123" s="27" t="inlineStr">
        <is>
          <t>戴宗曰</t>
        </is>
      </c>
      <c r="G123" s="26" t="inlineStr">
        <is>
          <t>●</t>
        </is>
      </c>
      <c r="H123" s="29" t="n"/>
      <c r="I123" s="30" t="n"/>
      <c r="J123" s="30" t="n"/>
      <c r="K123" s="30" t="n"/>
      <c r="L123" s="30" t="n"/>
      <c r="M123" s="31" t="n"/>
      <c r="N123" s="29" t="n"/>
      <c r="O123" s="31" t="n"/>
    </row>
    <row r="124" ht="15" customHeight="1" s="16">
      <c r="A124" s="26" t="n">
        <v>123</v>
      </c>
      <c r="B124" s="26" t="n">
        <v>29</v>
      </c>
      <c r="C124" s="26" t="n">
        <v>37</v>
      </c>
      <c r="D124" s="27" t="inlineStr">
        <is>
          <t>走了罷那地覔酒錢</t>
        </is>
      </c>
      <c r="E124" s="28" t="inlineStr">
        <is>
          <t>戴宗曰</t>
        </is>
      </c>
      <c r="F124" s="27" t="inlineStr">
        <is>
          <t>哥哥勿慮</t>
        </is>
      </c>
      <c r="G124" s="26" t="n"/>
      <c r="H124" s="29" t="n"/>
      <c r="I124" s="30" t="n"/>
      <c r="J124" s="30" t="n"/>
      <c r="K124" s="30" t="n"/>
      <c r="L124" s="30" t="n"/>
      <c r="M124" s="31" t="n"/>
      <c r="N124" s="29" t="n"/>
      <c r="O124" s="31" t="n"/>
    </row>
    <row r="125" ht="15" customHeight="1" s="16">
      <c r="A125" s="26" t="n">
        <v>124</v>
      </c>
      <c r="B125" s="26" t="n">
        <v>29</v>
      </c>
      <c r="C125" s="26" t="n">
        <v>40</v>
      </c>
      <c r="D125" s="27" t="inlineStr">
        <is>
          <t>兩位老</t>
        </is>
      </c>
      <c r="E125" s="28" t="inlineStr">
        <is>
          <t>爺飮後卽起</t>
        </is>
      </c>
      <c r="F125" s="27" t="inlineStr">
        <is>
          <t>弟當盡驅這廝回店賣買</t>
        </is>
      </c>
      <c r="G125" s="26" t="n"/>
      <c r="H125" s="29" t="n"/>
      <c r="I125" s="30" t="n"/>
      <c r="J125" s="30" t="n"/>
      <c r="K125" s="30" t="n"/>
      <c r="L125" s="30" t="n"/>
      <c r="M125" s="31" t="n"/>
      <c r="N125" s="29" t="n"/>
      <c r="O125" s="31" t="n"/>
    </row>
    <row r="126" ht="15" customHeight="1" s="16">
      <c r="A126" s="26" t="n">
        <v>125</v>
      </c>
      <c r="B126" s="26" t="n">
        <v>29</v>
      </c>
      <c r="C126" s="26" t="n">
        <v>41</v>
      </c>
      <c r="D126" s="27" t="inlineStr">
        <is>
          <t>爺飮後卽起</t>
        </is>
      </c>
      <c r="E126" s="32" t="inlineStr">
        <is>
          <t>弟當盡驅這廝回店賣買</t>
        </is>
      </c>
      <c r="F126" s="27" t="inlineStr">
        <is>
          <t>店主曰</t>
        </is>
      </c>
      <c r="G126" s="26" t="inlineStr">
        <is>
          <t>●</t>
        </is>
      </c>
      <c r="H126" s="29" t="n"/>
      <c r="I126" s="30" t="n"/>
      <c r="J126" s="30" t="n"/>
      <c r="K126" s="30" t="n"/>
      <c r="L126" s="30" t="n"/>
      <c r="M126" s="31" t="n"/>
      <c r="N126" s="29" t="n"/>
      <c r="O126" s="31" t="n"/>
    </row>
    <row r="127" ht="15" customHeight="1" s="16">
      <c r="A127" s="26" t="n">
        <v>126</v>
      </c>
      <c r="B127" s="26" t="n">
        <v>29</v>
      </c>
      <c r="C127" s="26" t="n">
        <v>42</v>
      </c>
      <c r="D127" s="27" t="inlineStr">
        <is>
          <t>弟當盡驅這廝回店賣買</t>
        </is>
      </c>
      <c r="E127" s="28" t="inlineStr">
        <is>
          <t>店主曰</t>
        </is>
      </c>
      <c r="F127" s="27" t="inlineStr">
        <is>
          <t>是也</t>
        </is>
      </c>
      <c r="G127" s="26" t="n"/>
      <c r="H127" s="29" t="n"/>
      <c r="I127" s="30" t="n"/>
      <c r="J127" s="30" t="n"/>
      <c r="K127" s="30" t="n"/>
      <c r="L127" s="30" t="n"/>
      <c r="M127" s="31" t="n"/>
      <c r="N127" s="29" t="n"/>
      <c r="O127" s="31" t="n"/>
    </row>
    <row r="128" ht="15" customHeight="1" s="16">
      <c r="A128" s="26" t="n">
        <v>127</v>
      </c>
      <c r="B128" s="26" t="n">
        <v>29</v>
      </c>
      <c r="C128" s="26" t="n">
        <v>50</v>
      </c>
      <c r="D128" s="27" t="inlineStr">
        <is>
          <t>四兩酒誰盡飮之</t>
        </is>
      </c>
      <c r="E128" s="28" t="inlineStr">
        <is>
          <t>戴宗笑曰</t>
        </is>
      </c>
      <c r="F128" s="27" t="inlineStr">
        <is>
          <t>四兩非酒錢也</t>
        </is>
      </c>
      <c r="G128" s="26" t="n"/>
      <c r="H128" s="29" t="n"/>
      <c r="I128" s="30" t="n"/>
      <c r="J128" s="30" t="n"/>
      <c r="K128" s="30" t="n"/>
      <c r="L128" s="30" t="n"/>
      <c r="M128" s="31" t="n"/>
      <c r="N128" s="29" t="n"/>
      <c r="O128" s="31" t="n"/>
    </row>
    <row r="129" ht="15" customHeight="1" s="16">
      <c r="A129" s="26" t="n">
        <v>128</v>
      </c>
      <c r="B129" s="26" t="n">
        <v>29</v>
      </c>
      <c r="C129" s="26" t="n">
        <v>51</v>
      </c>
      <c r="D129" s="27" t="inlineStr">
        <is>
          <t>戴宗笑曰</t>
        </is>
      </c>
      <c r="E129" s="32" t="inlineStr">
        <is>
          <t>四兩非酒錢也</t>
        </is>
      </c>
      <c r="F129" s="27" t="inlineStr">
        <is>
          <t>乃酒重也</t>
        </is>
      </c>
      <c r="G129" s="26" t="inlineStr">
        <is>
          <t>●</t>
        </is>
      </c>
      <c r="H129" s="29" t="n"/>
      <c r="I129" s="30" t="n"/>
      <c r="J129" s="30" t="n"/>
      <c r="K129" s="30" t="n"/>
      <c r="L129" s="30" t="n"/>
      <c r="M129" s="31" t="n"/>
      <c r="N129" s="29" t="n"/>
      <c r="O129" s="31" t="n"/>
    </row>
    <row r="130" ht="15" customHeight="1" s="16">
      <c r="A130" s="26" t="n">
        <v>129</v>
      </c>
      <c r="B130" s="26" t="n">
        <v>29</v>
      </c>
      <c r="C130" s="26" t="n">
        <v>52</v>
      </c>
      <c r="D130" s="27" t="inlineStr">
        <is>
          <t>四兩非酒錢也</t>
        </is>
      </c>
      <c r="E130" s="28" t="inlineStr">
        <is>
          <t>乃酒重也</t>
        </is>
      </c>
      <c r="F130" s="27" t="inlineStr">
        <is>
          <t>其卓上列置斟器</t>
        </is>
      </c>
      <c r="G130" s="26" t="n"/>
      <c r="H130" s="29" t="n"/>
      <c r="I130" s="30" t="n"/>
      <c r="J130" s="30" t="n"/>
      <c r="K130" s="30" t="n"/>
      <c r="L130" s="30" t="n"/>
      <c r="M130" s="31" t="n"/>
      <c r="N130" s="29" t="n"/>
      <c r="O130" s="31" t="n"/>
    </row>
    <row r="131" ht="15" customHeight="1" s="16">
      <c r="A131" s="26" t="n">
        <v>130</v>
      </c>
      <c r="B131" s="26" t="n">
        <v>29</v>
      </c>
      <c r="C131" s="26" t="n">
        <v>57</v>
      </c>
      <c r="D131" s="27" t="inlineStr">
        <is>
          <t>各有其器</t>
        </is>
      </c>
      <c r="E131" s="28" t="inlineStr">
        <is>
          <t>皆以鍮鑞造觶</t>
        </is>
      </c>
      <c r="F131" s="27" t="inlineStr">
        <is>
          <t>出色似銀</t>
        </is>
      </c>
      <c r="G131" s="26" t="n"/>
      <c r="H131" s="29" t="n"/>
      <c r="I131" s="30" t="n"/>
      <c r="J131" s="30" t="n"/>
      <c r="K131" s="30" t="n"/>
      <c r="L131" s="30" t="n"/>
      <c r="M131" s="31" t="n"/>
      <c r="N131" s="29" t="n"/>
      <c r="O131" s="31" t="n"/>
    </row>
    <row r="132" ht="15" customHeight="1" s="16">
      <c r="A132" s="26" t="n">
        <v>131</v>
      </c>
      <c r="B132" s="26" t="n">
        <v>29</v>
      </c>
      <c r="C132" s="26" t="n">
        <v>58</v>
      </c>
      <c r="D132" s="27" t="inlineStr">
        <is>
          <t>皆以鍮鑞造觶</t>
        </is>
      </c>
      <c r="E132" s="32" t="inlineStr">
        <is>
          <t>出色似銀</t>
        </is>
      </c>
      <c r="F132" s="27" t="inlineStr">
        <is>
          <t>喚四兩酒</t>
        </is>
      </c>
      <c r="G132" s="26" t="inlineStr">
        <is>
          <t>●</t>
        </is>
      </c>
      <c r="H132" s="29" t="n"/>
      <c r="I132" s="30" t="n"/>
      <c r="J132" s="30" t="n"/>
      <c r="K132" s="30" t="n"/>
      <c r="L132" s="30" t="n"/>
      <c r="M132" s="31" t="n"/>
      <c r="N132" s="29" t="n"/>
      <c r="O132" s="31" t="n"/>
    </row>
    <row r="133" ht="15" customHeight="1" s="16">
      <c r="A133" s="26" t="n">
        <v>132</v>
      </c>
      <c r="B133" s="26" t="n">
        <v>29</v>
      </c>
      <c r="C133" s="26" t="n">
        <v>59</v>
      </c>
      <c r="D133" s="27" t="inlineStr">
        <is>
          <t>出色似銀</t>
        </is>
      </c>
      <c r="E133" s="28" t="inlineStr">
        <is>
          <t>喚四兩酒</t>
        </is>
      </c>
      <c r="F133" s="27" t="inlineStr">
        <is>
          <t>則以四兩觶斟來</t>
        </is>
      </c>
      <c r="G133" s="26" t="n"/>
      <c r="H133" s="29" t="n"/>
      <c r="I133" s="30" t="n"/>
      <c r="J133" s="30" t="n"/>
      <c r="K133" s="30" t="n"/>
      <c r="L133" s="30" t="n"/>
      <c r="M133" s="31" t="n"/>
      <c r="N133" s="29" t="n"/>
      <c r="O133" s="31" t="n"/>
    </row>
    <row r="134" ht="29.85" customHeight="1" s="16">
      <c r="A134" s="26" t="n">
        <v>133</v>
      </c>
      <c r="B134" s="26" t="n">
        <v>29</v>
      </c>
      <c r="C134" s="26" t="n">
        <v>76</v>
      </c>
      <c r="D134" s="27" t="inlineStr">
        <is>
          <t>亦皆精麗如畵</t>
        </is>
      </c>
      <c r="E134" s="28" t="inlineStr">
        <is>
          <t>嗟乎</t>
        </is>
      </c>
      <c r="F134" s="27" t="inlineStr">
        <is>
          <t>如此然後始可謂之利用矣</t>
        </is>
      </c>
      <c r="G134" s="26" t="n"/>
      <c r="H134" s="29" t="n"/>
      <c r="I134" s="30" t="n"/>
      <c r="J134" s="30" t="n"/>
      <c r="K134" s="30" t="n"/>
      <c r="L134" s="30" t="n"/>
      <c r="M134" s="31" t="n"/>
      <c r="N134" s="29" t="n"/>
      <c r="O134" s="31" t="n"/>
    </row>
    <row r="135" ht="15" customHeight="1" s="16">
      <c r="A135" s="26" t="n">
        <v>134</v>
      </c>
      <c r="B135" s="26" t="n">
        <v>29</v>
      </c>
      <c r="C135" s="26" t="n">
        <v>77</v>
      </c>
      <c r="D135" s="27" t="inlineStr">
        <is>
          <t>嗟乎</t>
        </is>
      </c>
      <c r="E135" s="32" t="inlineStr">
        <is>
          <t>如此然後始可謂之利用矣</t>
        </is>
      </c>
      <c r="F135" s="27" t="inlineStr">
        <is>
          <t>利用然後可以厚生</t>
        </is>
      </c>
      <c r="G135" s="26" t="inlineStr">
        <is>
          <t>●</t>
        </is>
      </c>
      <c r="H135" s="29" t="n"/>
      <c r="I135" s="30" t="n"/>
      <c r="J135" s="30" t="n"/>
      <c r="K135" s="30" t="n"/>
      <c r="L135" s="30" t="n"/>
      <c r="M135" s="31" t="n"/>
      <c r="N135" s="29" t="n"/>
      <c r="O135" s="31" t="n"/>
    </row>
    <row r="136" ht="29.85" customHeight="1" s="16">
      <c r="A136" s="26" t="n">
        <v>135</v>
      </c>
      <c r="B136" s="26" t="n">
        <v>29</v>
      </c>
      <c r="C136" s="26" t="n">
        <v>78</v>
      </c>
      <c r="D136" s="27" t="inlineStr">
        <is>
          <t>如此然後始可謂之利用矣</t>
        </is>
      </c>
      <c r="E136" s="32" t="inlineStr">
        <is>
          <t>利用然後可以厚生</t>
        </is>
      </c>
      <c r="F136" s="27" t="inlineStr">
        <is>
          <t>厚生然後正其德矣</t>
        </is>
      </c>
      <c r="G136" s="26" t="inlineStr">
        <is>
          <t>●</t>
        </is>
      </c>
      <c r="H136" s="29" t="n"/>
      <c r="I136" s="30" t="n"/>
      <c r="J136" s="30" t="n"/>
      <c r="K136" s="30" t="n"/>
      <c r="L136" s="30" t="n"/>
      <c r="M136" s="31" t="n"/>
      <c r="N136" s="29" t="n"/>
      <c r="O136" s="31" t="n"/>
    </row>
    <row r="137" ht="15" customHeight="1" s="16">
      <c r="A137" s="26" t="n">
        <v>136</v>
      </c>
      <c r="B137" s="26" t="n">
        <v>29</v>
      </c>
      <c r="C137" s="26" t="n">
        <v>79</v>
      </c>
      <c r="D137" s="27" t="inlineStr">
        <is>
          <t>利用然後可以厚生</t>
        </is>
      </c>
      <c r="E137" s="28" t="inlineStr">
        <is>
          <t>厚生然後正其德矣</t>
        </is>
      </c>
      <c r="F137" s="27" t="inlineStr">
        <is>
          <t>不能利其用而能厚其生</t>
        </is>
      </c>
      <c r="G137" s="26" t="n"/>
      <c r="H137" s="29" t="n"/>
      <c r="I137" s="30" t="n"/>
      <c r="J137" s="30" t="n"/>
      <c r="K137" s="30" t="n"/>
      <c r="L137" s="30" t="n"/>
      <c r="M137" s="31" t="n"/>
      <c r="N137" s="29" t="n"/>
      <c r="O137" s="31" t="n"/>
    </row>
    <row r="138" ht="15" customHeight="1" s="16">
      <c r="A138" s="26" t="n">
        <v>137</v>
      </c>
      <c r="B138" s="26" t="n">
        <v>29</v>
      </c>
      <c r="C138" s="26" t="n">
        <v>80</v>
      </c>
      <c r="D138" s="27" t="inlineStr">
        <is>
          <t>厚生然後正其德矣</t>
        </is>
      </c>
      <c r="E138" s="32" t="inlineStr">
        <is>
          <t>不能利其用而能厚其生</t>
        </is>
      </c>
      <c r="F138" s="27" t="inlineStr">
        <is>
          <t>鮮矣</t>
        </is>
      </c>
      <c r="G138" s="26" t="inlineStr">
        <is>
          <t>●</t>
        </is>
      </c>
      <c r="H138" s="29" t="n"/>
      <c r="I138" s="30" t="n"/>
      <c r="J138" s="30" t="n"/>
      <c r="K138" s="30" t="n"/>
      <c r="L138" s="30" t="n"/>
      <c r="M138" s="31" t="n"/>
      <c r="N138" s="29" t="n"/>
      <c r="O138" s="31" t="n"/>
    </row>
    <row r="139" ht="15" customHeight="1" s="16">
      <c r="A139" s="26" t="n">
        <v>138</v>
      </c>
      <c r="B139" s="26" t="n">
        <v>29</v>
      </c>
      <c r="C139" s="26" t="n">
        <v>81</v>
      </c>
      <c r="D139" s="27" t="inlineStr">
        <is>
          <t>不能利其用而能厚其生</t>
        </is>
      </c>
      <c r="E139" s="28" t="inlineStr">
        <is>
          <t>鮮矣</t>
        </is>
      </c>
      <c r="F139" s="27" t="inlineStr">
        <is>
          <t>生旣不足以自厚</t>
        </is>
      </c>
      <c r="G139" s="26" t="n"/>
      <c r="H139" s="29" t="n"/>
      <c r="I139" s="30" t="n"/>
      <c r="J139" s="30" t="n"/>
      <c r="K139" s="30" t="n"/>
      <c r="L139" s="30" t="n"/>
      <c r="M139" s="31" t="n"/>
      <c r="N139" s="29" t="n"/>
      <c r="O139" s="31" t="n"/>
    </row>
    <row r="140" ht="15" customHeight="1" s="16">
      <c r="A140" s="26" t="n">
        <v>139</v>
      </c>
      <c r="B140" s="26" t="n">
        <v>32</v>
      </c>
      <c r="C140" s="26" t="n">
        <v>3</v>
      </c>
      <c r="D140" s="27" t="inlineStr">
        <is>
          <t>皆靑石</t>
        </is>
      </c>
      <c r="E140" s="28" t="inlineStr">
        <is>
          <t>一門上御史善政碑</t>
        </is>
      </c>
      <c r="F140" s="27" t="inlineStr">
        <is>
          <t>一稅官某善政碑</t>
        </is>
      </c>
      <c r="G140" s="26" t="n"/>
      <c r="H140" s="29" t="n"/>
      <c r="I140" s="30" t="n"/>
      <c r="J140" s="30" t="n"/>
      <c r="K140" s="30" t="n"/>
      <c r="L140" s="30" t="n"/>
      <c r="M140" s="31" t="n"/>
      <c r="N140" s="29" t="n"/>
      <c r="O140" s="31" t="n"/>
    </row>
    <row r="141" ht="15" customHeight="1" s="16">
      <c r="A141" s="26" t="n">
        <v>140</v>
      </c>
      <c r="B141" s="26" t="n">
        <v>32</v>
      </c>
      <c r="C141" s="26" t="n">
        <v>4</v>
      </c>
      <c r="D141" s="27" t="inlineStr">
        <is>
          <t>一門上御史善政碑</t>
        </is>
      </c>
      <c r="E141" s="32" t="inlineStr">
        <is>
          <t>一稅官某善政碑</t>
        </is>
      </c>
      <c r="F141" s="27" t="inlineStr">
        <is>
          <t>俱滿州人四字名</t>
        </is>
      </c>
      <c r="G141" s="26" t="inlineStr">
        <is>
          <t>●</t>
        </is>
      </c>
      <c r="H141" s="29" t="n"/>
      <c r="I141" s="30" t="n"/>
      <c r="J141" s="30" t="n"/>
      <c r="K141" s="30" t="n"/>
      <c r="L141" s="30" t="n"/>
      <c r="M141" s="31" t="n"/>
      <c r="N141" s="29" t="n"/>
      <c r="O141" s="31" t="n"/>
    </row>
    <row r="142" ht="15" customHeight="1" s="16">
      <c r="A142" s="26" t="n">
        <v>141</v>
      </c>
      <c r="B142" s="26" t="n">
        <v>32</v>
      </c>
      <c r="C142" s="26" t="n">
        <v>5</v>
      </c>
      <c r="D142" s="27" t="inlineStr">
        <is>
          <t>一稅官某善政碑</t>
        </is>
      </c>
      <c r="E142" s="28" t="inlineStr">
        <is>
          <t>俱滿州人四字名</t>
        </is>
      </c>
      <c r="F142" s="27" t="inlineStr">
        <is>
          <t>撰書者</t>
        </is>
      </c>
      <c r="G142" s="26" t="n"/>
      <c r="H142" s="29" t="n"/>
      <c r="I142" s="30" t="n"/>
      <c r="J142" s="30" t="n"/>
      <c r="K142" s="30" t="n"/>
      <c r="L142" s="30" t="n"/>
      <c r="M142" s="31" t="n"/>
      <c r="N142" s="29" t="n"/>
      <c r="O142" s="31" t="n"/>
    </row>
    <row r="143" ht="15" customHeight="1" s="16">
      <c r="A143" s="26" t="n">
        <v>142</v>
      </c>
      <c r="B143" s="26" t="n">
        <v>35</v>
      </c>
      <c r="C143" s="26" t="n">
        <v>8</v>
      </c>
      <c r="D143" s="27" t="inlineStr">
        <is>
          <t>多不法</t>
        </is>
      </c>
      <c r="E143" s="28" t="inlineStr">
        <is>
          <t>吮朝鮮膏血</t>
        </is>
      </c>
      <c r="F143" s="27" t="inlineStr">
        <is>
          <t>大致富厚</t>
        </is>
      </c>
      <c r="G143" s="26" t="n"/>
      <c r="H143" s="29" t="n"/>
      <c r="I143" s="30" t="n"/>
      <c r="J143" s="30" t="n"/>
      <c r="K143" s="30" t="n"/>
      <c r="L143" s="30" t="n"/>
      <c r="M143" s="31" t="n"/>
      <c r="N143" s="29" t="n"/>
      <c r="O143" s="31" t="n"/>
    </row>
    <row r="144" ht="15" customHeight="1" s="16">
      <c r="A144" s="26" t="n">
        <v>143</v>
      </c>
      <c r="B144" s="26" t="n">
        <v>35</v>
      </c>
      <c r="C144" s="26" t="n">
        <v>9</v>
      </c>
      <c r="D144" s="27" t="inlineStr">
        <is>
          <t>吮朝鮮膏血</t>
        </is>
      </c>
      <c r="E144" s="32" t="inlineStr">
        <is>
          <t>大致富厚</t>
        </is>
      </c>
      <c r="F144" s="27" t="inlineStr">
        <is>
          <t>旣老爲禮部所覺</t>
        </is>
      </c>
      <c r="G144" s="26" t="inlineStr">
        <is>
          <t>●</t>
        </is>
      </c>
      <c r="H144" s="29" t="n"/>
      <c r="I144" s="30" t="n"/>
      <c r="J144" s="30" t="n"/>
      <c r="K144" s="30" t="n"/>
      <c r="L144" s="30" t="n"/>
      <c r="M144" s="31" t="n"/>
      <c r="N144" s="29" t="n"/>
      <c r="O144" s="31" t="n"/>
    </row>
    <row r="145" ht="15" customHeight="1" s="16">
      <c r="A145" s="26" t="n">
        <v>144</v>
      </c>
      <c r="B145" s="26" t="n">
        <v>35</v>
      </c>
      <c r="C145" s="26" t="n">
        <v>10</v>
      </c>
      <c r="D145" s="27" t="inlineStr">
        <is>
          <t>大致富厚</t>
        </is>
      </c>
      <c r="E145" s="28" t="inlineStr">
        <is>
          <t>旣老爲禮部所覺</t>
        </is>
      </c>
      <c r="F145" s="27" t="inlineStr">
        <is>
          <t>家之在皇城者被籍</t>
        </is>
      </c>
      <c r="G145" s="26" t="n"/>
      <c r="H145" s="29" t="n"/>
      <c r="I145" s="30" t="n"/>
      <c r="J145" s="30" t="n"/>
      <c r="K145" s="30" t="n"/>
      <c r="L145" s="30" t="n"/>
      <c r="M145" s="31" t="n"/>
      <c r="N145" s="29" t="n"/>
      <c r="O145" s="31" t="n"/>
    </row>
    <row r="146" ht="15" customHeight="1" s="16">
      <c r="A146" s="26" t="n">
        <v>145</v>
      </c>
      <c r="B146" s="26" t="n">
        <v>35</v>
      </c>
      <c r="C146" s="26" t="n">
        <v>17</v>
      </c>
      <c r="D146" s="27" t="inlineStr">
        <is>
          <t>其對門曰</t>
        </is>
      </c>
      <c r="E146" s="28" t="inlineStr">
        <is>
          <t>文通官家也</t>
        </is>
      </c>
      <c r="F146" s="27" t="inlineStr">
        <is>
          <t>舌本瀏利如誦熟文</t>
        </is>
      </c>
      <c r="G146" s="26" t="n"/>
      <c r="H146" s="29" t="n"/>
      <c r="I146" s="30" t="n"/>
      <c r="J146" s="30" t="n"/>
      <c r="K146" s="30" t="n"/>
      <c r="L146" s="30" t="n"/>
      <c r="M146" s="31" t="n"/>
      <c r="N146" s="29" t="n"/>
      <c r="O146" s="31" t="n"/>
    </row>
    <row r="147" ht="15" customHeight="1" s="16">
      <c r="A147" s="26" t="n">
        <v>146</v>
      </c>
      <c r="B147" s="26" t="n">
        <v>35</v>
      </c>
      <c r="C147" s="26" t="n">
        <v>18</v>
      </c>
      <c r="D147" s="27" t="inlineStr">
        <is>
          <t>文通官家也</t>
        </is>
      </c>
      <c r="E147" s="32" t="inlineStr">
        <is>
          <t>舌本瀏利如誦熟文</t>
        </is>
      </c>
      <c r="F147" s="27" t="inlineStr">
        <is>
          <t>戴宗宣川人也</t>
        </is>
      </c>
      <c r="G147" s="26" t="inlineStr">
        <is>
          <t>●</t>
        </is>
      </c>
      <c r="H147" s="29" t="n"/>
      <c r="I147" s="30" t="n"/>
      <c r="J147" s="30" t="n"/>
      <c r="K147" s="30" t="n"/>
      <c r="L147" s="30" t="n"/>
      <c r="M147" s="31" t="n"/>
      <c r="N147" s="29" t="n"/>
      <c r="O147" s="31" t="n"/>
    </row>
    <row r="148" ht="15" customHeight="1" s="16">
      <c r="A148" s="26" t="n">
        <v>147</v>
      </c>
      <c r="B148" s="26" t="n">
        <v>35</v>
      </c>
      <c r="C148" s="26" t="n">
        <v>19</v>
      </c>
      <c r="D148" s="27" t="inlineStr">
        <is>
          <t>舌本瀏利如誦熟文</t>
        </is>
      </c>
      <c r="E148" s="28" t="inlineStr">
        <is>
          <t>戴宗宣川人也</t>
        </is>
      </c>
      <c r="F148" s="27" t="inlineStr">
        <is>
          <t>已六七入燕云</t>
        </is>
      </c>
      <c r="G148" s="26" t="n"/>
      <c r="H148" s="29" t="n"/>
      <c r="I148" s="30" t="n"/>
      <c r="J148" s="30" t="n"/>
      <c r="K148" s="30" t="n"/>
      <c r="L148" s="30" t="n"/>
      <c r="M148" s="31" t="n"/>
      <c r="N148" s="29" t="n"/>
      <c r="O148" s="31" t="n"/>
    </row>
    <row r="149" ht="15" customHeight="1" s="16">
      <c r="A149" s="26" t="n">
        <v>148</v>
      </c>
      <c r="B149" s="26" t="n">
        <v>40</v>
      </c>
      <c r="C149" s="26" t="n">
        <v>11</v>
      </c>
      <c r="D149" s="27" t="inlineStr">
        <is>
          <t>而不知着在何處</t>
        </is>
      </c>
      <c r="E149" s="28" t="inlineStr">
        <is>
          <t>非但我行區處綽綽有餘</t>
        </is>
      </c>
      <c r="F149" s="27" t="inlineStr">
        <is>
          <t>來商去旅</t>
        </is>
      </c>
      <c r="G149" s="26" t="n"/>
      <c r="H149" s="29" t="n"/>
      <c r="I149" s="30" t="n"/>
      <c r="J149" s="30" t="n"/>
      <c r="K149" s="30" t="n"/>
      <c r="L149" s="30" t="n"/>
      <c r="M149" s="31" t="n"/>
      <c r="N149" s="29" t="n"/>
      <c r="O149" s="31" t="n"/>
    </row>
    <row r="150" ht="15" customHeight="1" s="16">
      <c r="A150" s="26" t="n">
        <v>149</v>
      </c>
      <c r="B150" s="26" t="n">
        <v>40</v>
      </c>
      <c r="C150" s="26" t="n">
        <v>12</v>
      </c>
      <c r="D150" s="27" t="inlineStr">
        <is>
          <t>非但我行區處綽綽有餘</t>
        </is>
      </c>
      <c r="E150" s="32" t="inlineStr">
        <is>
          <t>來商去旅</t>
        </is>
      </c>
      <c r="F150" s="27" t="inlineStr">
        <is>
          <t>絡繹不絶</t>
        </is>
      </c>
      <c r="G150" s="26" t="inlineStr">
        <is>
          <t>●</t>
        </is>
      </c>
      <c r="H150" s="29" t="n"/>
      <c r="I150" s="30" t="n"/>
      <c r="J150" s="30" t="n"/>
      <c r="K150" s="30" t="n"/>
      <c r="L150" s="30" t="n"/>
      <c r="M150" s="31" t="n"/>
      <c r="N150" s="29" t="n"/>
      <c r="O150" s="31" t="n"/>
    </row>
    <row r="151" ht="15" customHeight="1" s="16">
      <c r="A151" s="26" t="n">
        <v>150</v>
      </c>
      <c r="B151" s="26" t="n">
        <v>40</v>
      </c>
      <c r="C151" s="26" t="n">
        <v>13</v>
      </c>
      <c r="D151" s="27" t="inlineStr">
        <is>
          <t>來商去旅</t>
        </is>
      </c>
      <c r="E151" s="28" t="inlineStr">
        <is>
          <t>絡繹不絶</t>
        </is>
      </c>
      <c r="F151" s="27" t="inlineStr">
        <is>
          <t>又有車二十餘輛</t>
        </is>
      </c>
      <c r="G151" s="26" t="n"/>
      <c r="H151" s="29" t="n"/>
      <c r="I151" s="30" t="n"/>
      <c r="J151" s="30" t="n"/>
      <c r="K151" s="30" t="n"/>
      <c r="L151" s="30" t="n"/>
      <c r="M151" s="31" t="n"/>
      <c r="N151" s="29" t="n"/>
      <c r="O151" s="31" t="n"/>
    </row>
    <row r="152" ht="15" customHeight="1" s="16">
      <c r="A152" s="26" t="n">
        <v>151</v>
      </c>
      <c r="B152" s="26" t="n">
        <v>40</v>
      </c>
      <c r="C152" s="26" t="n">
        <v>26</v>
      </c>
      <c r="D152" s="27" t="inlineStr">
        <is>
          <t>不須盡說矣</t>
        </is>
      </c>
      <c r="E152" s="28" t="inlineStr">
        <is>
          <t>緩步出門</t>
        </is>
      </c>
      <c r="F152" s="27" t="inlineStr">
        <is>
          <t>繁華富麗</t>
        </is>
      </c>
      <c r="G152" s="26" t="n"/>
      <c r="H152" s="29" t="n"/>
      <c r="I152" s="30" t="n"/>
      <c r="J152" s="30" t="n"/>
      <c r="K152" s="30" t="n"/>
      <c r="L152" s="30" t="n"/>
      <c r="M152" s="31" t="n"/>
      <c r="N152" s="29" t="n"/>
      <c r="O152" s="31" t="n"/>
    </row>
    <row r="153" ht="15" customHeight="1" s="16">
      <c r="A153" s="26" t="n">
        <v>152</v>
      </c>
      <c r="B153" s="26" t="n">
        <v>40</v>
      </c>
      <c r="C153" s="26" t="n">
        <v>27</v>
      </c>
      <c r="D153" s="27" t="inlineStr">
        <is>
          <t>緩步出門</t>
        </is>
      </c>
      <c r="E153" s="32" t="inlineStr">
        <is>
          <t>繁華富麗</t>
        </is>
      </c>
      <c r="F153" s="27" t="inlineStr">
        <is>
          <t>雖到皇京</t>
        </is>
      </c>
      <c r="G153" s="26" t="inlineStr">
        <is>
          <t>●</t>
        </is>
      </c>
      <c r="H153" s="29" t="n"/>
      <c r="I153" s="30" t="n"/>
      <c r="J153" s="30" t="n"/>
      <c r="K153" s="30" t="n"/>
      <c r="L153" s="30" t="n"/>
      <c r="M153" s="31" t="n"/>
      <c r="N153" s="29" t="n"/>
      <c r="O153" s="31" t="n"/>
    </row>
    <row r="154" ht="15" customHeight="1" s="16">
      <c r="A154" s="26" t="n">
        <v>153</v>
      </c>
      <c r="B154" s="26" t="n">
        <v>40</v>
      </c>
      <c r="C154" s="26" t="n">
        <v>28</v>
      </c>
      <c r="D154" s="27" t="inlineStr">
        <is>
          <t>繁華富麗</t>
        </is>
      </c>
      <c r="E154" s="28" t="inlineStr">
        <is>
          <t>雖到皇京</t>
        </is>
      </c>
      <c r="F154" s="27" t="inlineStr">
        <is>
          <t>想不更加</t>
        </is>
      </c>
      <c r="G154" s="26" t="n"/>
      <c r="H154" s="29" t="n"/>
      <c r="I154" s="30" t="n"/>
      <c r="J154" s="30" t="n"/>
      <c r="K154" s="30" t="n"/>
      <c r="L154" s="30" t="n"/>
      <c r="M154" s="31" t="n"/>
      <c r="N154" s="29" t="n"/>
      <c r="O154" s="31" t="n"/>
    </row>
    <row r="155" ht="15" customHeight="1" s="16">
      <c r="A155" s="26" t="n">
        <v>154</v>
      </c>
      <c r="B155" s="26" t="n">
        <v>40</v>
      </c>
      <c r="C155" s="26" t="n">
        <v>36</v>
      </c>
      <c r="D155" s="27" t="inlineStr">
        <is>
          <t>畵棟朱欄</t>
        </is>
      </c>
      <c r="E155" s="28" t="inlineStr">
        <is>
          <t>碧榜金扁</t>
        </is>
      </c>
      <c r="F155" s="27" t="inlineStr">
        <is>
          <t>所居物皆內地奇貨</t>
        </is>
      </c>
      <c r="G155" s="26" t="n"/>
      <c r="H155" s="29" t="n"/>
      <c r="I155" s="30" t="n"/>
      <c r="J155" s="30" t="n"/>
      <c r="K155" s="30" t="n"/>
      <c r="L155" s="30" t="n"/>
      <c r="M155" s="31" t="n"/>
      <c r="N155" s="29" t="n"/>
      <c r="O155" s="31" t="n"/>
    </row>
    <row r="156" ht="15" customHeight="1" s="16">
      <c r="A156" s="26" t="n">
        <v>155</v>
      </c>
      <c r="B156" s="26" t="n">
        <v>40</v>
      </c>
      <c r="C156" s="26" t="n">
        <v>37</v>
      </c>
      <c r="D156" s="27" t="inlineStr">
        <is>
          <t>碧榜金扁</t>
        </is>
      </c>
      <c r="E156" s="32" t="inlineStr">
        <is>
          <t>所居物皆內地奇貨</t>
        </is>
      </c>
      <c r="F156" s="27" t="inlineStr">
        <is>
          <t>邊門僻奧</t>
        </is>
      </c>
      <c r="G156" s="26" t="inlineStr">
        <is>
          <t>●</t>
        </is>
      </c>
      <c r="H156" s="29" t="n"/>
      <c r="I156" s="30" t="n"/>
      <c r="J156" s="30" t="n"/>
      <c r="K156" s="30" t="n"/>
      <c r="L156" s="30" t="n"/>
      <c r="M156" s="31" t="n"/>
      <c r="N156" s="29" t="n"/>
      <c r="O156" s="31" t="n"/>
    </row>
    <row r="157" ht="15" customHeight="1" s="16">
      <c r="A157" s="26" t="n">
        <v>156</v>
      </c>
      <c r="B157" s="26" t="n">
        <v>40</v>
      </c>
      <c r="C157" s="26" t="n">
        <v>38</v>
      </c>
      <c r="D157" s="27" t="inlineStr">
        <is>
          <t>所居物皆內地奇貨</t>
        </is>
      </c>
      <c r="E157" s="28" t="inlineStr">
        <is>
          <t>邊門僻奧</t>
        </is>
      </c>
      <c r="F157" s="27" t="inlineStr">
        <is>
          <t>之地</t>
        </is>
      </c>
      <c r="G157" s="26" t="n"/>
      <c r="H157" s="29" t="n"/>
      <c r="I157" s="30" t="n"/>
      <c r="J157" s="30" t="n"/>
      <c r="K157" s="30" t="n"/>
      <c r="L157" s="30" t="n"/>
      <c r="M157" s="31" t="n"/>
      <c r="N157" s="29" t="n"/>
      <c r="O157" s="31" t="n"/>
    </row>
    <row r="158" ht="15" customHeight="1" s="16">
      <c r="A158" s="26" t="n">
        <v>157</v>
      </c>
      <c r="B158" s="26" t="n">
        <v>40</v>
      </c>
      <c r="C158" s="26" t="n">
        <v>111</v>
      </c>
      <c r="D158" s="27" t="inlineStr">
        <is>
          <t>君曰</t>
        </is>
      </c>
      <c r="E158" s="28" t="inlineStr">
        <is>
          <t>然</t>
        </is>
      </c>
      <c r="F158" s="27" t="inlineStr">
        <is>
          <t>雖有大小奢儉之別</t>
        </is>
      </c>
      <c r="G158" s="26" t="n"/>
      <c r="H158" s="29" t="n"/>
      <c r="I158" s="30" t="n"/>
      <c r="J158" s="30" t="n"/>
      <c r="K158" s="30" t="n"/>
      <c r="L158" s="30" t="n"/>
      <c r="M158" s="31" t="n"/>
      <c r="N158" s="29" t="n"/>
      <c r="O158" s="31" t="n"/>
    </row>
    <row r="159" ht="15" customHeight="1" s="16">
      <c r="A159" s="26" t="n">
        <v>158</v>
      </c>
      <c r="B159" s="26" t="n">
        <v>40</v>
      </c>
      <c r="C159" s="26" t="n">
        <v>112</v>
      </c>
      <c r="D159" s="27" t="inlineStr">
        <is>
          <t>然</t>
        </is>
      </c>
      <c r="E159" s="32" t="inlineStr">
        <is>
          <t>雖有大小奢儉之別</t>
        </is>
      </c>
      <c r="F159" s="27" t="inlineStr">
        <is>
          <t>規模大率相同耳</t>
        </is>
      </c>
      <c r="G159" s="26" t="inlineStr">
        <is>
          <t>●</t>
        </is>
      </c>
      <c r="H159" s="29" t="n"/>
      <c r="I159" s="30" t="n"/>
      <c r="J159" s="30" t="n"/>
      <c r="K159" s="30" t="n"/>
      <c r="L159" s="30" t="n"/>
      <c r="M159" s="31" t="n"/>
      <c r="N159" s="29" t="n"/>
      <c r="O159" s="31" t="n"/>
    </row>
    <row r="160" ht="15" customHeight="1" s="16">
      <c r="A160" s="26" t="n">
        <v>159</v>
      </c>
      <c r="B160" s="26" t="n">
        <v>40</v>
      </c>
      <c r="C160" s="26" t="n">
        <v>113</v>
      </c>
      <c r="D160" s="27" t="inlineStr">
        <is>
          <t>雖有大小奢儉之別</t>
        </is>
      </c>
      <c r="E160" s="28" t="inlineStr">
        <is>
          <t>規模大率相同耳</t>
        </is>
      </c>
      <c r="F160" s="27" t="inlineStr">
        <is>
          <t>爲室屋</t>
        </is>
      </c>
      <c r="G160" s="26" t="n"/>
      <c r="H160" s="29" t="n"/>
      <c r="I160" s="30" t="n"/>
      <c r="J160" s="30" t="n"/>
      <c r="K160" s="30" t="n"/>
      <c r="L160" s="30" t="n"/>
      <c r="M160" s="31" t="n"/>
      <c r="N160" s="29" t="n"/>
      <c r="O160" s="31" t="n"/>
    </row>
    <row r="161" ht="15" customHeight="1" s="16">
      <c r="A161" s="26" t="n">
        <v>160</v>
      </c>
      <c r="B161" s="26" t="n">
        <v>43</v>
      </c>
      <c r="C161" s="26" t="n">
        <v>33</v>
      </c>
      <c r="D161" s="27" t="inlineStr">
        <is>
          <t>蒼黃旋師</t>
        </is>
      </c>
      <c r="E161" s="28" t="inlineStr">
        <is>
          <t>其跡可疑</t>
        </is>
      </c>
      <c r="F161" s="27" t="inlineStr">
        <is>
          <t>金富軾只惜其史失姓名</t>
        </is>
      </c>
      <c r="G161" s="26" t="n"/>
      <c r="H161" s="29" t="n"/>
      <c r="I161" s="30" t="n"/>
      <c r="J161" s="30" t="n"/>
      <c r="K161" s="30" t="n"/>
      <c r="L161" s="30" t="n"/>
      <c r="M161" s="31" t="n"/>
      <c r="N161" s="29" t="n"/>
      <c r="O161" s="31" t="n"/>
    </row>
    <row r="162" ht="15" customHeight="1" s="16">
      <c r="A162" s="26" t="n">
        <v>161</v>
      </c>
      <c r="B162" s="26" t="n">
        <v>43</v>
      </c>
      <c r="C162" s="26" t="n">
        <v>34</v>
      </c>
      <c r="D162" s="27" t="inlineStr">
        <is>
          <t>其跡可疑</t>
        </is>
      </c>
      <c r="E162" s="32" t="inlineStr">
        <is>
          <t>金富軾只惜其史失姓名</t>
        </is>
      </c>
      <c r="F162" s="27" t="inlineStr">
        <is>
          <t>葢富軾爲三國史</t>
        </is>
      </c>
      <c r="G162" s="26" t="inlineStr">
        <is>
          <t>●</t>
        </is>
      </c>
      <c r="H162" s="29" t="n"/>
      <c r="I162" s="30" t="n"/>
      <c r="J162" s="30" t="n"/>
      <c r="K162" s="30" t="n"/>
      <c r="L162" s="30" t="n"/>
      <c r="M162" s="31" t="n"/>
      <c r="N162" s="29" t="n"/>
      <c r="O162" s="31" t="n"/>
    </row>
    <row r="163" ht="15" customHeight="1" s="16">
      <c r="A163" s="26" t="n">
        <v>162</v>
      </c>
      <c r="B163" s="26" t="n">
        <v>43</v>
      </c>
      <c r="C163" s="26" t="n">
        <v>35</v>
      </c>
      <c r="D163" s="27" t="inlineStr">
        <is>
          <t>金富軾只惜其史失姓名</t>
        </is>
      </c>
      <c r="E163" s="32" t="inlineStr">
        <is>
          <t>葢富軾爲三國史</t>
        </is>
      </c>
      <c r="F163" s="27" t="inlineStr">
        <is>
          <t>只就中國史</t>
        </is>
      </c>
      <c r="G163" s="26" t="inlineStr">
        <is>
          <t>●</t>
        </is>
      </c>
      <c r="H163" s="29" t="n"/>
      <c r="I163" s="30" t="n"/>
      <c r="J163" s="30" t="n"/>
      <c r="K163" s="30" t="n"/>
      <c r="L163" s="30" t="n"/>
      <c r="M163" s="31" t="n"/>
      <c r="N163" s="29" t="n"/>
      <c r="O163" s="31" t="n"/>
    </row>
    <row r="164" ht="15" customHeight="1" s="16">
      <c r="A164" s="26" t="n">
        <v>163</v>
      </c>
      <c r="B164" s="26" t="n">
        <v>43</v>
      </c>
      <c r="C164" s="26" t="n">
        <v>36</v>
      </c>
      <c r="D164" s="27" t="inlineStr">
        <is>
          <t>葢富軾爲三國史</t>
        </is>
      </c>
      <c r="E164" s="28" t="inlineStr">
        <is>
          <t>只就中國史</t>
        </is>
      </c>
      <c r="F164" s="27" t="inlineStr">
        <is>
          <t>書抄謄一番</t>
        </is>
      </c>
      <c r="G164" s="26" t="n"/>
      <c r="H164" s="29" t="n"/>
      <c r="I164" s="30" t="n"/>
      <c r="J164" s="30" t="n"/>
      <c r="K164" s="30" t="n"/>
      <c r="L164" s="30" t="n"/>
      <c r="M164" s="31" t="n"/>
      <c r="N164" s="29" t="n"/>
      <c r="O164" s="31" t="n"/>
    </row>
    <row r="165" ht="15" customHeight="1" s="16">
      <c r="A165" s="26" t="n">
        <v>164</v>
      </c>
      <c r="B165" s="26" t="n">
        <v>43</v>
      </c>
      <c r="C165" s="26" t="n">
        <v>56</v>
      </c>
      <c r="D165" s="27" t="inlineStr">
        <is>
          <t>安市城去平壤五百里</t>
        </is>
      </c>
      <c r="E165" s="28" t="inlineStr">
        <is>
          <t>鳳凰城</t>
        </is>
      </c>
      <c r="F165" s="27" t="inlineStr">
        <is>
          <t>亦稱王儉城</t>
        </is>
      </c>
      <c r="G165" s="26" t="n"/>
      <c r="H165" s="29" t="n"/>
      <c r="I165" s="30" t="n"/>
      <c r="J165" s="30" t="n"/>
      <c r="K165" s="30" t="n"/>
      <c r="L165" s="30" t="n"/>
      <c r="M165" s="31" t="n"/>
      <c r="N165" s="29" t="n"/>
      <c r="O165" s="31" t="n"/>
    </row>
    <row r="166" ht="15" customHeight="1" s="16">
      <c r="A166" s="26" t="n">
        <v>165</v>
      </c>
      <c r="B166" s="26" t="n">
        <v>43</v>
      </c>
      <c r="C166" s="26" t="n">
        <v>57</v>
      </c>
      <c r="D166" s="27" t="inlineStr">
        <is>
          <t>鳳凰城</t>
        </is>
      </c>
      <c r="E166" s="32" t="inlineStr">
        <is>
          <t>亦稱王儉城</t>
        </is>
      </c>
      <c r="F166" s="27" t="inlineStr">
        <is>
          <t>地志又以鳳凰城稱平壤</t>
        </is>
      </c>
      <c r="G166" s="26" t="inlineStr">
        <is>
          <t>●</t>
        </is>
      </c>
      <c r="H166" s="29" t="n"/>
      <c r="I166" s="30" t="n"/>
      <c r="J166" s="30" t="n"/>
      <c r="K166" s="30" t="n"/>
      <c r="L166" s="30" t="n"/>
      <c r="M166" s="31" t="n"/>
      <c r="N166" s="29" t="n"/>
      <c r="O166" s="31" t="n"/>
    </row>
    <row r="167" ht="15" customHeight="1" s="16">
      <c r="A167" s="26" t="n">
        <v>166</v>
      </c>
      <c r="B167" s="26" t="n">
        <v>43</v>
      </c>
      <c r="C167" s="26" t="n">
        <v>58</v>
      </c>
      <c r="D167" s="27" t="inlineStr">
        <is>
          <t>亦稱王儉城</t>
        </is>
      </c>
      <c r="E167" s="28" t="inlineStr">
        <is>
          <t>地志又以鳳凰城稱平壤</t>
        </is>
      </c>
      <c r="F167" s="27" t="inlineStr">
        <is>
          <t>未知此何</t>
        </is>
      </c>
      <c r="G167" s="26" t="n"/>
      <c r="H167" s="29" t="n"/>
      <c r="I167" s="30" t="n"/>
      <c r="J167" s="30" t="n"/>
      <c r="K167" s="30" t="n"/>
      <c r="L167" s="30" t="n"/>
      <c r="M167" s="31" t="n"/>
      <c r="N167" s="29" t="n"/>
      <c r="O167" s="31" t="n"/>
    </row>
    <row r="168" ht="15" customHeight="1" s="16">
      <c r="A168" s="26" t="n">
        <v>167</v>
      </c>
      <c r="B168" s="26" t="n">
        <v>45</v>
      </c>
      <c r="C168" s="26" t="n">
        <v>10</v>
      </c>
      <c r="D168" s="27" t="inlineStr">
        <is>
          <t>卽其一也</t>
        </is>
      </c>
      <c r="E168" s="28" t="inlineStr">
        <is>
          <t>浿水亦類此</t>
        </is>
      </c>
      <c r="F168" s="27" t="inlineStr">
        <is>
          <t>高勾麗封域時有贏縮</t>
        </is>
      </c>
      <c r="G168" s="26" t="n"/>
      <c r="H168" s="29" t="n"/>
      <c r="I168" s="30" t="n"/>
      <c r="J168" s="30" t="n"/>
      <c r="K168" s="30" t="n"/>
      <c r="L168" s="30" t="n"/>
      <c r="M168" s="31" t="n"/>
      <c r="N168" s="29" t="n"/>
      <c r="O168" s="31" t="n"/>
    </row>
    <row r="169" ht="15" customHeight="1" s="16">
      <c r="A169" s="26" t="n">
        <v>168</v>
      </c>
      <c r="B169" s="26" t="n">
        <v>45</v>
      </c>
      <c r="C169" s="26" t="n">
        <v>11</v>
      </c>
      <c r="D169" s="27" t="inlineStr">
        <is>
          <t>浿水亦類此</t>
        </is>
      </c>
      <c r="E169" s="32" t="inlineStr">
        <is>
          <t>高勾麗封域時有贏縮</t>
        </is>
      </c>
      <c r="F169" s="27" t="inlineStr">
        <is>
          <t>則浿水之名</t>
        </is>
      </c>
      <c r="G169" s="26" t="inlineStr">
        <is>
          <t>●</t>
        </is>
      </c>
      <c r="H169" s="29" t="n"/>
      <c r="I169" s="30" t="n"/>
      <c r="J169" s="30" t="n"/>
      <c r="K169" s="30" t="n"/>
      <c r="L169" s="30" t="n"/>
      <c r="M169" s="31" t="n"/>
      <c r="N169" s="29" t="n"/>
      <c r="O169" s="31" t="n"/>
    </row>
    <row r="170" ht="15" customHeight="1" s="16">
      <c r="A170" s="26" t="n">
        <v>169</v>
      </c>
      <c r="B170" s="26" t="n">
        <v>45</v>
      </c>
      <c r="C170" s="26" t="n">
        <v>12</v>
      </c>
      <c r="D170" s="27" t="inlineStr">
        <is>
          <t>高勾麗封域時有贏縮</t>
        </is>
      </c>
      <c r="E170" s="28" t="inlineStr">
        <is>
          <t>則浿水之名</t>
        </is>
      </c>
      <c r="F170" s="27" t="inlineStr">
        <is>
          <t>亦隨而遷徙</t>
        </is>
      </c>
      <c r="G170" s="26" t="n"/>
      <c r="H170" s="29" t="n"/>
      <c r="I170" s="30" t="n"/>
      <c r="J170" s="30" t="n"/>
      <c r="K170" s="30" t="n"/>
      <c r="L170" s="30" t="n"/>
      <c r="M170" s="31" t="n"/>
      <c r="N170" s="29" t="n"/>
      <c r="O170" s="31" t="n"/>
    </row>
    <row r="171" ht="15" customHeight="1" s="16">
      <c r="A171" s="26" t="n">
        <v>170</v>
      </c>
      <c r="B171" s="26" t="n">
        <v>46</v>
      </c>
      <c r="C171" s="26" t="n">
        <v>21</v>
      </c>
      <c r="D171" s="27" t="inlineStr">
        <is>
          <t>王氏高麗</t>
        </is>
      </c>
      <c r="E171" s="28" t="inlineStr">
        <is>
          <t>遼東及渤海一境</t>
        </is>
      </c>
      <c r="F171" s="27" t="inlineStr">
        <is>
          <t>盡入契丹</t>
        </is>
      </c>
      <c r="G171" s="26" t="n"/>
      <c r="H171" s="29" t="n"/>
      <c r="I171" s="30" t="n"/>
      <c r="J171" s="30" t="n"/>
      <c r="K171" s="30" t="n"/>
      <c r="L171" s="30" t="n"/>
      <c r="M171" s="31" t="n"/>
      <c r="N171" s="29" t="n"/>
      <c r="O171" s="31" t="n"/>
    </row>
    <row r="172" ht="15" customHeight="1" s="16">
      <c r="A172" s="26" t="n">
        <v>171</v>
      </c>
      <c r="B172" s="26" t="n">
        <v>46</v>
      </c>
      <c r="C172" s="26" t="n">
        <v>22</v>
      </c>
      <c r="D172" s="27" t="inlineStr">
        <is>
          <t>遼東及渤海一境</t>
        </is>
      </c>
      <c r="E172" s="32" t="inlineStr">
        <is>
          <t>盡入契丹</t>
        </is>
      </c>
      <c r="F172" s="27" t="inlineStr">
        <is>
          <t>則謹畫慈</t>
        </is>
      </c>
      <c r="G172" s="26" t="inlineStr">
        <is>
          <t>●</t>
        </is>
      </c>
      <c r="H172" s="29" t="n"/>
      <c r="I172" s="30" t="n"/>
      <c r="J172" s="30" t="n"/>
      <c r="K172" s="30" t="n"/>
      <c r="L172" s="30" t="n"/>
      <c r="M172" s="31" t="n"/>
      <c r="N172" s="29" t="n"/>
      <c r="O172" s="31" t="n"/>
    </row>
    <row r="173" ht="15" customHeight="1" s="16">
      <c r="A173" s="26" t="n">
        <v>172</v>
      </c>
      <c r="B173" s="26" t="n">
        <v>46</v>
      </c>
      <c r="C173" s="26" t="n">
        <v>23</v>
      </c>
      <c r="D173" s="27" t="inlineStr">
        <is>
          <t>盡入契丹</t>
        </is>
      </c>
      <c r="E173" s="28" t="inlineStr">
        <is>
          <t>則謹畫慈</t>
        </is>
      </c>
      <c r="F173" s="27" t="inlineStr">
        <is>
          <t>鐵兩嶺而守之</t>
        </is>
      </c>
      <c r="G173" s="26" t="n"/>
      <c r="H173" s="29" t="n"/>
      <c r="I173" s="30" t="n"/>
      <c r="J173" s="30" t="n"/>
      <c r="K173" s="30" t="n"/>
      <c r="L173" s="30" t="n"/>
      <c r="M173" s="31" t="n"/>
      <c r="N173" s="29" t="n"/>
      <c r="O173" s="31" t="n"/>
    </row>
    <row r="174" ht="15" customHeight="1" s="16">
      <c r="A174" s="26" t="n">
        <v>173</v>
      </c>
      <c r="B174" s="26" t="n">
        <v>47</v>
      </c>
      <c r="C174" s="26" t="n">
        <v>11</v>
      </c>
      <c r="D174" s="27" t="inlineStr">
        <is>
          <t>駕起工役</t>
        </is>
      </c>
      <c r="E174" s="28" t="inlineStr">
        <is>
          <t>雖似浩大</t>
        </is>
      </c>
      <c r="F174" s="27" t="inlineStr">
        <is>
          <t>器械便利</t>
        </is>
      </c>
      <c r="G174" s="26" t="n"/>
      <c r="H174" s="29" t="n"/>
      <c r="I174" s="30" t="n"/>
      <c r="J174" s="30" t="n"/>
      <c r="K174" s="30" t="n"/>
      <c r="L174" s="30" t="n"/>
      <c r="M174" s="31" t="n"/>
      <c r="N174" s="29" t="n"/>
      <c r="O174" s="31" t="n"/>
    </row>
    <row r="175" ht="15" customHeight="1" s="16">
      <c r="A175" s="26" t="n">
        <v>174</v>
      </c>
      <c r="B175" s="26" t="n">
        <v>47</v>
      </c>
      <c r="C175" s="26" t="n">
        <v>12</v>
      </c>
      <c r="D175" s="27" t="inlineStr">
        <is>
          <t>雖似浩大</t>
        </is>
      </c>
      <c r="E175" s="32" t="inlineStr">
        <is>
          <t>器械便利</t>
        </is>
      </c>
      <c r="F175" s="27" t="inlineStr">
        <is>
          <t>運甓輸土</t>
        </is>
      </c>
      <c r="G175" s="26" t="inlineStr">
        <is>
          <t>●</t>
        </is>
      </c>
      <c r="H175" s="29" t="n"/>
      <c r="I175" s="30" t="n"/>
      <c r="J175" s="30" t="n"/>
      <c r="K175" s="30" t="n"/>
      <c r="L175" s="30" t="n"/>
      <c r="M175" s="31" t="n"/>
      <c r="N175" s="29" t="n"/>
      <c r="O175" s="31" t="n"/>
    </row>
    <row r="176" ht="15" customHeight="1" s="16">
      <c r="A176" s="26" t="n">
        <v>175</v>
      </c>
      <c r="B176" s="26" t="n">
        <v>47</v>
      </c>
      <c r="C176" s="26" t="n">
        <v>13</v>
      </c>
      <c r="D176" s="27" t="inlineStr">
        <is>
          <t>器械便利</t>
        </is>
      </c>
      <c r="E176" s="28" t="inlineStr">
        <is>
          <t>運甓輸土</t>
        </is>
      </c>
      <c r="F176" s="27" t="inlineStr">
        <is>
          <t>皆機動輪轉</t>
        </is>
      </c>
      <c r="G176" s="26" t="n"/>
      <c r="H176" s="29" t="n"/>
      <c r="I176" s="30" t="n"/>
      <c r="J176" s="30" t="n"/>
      <c r="K176" s="30" t="n"/>
      <c r="L176" s="30" t="n"/>
      <c r="M176" s="31" t="n"/>
      <c r="N176" s="29" t="n"/>
      <c r="O176" s="31" t="n"/>
    </row>
    <row r="177" ht="15" customHeight="1" s="16">
      <c r="A177" s="26" t="n">
        <v>176</v>
      </c>
      <c r="B177" s="26" t="n">
        <v>47</v>
      </c>
      <c r="C177" s="26" t="n">
        <v>17</v>
      </c>
      <c r="D177" s="27" t="inlineStr">
        <is>
          <t>或自推自行</t>
        </is>
      </c>
      <c r="E177" s="28" t="inlineStr">
        <is>
          <t>不一其法</t>
        </is>
      </c>
      <c r="F177" s="27" t="inlineStr">
        <is>
          <t>皆事半功倍之術</t>
        </is>
      </c>
      <c r="G177" s="26" t="n"/>
      <c r="H177" s="29" t="n"/>
      <c r="I177" s="30" t="n"/>
      <c r="J177" s="30" t="n"/>
      <c r="K177" s="30" t="n"/>
      <c r="L177" s="30" t="n"/>
      <c r="M177" s="31" t="n"/>
      <c r="N177" s="29" t="n"/>
      <c r="O177" s="31" t="n"/>
    </row>
    <row r="178" ht="15" customHeight="1" s="16">
      <c r="A178" s="26" t="n">
        <v>177</v>
      </c>
      <c r="B178" s="26" t="n">
        <v>47</v>
      </c>
      <c r="C178" s="26" t="n">
        <v>18</v>
      </c>
      <c r="D178" s="27" t="inlineStr">
        <is>
          <t>不一其法</t>
        </is>
      </c>
      <c r="E178" s="32" t="inlineStr">
        <is>
          <t>皆事半功倍之術</t>
        </is>
      </c>
      <c r="F178" s="27" t="inlineStr">
        <is>
          <t>莫非足法</t>
        </is>
      </c>
      <c r="G178" s="26" t="inlineStr">
        <is>
          <t>●</t>
        </is>
      </c>
      <c r="H178" s="29" t="n"/>
      <c r="I178" s="30" t="n"/>
      <c r="J178" s="30" t="n"/>
      <c r="K178" s="30" t="n"/>
      <c r="L178" s="30" t="n"/>
      <c r="M178" s="31" t="n"/>
      <c r="N178" s="29" t="n"/>
      <c r="O178" s="31" t="n"/>
    </row>
    <row r="179" ht="15" customHeight="1" s="16">
      <c r="A179" s="26" t="n">
        <v>178</v>
      </c>
      <c r="B179" s="26" t="n">
        <v>47</v>
      </c>
      <c r="C179" s="26" t="n">
        <v>19</v>
      </c>
      <c r="D179" s="27" t="inlineStr">
        <is>
          <t>皆事半功倍之術</t>
        </is>
      </c>
      <c r="E179" s="28" t="inlineStr">
        <is>
          <t>莫非足法</t>
        </is>
      </c>
      <c r="F179" s="27" t="inlineStr">
        <is>
          <t>而非但行忙</t>
        </is>
      </c>
      <c r="G179" s="26" t="n"/>
      <c r="H179" s="29" t="n"/>
      <c r="I179" s="30" t="n"/>
      <c r="J179" s="30" t="n"/>
      <c r="K179" s="30" t="n"/>
      <c r="L179" s="30" t="n"/>
      <c r="M179" s="31" t="n"/>
      <c r="N179" s="29" t="n"/>
      <c r="O179" s="31" t="n"/>
    </row>
    <row r="180" ht="15" customHeight="1" s="16">
      <c r="A180" s="26" t="n">
        <v>179</v>
      </c>
      <c r="B180" s="26" t="n">
        <v>49</v>
      </c>
      <c r="C180" s="26" t="n">
        <v>3</v>
      </c>
      <c r="D180" s="27" t="inlineStr">
        <is>
          <t>掛一面金書當字牌</t>
        </is>
      </c>
      <c r="E180" s="28" t="inlineStr">
        <is>
          <t>旁書惟軍器不當五字</t>
        </is>
      </c>
      <c r="F180" s="27" t="inlineStr">
        <is>
          <t>此典當舖也</t>
        </is>
      </c>
      <c r="G180" s="26" t="n"/>
      <c r="H180" s="29" t="n"/>
      <c r="I180" s="30" t="n"/>
      <c r="J180" s="30" t="n"/>
      <c r="K180" s="30" t="n"/>
      <c r="L180" s="30" t="n"/>
      <c r="M180" s="31" t="n"/>
      <c r="N180" s="29" t="n"/>
      <c r="O180" s="31" t="n"/>
    </row>
    <row r="181" ht="15" customHeight="1" s="16">
      <c r="A181" s="26" t="n">
        <v>180</v>
      </c>
      <c r="B181" s="26" t="n">
        <v>49</v>
      </c>
      <c r="C181" s="26" t="n">
        <v>4</v>
      </c>
      <c r="D181" s="27" t="inlineStr">
        <is>
          <t>旁書惟軍器不當五字</t>
        </is>
      </c>
      <c r="E181" s="32" t="inlineStr">
        <is>
          <t>此典當舖也</t>
        </is>
      </c>
      <c r="F181" s="27" t="inlineStr">
        <is>
          <t>有數三美少年</t>
        </is>
      </c>
      <c r="G181" s="26" t="inlineStr">
        <is>
          <t>●</t>
        </is>
      </c>
      <c r="H181" s="29" t="n"/>
      <c r="I181" s="30" t="n"/>
      <c r="J181" s="30" t="n"/>
      <c r="K181" s="30" t="n"/>
      <c r="L181" s="30" t="n"/>
      <c r="M181" s="31" t="n"/>
      <c r="N181" s="29" t="n"/>
      <c r="O181" s="31" t="n"/>
    </row>
    <row r="182" ht="15" customHeight="1" s="16">
      <c r="A182" s="26" t="n">
        <v>181</v>
      </c>
      <c r="B182" s="26" t="n">
        <v>49</v>
      </c>
      <c r="C182" s="26" t="n">
        <v>5</v>
      </c>
      <c r="D182" s="27" t="inlineStr">
        <is>
          <t>此典當舖也</t>
        </is>
      </c>
      <c r="E182" s="28" t="inlineStr">
        <is>
          <t>有數三美少年</t>
        </is>
      </c>
      <c r="F182" s="27" t="inlineStr">
        <is>
          <t>走出舖中</t>
        </is>
      </c>
      <c r="G182" s="26" t="n"/>
      <c r="H182" s="29" t="n"/>
      <c r="I182" s="30" t="n"/>
      <c r="J182" s="30" t="n"/>
      <c r="K182" s="30" t="n"/>
      <c r="L182" s="30" t="n"/>
      <c r="M182" s="31" t="n"/>
      <c r="N182" s="29" t="n"/>
      <c r="O182" s="31" t="n"/>
    </row>
    <row r="183" ht="15" customHeight="1" s="16">
      <c r="A183" s="26" t="n">
        <v>182</v>
      </c>
      <c r="B183" s="26" t="n">
        <v>50</v>
      </c>
      <c r="C183" s="26" t="n">
        <v>21</v>
      </c>
      <c r="D183" s="27" t="inlineStr">
        <is>
          <t>更無募人運致之勞</t>
        </is>
      </c>
      <c r="E183" s="28" t="inlineStr">
        <is>
          <t>齊匀方正</t>
        </is>
      </c>
      <c r="F183" s="27" t="inlineStr">
        <is>
          <t>力省功倍</t>
        </is>
      </c>
      <c r="G183" s="26" t="n"/>
      <c r="H183" s="29" t="n"/>
      <c r="I183" s="30" t="n"/>
      <c r="J183" s="30" t="n"/>
      <c r="K183" s="30" t="n"/>
      <c r="L183" s="30" t="n"/>
      <c r="M183" s="31" t="n"/>
      <c r="N183" s="29" t="n"/>
      <c r="O183" s="31" t="n"/>
    </row>
    <row r="184" ht="15" customHeight="1" s="16">
      <c r="A184" s="26" t="n">
        <v>183</v>
      </c>
      <c r="B184" s="26" t="n">
        <v>50</v>
      </c>
      <c r="C184" s="26" t="n">
        <v>22</v>
      </c>
      <c r="D184" s="27" t="inlineStr">
        <is>
          <t>齊匀方正</t>
        </is>
      </c>
      <c r="E184" s="32" t="inlineStr">
        <is>
          <t>力省功倍</t>
        </is>
      </c>
      <c r="F184" s="27" t="inlineStr">
        <is>
          <t>運之輕而築之易</t>
        </is>
      </c>
      <c r="G184" s="26" t="inlineStr">
        <is>
          <t>●</t>
        </is>
      </c>
      <c r="H184" s="29" t="n"/>
      <c r="I184" s="30" t="n"/>
      <c r="J184" s="30" t="n"/>
      <c r="K184" s="30" t="n"/>
      <c r="L184" s="30" t="n"/>
      <c r="M184" s="31" t="n"/>
      <c r="N184" s="29" t="n"/>
      <c r="O184" s="31" t="n"/>
    </row>
    <row r="185" ht="15" customHeight="1" s="16">
      <c r="A185" s="26" t="n">
        <v>184</v>
      </c>
      <c r="B185" s="26" t="n">
        <v>50</v>
      </c>
      <c r="C185" s="26" t="n">
        <v>23</v>
      </c>
      <c r="D185" s="27" t="inlineStr">
        <is>
          <t>力省功倍</t>
        </is>
      </c>
      <c r="E185" s="28" t="inlineStr">
        <is>
          <t>運之輕而築之易</t>
        </is>
      </c>
      <c r="F185" s="27" t="inlineStr">
        <is>
          <t>莫甎若也</t>
        </is>
      </c>
      <c r="G185" s="26" t="n"/>
      <c r="H185" s="29" t="n"/>
      <c r="I185" s="30" t="n"/>
      <c r="J185" s="30" t="n"/>
      <c r="K185" s="30" t="n"/>
      <c r="L185" s="30" t="n"/>
      <c r="M185" s="31" t="n"/>
      <c r="N185" s="29" t="n"/>
      <c r="O185" s="31" t="n"/>
    </row>
    <row r="186" ht="15" customHeight="1" s="16">
      <c r="A186" s="26" t="n">
        <v>185</v>
      </c>
      <c r="B186" s="26" t="n">
        <v>50</v>
      </c>
      <c r="C186" s="26" t="n">
        <v>80</v>
      </c>
      <c r="D186" s="27" t="inlineStr">
        <is>
          <t>又不及萬甎之膠</t>
        </is>
      </c>
      <c r="E186" s="28" t="inlineStr">
        <is>
          <t>此其甓</t>
        </is>
      </c>
      <c r="F186" s="27" t="inlineStr">
        <is>
          <t>與石之利害便否</t>
        </is>
      </c>
      <c r="G186" s="26" t="n"/>
      <c r="H186" s="29" t="n"/>
      <c r="I186" s="30" t="n"/>
      <c r="J186" s="30" t="n"/>
      <c r="K186" s="30" t="n"/>
      <c r="L186" s="30" t="n"/>
      <c r="M186" s="31" t="n"/>
      <c r="N186" s="29" t="n"/>
      <c r="O186" s="31" t="n"/>
    </row>
    <row r="187" ht="15" customHeight="1" s="16">
      <c r="A187" s="26" t="n">
        <v>186</v>
      </c>
      <c r="B187" s="26" t="n">
        <v>50</v>
      </c>
      <c r="C187" s="26" t="n">
        <v>81</v>
      </c>
      <c r="D187" s="27" t="inlineStr">
        <is>
          <t>此其甓</t>
        </is>
      </c>
      <c r="E187" s="32" t="inlineStr">
        <is>
          <t>與石之利害便否</t>
        </is>
      </c>
      <c r="F187" s="27" t="inlineStr">
        <is>
          <t>所以易辨也</t>
        </is>
      </c>
      <c r="G187" s="26" t="inlineStr">
        <is>
          <t>●</t>
        </is>
      </c>
      <c r="H187" s="29" t="n"/>
      <c r="I187" s="30" t="n"/>
      <c r="J187" s="30" t="n"/>
      <c r="K187" s="30" t="n"/>
      <c r="L187" s="30" t="n"/>
      <c r="M187" s="31" t="n"/>
      <c r="N187" s="29" t="n"/>
      <c r="O187" s="31" t="n"/>
    </row>
    <row r="188" ht="15" customHeight="1" s="16">
      <c r="A188" s="26" t="n">
        <v>187</v>
      </c>
      <c r="B188" s="26" t="n">
        <v>50</v>
      </c>
      <c r="C188" s="26" t="n">
        <v>82</v>
      </c>
      <c r="D188" s="27" t="inlineStr">
        <is>
          <t>與石之利害便否</t>
        </is>
      </c>
      <c r="E188" s="28" t="inlineStr">
        <is>
          <t>所以易辨也</t>
        </is>
      </c>
      <c r="F188" s="27" t="inlineStr">
        <is>
          <t>鄭於馬上傴僂欲墮</t>
        </is>
      </c>
      <c r="G188" s="26" t="n"/>
      <c r="H188" s="29" t="n"/>
      <c r="I188" s="30" t="n"/>
      <c r="J188" s="30" t="n"/>
      <c r="K188" s="30" t="n"/>
      <c r="L188" s="30" t="n"/>
      <c r="M188" s="31" t="n"/>
      <c r="N188" s="29" t="n"/>
      <c r="O188" s="31" t="n"/>
    </row>
    <row r="189" ht="15" customHeight="1" s="16">
      <c r="A189" s="26" t="n">
        <v>188</v>
      </c>
      <c r="B189" s="26" t="n">
        <v>53</v>
      </c>
      <c r="C189" s="26" t="n">
        <v>33</v>
      </c>
      <c r="D189" s="27" t="inlineStr">
        <is>
          <t>葢甓爲日用先務</t>
        </is>
      </c>
      <c r="E189" s="28" t="inlineStr">
        <is>
          <t>也</t>
        </is>
      </c>
      <c r="F189" s="27" t="n"/>
      <c r="G189" s="26" t="n"/>
      <c r="H189" s="29" t="n"/>
      <c r="I189" s="30" t="n"/>
      <c r="J189" s="30" t="n"/>
      <c r="K189" s="30" t="n"/>
      <c r="L189" s="30" t="n"/>
      <c r="M189" s="31" t="n"/>
      <c r="N189" s="29" t="n"/>
      <c r="O189" s="31" t="n"/>
    </row>
    <row r="190" ht="15" customHeight="1" s="16">
      <c r="A190" s="26" t="n">
        <v>189</v>
      </c>
      <c r="B190" s="26" t="n">
        <v>54</v>
      </c>
      <c r="C190" s="26" t="n">
        <v>1</v>
      </c>
      <c r="D190" s="27" t="n"/>
      <c r="E190" s="32" t="inlineStr">
        <is>
          <t>少憩典當舖</t>
        </is>
      </c>
      <c r="F190" s="27" t="inlineStr">
        <is>
          <t>主人引至中堂</t>
        </is>
      </c>
      <c r="G190" s="26" t="inlineStr">
        <is>
          <t>●</t>
        </is>
      </c>
      <c r="H190" s="29" t="n"/>
      <c r="I190" s="30" t="n"/>
      <c r="J190" s="30" t="n"/>
      <c r="K190" s="30" t="n"/>
      <c r="L190" s="30" t="n"/>
      <c r="M190" s="31" t="n"/>
      <c r="N190" s="29" t="n"/>
      <c r="O190" s="31" t="n"/>
    </row>
    <row r="191" ht="15" customHeight="1" s="16">
      <c r="A191" s="26" t="n">
        <v>190</v>
      </c>
      <c r="B191" s="26" t="n">
        <v>54</v>
      </c>
      <c r="C191" s="26" t="n">
        <v>2</v>
      </c>
      <c r="D191" s="27" t="inlineStr">
        <is>
          <t>少憩典當舖</t>
        </is>
      </c>
      <c r="E191" s="28" t="inlineStr">
        <is>
          <t>主人引至中堂</t>
        </is>
      </c>
      <c r="F191" s="27" t="inlineStr">
        <is>
          <t>勸一椀熱茶</t>
        </is>
      </c>
      <c r="G191" s="26" t="n"/>
      <c r="H191" s="29" t="n"/>
      <c r="I191" s="30" t="n"/>
      <c r="J191" s="30" t="n"/>
      <c r="K191" s="30" t="n"/>
      <c r="L191" s="30" t="n"/>
      <c r="M191" s="31" t="n"/>
      <c r="N191" s="29" t="n"/>
      <c r="O191" s="31" t="n"/>
    </row>
    <row r="192" ht="29.85" customHeight="1" s="16">
      <c r="A192" s="26" t="n">
        <v>191</v>
      </c>
      <c r="B192" s="26" t="n">
        <v>54</v>
      </c>
      <c r="C192" s="26" t="n">
        <v>11</v>
      </c>
      <c r="D192" s="27" t="inlineStr">
        <is>
          <t>書物主姓名別號</t>
        </is>
      </c>
      <c r="E192" s="28" t="inlineStr">
        <is>
          <t>相標居住</t>
        </is>
      </c>
      <c r="F192" s="27" t="inlineStr">
        <is>
          <t>再書某年月日典當某件子</t>
        </is>
      </c>
      <c r="G192" s="26" t="n"/>
      <c r="H192" s="29" t="n"/>
      <c r="I192" s="30" t="n"/>
      <c r="J192" s="30" t="n"/>
      <c r="K192" s="30" t="n"/>
      <c r="L192" s="30" t="n"/>
      <c r="M192" s="31" t="n"/>
      <c r="N192" s="29" t="n"/>
      <c r="O192" s="31" t="n"/>
    </row>
    <row r="193" ht="15" customHeight="1" s="16">
      <c r="A193" s="26" t="n">
        <v>192</v>
      </c>
      <c r="B193" s="26" t="n">
        <v>54</v>
      </c>
      <c r="C193" s="26" t="n">
        <v>12</v>
      </c>
      <c r="D193" s="27" t="inlineStr">
        <is>
          <t>相標居住</t>
        </is>
      </c>
      <c r="E193" s="32" t="inlineStr">
        <is>
          <t>再書某年月日典當某件子</t>
        </is>
      </c>
      <c r="F193" s="27" t="inlineStr">
        <is>
          <t>某字號舖親手交付云云</t>
        </is>
      </c>
      <c r="G193" s="26" t="inlineStr">
        <is>
          <t>●</t>
        </is>
      </c>
      <c r="H193" s="29" t="n"/>
      <c r="I193" s="30" t="n"/>
      <c r="J193" s="30" t="n"/>
      <c r="K193" s="30" t="n"/>
      <c r="L193" s="30" t="n"/>
      <c r="M193" s="31" t="n"/>
      <c r="N193" s="29" t="n"/>
      <c r="O193" s="31" t="n"/>
    </row>
    <row r="194" ht="29.85" customHeight="1" s="16">
      <c r="A194" s="26" t="n">
        <v>193</v>
      </c>
      <c r="B194" s="26" t="n">
        <v>54</v>
      </c>
      <c r="C194" s="26" t="n">
        <v>13</v>
      </c>
      <c r="D194" s="27" t="inlineStr">
        <is>
          <t>再書某年月日典當某件子</t>
        </is>
      </c>
      <c r="E194" s="28" t="inlineStr">
        <is>
          <t>某字號舖親手交付云云</t>
        </is>
      </c>
      <c r="F194" s="27" t="inlineStr">
        <is>
          <t>其利殖之法</t>
        </is>
      </c>
      <c r="G194" s="26" t="n"/>
      <c r="H194" s="29" t="n"/>
      <c r="I194" s="30" t="n"/>
      <c r="J194" s="30" t="n"/>
      <c r="K194" s="30" t="n"/>
      <c r="L194" s="30" t="n"/>
      <c r="M194" s="31" t="n"/>
      <c r="N194" s="29" t="n"/>
      <c r="O194" s="31" t="n"/>
    </row>
    <row r="195" ht="15" customHeight="1" s="16">
      <c r="A195" s="26" t="n">
        <v>194</v>
      </c>
      <c r="B195" s="26" t="n">
        <v>54</v>
      </c>
      <c r="C195" s="26" t="n">
        <v>14</v>
      </c>
      <c r="D195" s="27" t="inlineStr">
        <is>
          <t>某字號舖親手交付云云</t>
        </is>
      </c>
      <c r="E195" s="32" t="inlineStr">
        <is>
          <t>其利殖之法</t>
        </is>
      </c>
      <c r="F195" s="27" t="inlineStr">
        <is>
          <t>無</t>
        </is>
      </c>
      <c r="G195" s="26" t="inlineStr">
        <is>
          <t>●</t>
        </is>
      </c>
      <c r="H195" s="29" t="n"/>
      <c r="I195" s="30" t="n"/>
      <c r="J195" s="30" t="n"/>
      <c r="K195" s="30" t="n"/>
      <c r="L195" s="30" t="n"/>
      <c r="M195" s="31" t="n"/>
      <c r="N195" s="29" t="n"/>
      <c r="O195" s="31" t="n"/>
    </row>
    <row r="196" ht="15" customHeight="1" s="16">
      <c r="A196" s="26" t="n">
        <v>195</v>
      </c>
      <c r="B196" s="26" t="n">
        <v>54</v>
      </c>
      <c r="C196" s="26" t="n">
        <v>15</v>
      </c>
      <c r="D196" s="27" t="inlineStr">
        <is>
          <t>其利殖之法</t>
        </is>
      </c>
      <c r="E196" s="28" t="inlineStr">
        <is>
          <t>無</t>
        </is>
      </c>
      <c r="F196" s="27" t="inlineStr">
        <is>
          <t>過什二</t>
        </is>
      </c>
      <c r="G196" s="26" t="n"/>
      <c r="H196" s="29" t="n"/>
      <c r="I196" s="30" t="n"/>
      <c r="J196" s="30" t="n"/>
      <c r="K196" s="30" t="n"/>
      <c r="L196" s="30" t="n"/>
      <c r="M196" s="31" t="n"/>
      <c r="N196" s="29" t="n"/>
      <c r="O196" s="31" t="n"/>
    </row>
    <row r="197" ht="15" customHeight="1" s="16">
      <c r="A197" s="26" t="n">
        <v>196</v>
      </c>
      <c r="B197" s="26" t="n">
        <v>54</v>
      </c>
      <c r="C197" s="26" t="n">
        <v>16</v>
      </c>
      <c r="D197" s="27" t="inlineStr">
        <is>
          <t>無</t>
        </is>
      </c>
      <c r="E197" s="32" t="inlineStr">
        <is>
          <t>過什二</t>
        </is>
      </c>
      <c r="F197" s="27" t="inlineStr">
        <is>
          <t>過期一朔</t>
        </is>
      </c>
      <c r="G197" s="26" t="inlineStr">
        <is>
          <t>●</t>
        </is>
      </c>
      <c r="H197" s="29" t="n"/>
      <c r="I197" s="30" t="n"/>
      <c r="J197" s="30" t="n"/>
      <c r="K197" s="30" t="n"/>
      <c r="L197" s="30" t="n"/>
      <c r="M197" s="31" t="n"/>
      <c r="N197" s="29" t="n"/>
      <c r="O197" s="31" t="n"/>
    </row>
    <row r="198" ht="15" customHeight="1" s="16">
      <c r="A198" s="26" t="n">
        <v>197</v>
      </c>
      <c r="B198" s="26" t="n">
        <v>54</v>
      </c>
      <c r="C198" s="26" t="n">
        <v>17</v>
      </c>
      <c r="D198" s="27" t="inlineStr">
        <is>
          <t>過什二</t>
        </is>
      </c>
      <c r="E198" s="28" t="inlineStr">
        <is>
          <t>過期一朔</t>
        </is>
      </c>
      <c r="F198" s="27" t="inlineStr">
        <is>
          <t>許賣</t>
        </is>
      </c>
      <c r="G198" s="26" t="n"/>
      <c r="H198" s="29" t="n"/>
      <c r="I198" s="30" t="n"/>
      <c r="J198" s="30" t="n"/>
      <c r="K198" s="30" t="n"/>
      <c r="L198" s="30" t="n"/>
      <c r="M198" s="31" t="n"/>
      <c r="N198" s="29" t="n"/>
      <c r="O198" s="31" t="n"/>
    </row>
    <row r="199" ht="15" customHeight="1" s="16">
      <c r="A199" s="26" t="n">
        <v>198</v>
      </c>
      <c r="B199" s="26" t="n">
        <v>54</v>
      </c>
      <c r="C199" s="26" t="n">
        <v>18</v>
      </c>
      <c r="D199" s="27" t="inlineStr">
        <is>
          <t>過期一朔</t>
        </is>
      </c>
      <c r="E199" s="32" t="inlineStr">
        <is>
          <t>許賣</t>
        </is>
      </c>
      <c r="F199" s="27" t="inlineStr">
        <is>
          <t>典當題著金字柱聯曰</t>
        </is>
      </c>
      <c r="G199" s="26" t="inlineStr">
        <is>
          <t>●</t>
        </is>
      </c>
      <c r="H199" s="29" t="n"/>
      <c r="I199" s="30" t="n"/>
      <c r="J199" s="30" t="n"/>
      <c r="K199" s="30" t="n"/>
      <c r="L199" s="30" t="n"/>
      <c r="M199" s="31" t="n"/>
      <c r="N199" s="29" t="n"/>
      <c r="O199" s="31" t="n"/>
    </row>
    <row r="200" ht="15" customHeight="1" s="16">
      <c r="A200" s="26" t="n">
        <v>199</v>
      </c>
      <c r="B200" s="26" t="n">
        <v>54</v>
      </c>
      <c r="C200" s="26" t="n">
        <v>19</v>
      </c>
      <c r="D200" s="27" t="inlineStr">
        <is>
          <t>許賣</t>
        </is>
      </c>
      <c r="E200" s="32" t="inlineStr">
        <is>
          <t>典當題著金字柱聯曰</t>
        </is>
      </c>
      <c r="F200" s="27" t="inlineStr">
        <is>
          <t>洪範九疇先言富</t>
        </is>
      </c>
      <c r="G200" s="26" t="inlineStr">
        <is>
          <t>●</t>
        </is>
      </c>
      <c r="H200" s="29" t="n"/>
      <c r="I200" s="30" t="n"/>
      <c r="J200" s="30" t="n"/>
      <c r="K200" s="30" t="n"/>
      <c r="L200" s="30" t="n"/>
      <c r="M200" s="31" t="n"/>
      <c r="N200" s="29" t="n"/>
      <c r="O200" s="31" t="n"/>
    </row>
    <row r="201" ht="15" customHeight="1" s="16">
      <c r="A201" s="26" t="n">
        <v>200</v>
      </c>
      <c r="B201" s="26" t="n">
        <v>54</v>
      </c>
      <c r="C201" s="26" t="n">
        <v>20</v>
      </c>
      <c r="D201" s="27" t="inlineStr">
        <is>
          <t>典當題著金字柱聯曰</t>
        </is>
      </c>
      <c r="E201" s="32" t="inlineStr">
        <is>
          <t>洪範九疇先言富</t>
        </is>
      </c>
      <c r="F201" s="27" t="inlineStr">
        <is>
          <t>大學十章半論財</t>
        </is>
      </c>
      <c r="G201" s="26" t="inlineStr">
        <is>
          <t>●</t>
        </is>
      </c>
      <c r="H201" s="29" t="n"/>
      <c r="I201" s="30" t="n"/>
      <c r="J201" s="30" t="n"/>
      <c r="K201" s="30" t="n"/>
      <c r="L201" s="30" t="n"/>
      <c r="M201" s="31" t="n"/>
      <c r="N201" s="29" t="n"/>
      <c r="O201" s="31" t="n"/>
    </row>
    <row r="202" ht="15" customHeight="1" s="16">
      <c r="A202" s="26" t="n">
        <v>201</v>
      </c>
      <c r="B202" s="26" t="n">
        <v>54</v>
      </c>
      <c r="C202" s="26" t="n">
        <v>21</v>
      </c>
      <c r="D202" s="27" t="inlineStr">
        <is>
          <t>洪範九疇先言富</t>
        </is>
      </c>
      <c r="E202" s="32" t="inlineStr">
        <is>
          <t>大學十章半論財</t>
        </is>
      </c>
      <c r="F202" s="27" t="inlineStr">
        <is>
          <t>以薥黍柄</t>
        </is>
      </c>
      <c r="G202" s="26" t="inlineStr">
        <is>
          <t>●</t>
        </is>
      </c>
      <c r="H202" s="29" t="n"/>
      <c r="I202" s="30" t="n"/>
      <c r="J202" s="30" t="n"/>
      <c r="K202" s="30" t="n"/>
      <c r="L202" s="30" t="n"/>
      <c r="M202" s="31" t="n"/>
      <c r="N202" s="29" t="n"/>
      <c r="O202" s="31" t="n"/>
    </row>
    <row r="203" ht="15" customHeight="1" s="16">
      <c r="A203" s="26" t="n">
        <v>202</v>
      </c>
      <c r="B203" s="26" t="n">
        <v>54</v>
      </c>
      <c r="C203" s="26" t="n">
        <v>22</v>
      </c>
      <c r="D203" s="27" t="inlineStr">
        <is>
          <t>大學十章半論財</t>
        </is>
      </c>
      <c r="E203" s="28" t="inlineStr">
        <is>
          <t>以薥黍柄</t>
        </is>
      </c>
      <c r="F203" s="27" t="inlineStr">
        <is>
          <t>巧搆</t>
        </is>
      </c>
      <c r="G203" s="26" t="n"/>
      <c r="H203" s="29" t="n"/>
      <c r="I203" s="30" t="n"/>
      <c r="J203" s="30" t="n"/>
      <c r="K203" s="30" t="n"/>
      <c r="L203" s="30" t="n"/>
      <c r="M203" s="31" t="n"/>
      <c r="N203" s="29" t="n"/>
      <c r="O203" s="31" t="n"/>
    </row>
    <row r="204" ht="15" customHeight="1" s="16">
      <c r="A204" s="26" t="n">
        <v>203</v>
      </c>
      <c r="B204" s="26" t="n">
        <v>56</v>
      </c>
      <c r="C204" s="26" t="n">
        <v>9</v>
      </c>
      <c r="D204" s="27" t="inlineStr">
        <is>
          <t>上房乾粮判事</t>
        </is>
      </c>
      <c r="E204" s="28" t="inlineStr">
        <is>
          <t>賭紙牌以遣閒</t>
        </is>
      </c>
      <c r="F204" s="27" t="inlineStr">
        <is>
          <t>且博飮資也</t>
        </is>
      </c>
      <c r="G204" s="26" t="n"/>
      <c r="H204" s="29" t="n"/>
      <c r="I204" s="30" t="n"/>
      <c r="J204" s="30" t="n"/>
      <c r="K204" s="30" t="n"/>
      <c r="L204" s="30" t="n"/>
      <c r="M204" s="31" t="n"/>
      <c r="N204" s="29" t="n"/>
      <c r="O204" s="31" t="n"/>
    </row>
    <row r="205" ht="15" customHeight="1" s="16">
      <c r="A205" s="26" t="n">
        <v>204</v>
      </c>
      <c r="B205" s="26" t="n">
        <v>56</v>
      </c>
      <c r="C205" s="26" t="n">
        <v>10</v>
      </c>
      <c r="D205" s="27" t="inlineStr">
        <is>
          <t>賭紙牌以遣閒</t>
        </is>
      </c>
      <c r="E205" s="32" t="inlineStr">
        <is>
          <t>且博飮資也</t>
        </is>
      </c>
      <c r="F205" s="27" t="inlineStr">
        <is>
          <t>諸君</t>
        </is>
      </c>
      <c r="G205" s="26" t="inlineStr">
        <is>
          <t>●</t>
        </is>
      </c>
      <c r="H205" s="29" t="n"/>
      <c r="I205" s="30" t="n"/>
      <c r="J205" s="30" t="n"/>
      <c r="K205" s="30" t="n"/>
      <c r="L205" s="30" t="n"/>
      <c r="M205" s="31" t="n"/>
      <c r="N205" s="29" t="n"/>
      <c r="O205" s="31" t="n"/>
    </row>
    <row r="206" ht="15" customHeight="1" s="16">
      <c r="A206" s="26" t="n">
        <v>205</v>
      </c>
      <c r="B206" s="26" t="n">
        <v>56</v>
      </c>
      <c r="C206" s="26" t="n">
        <v>11</v>
      </c>
      <c r="D206" s="27" t="inlineStr">
        <is>
          <t>且博飮資也</t>
        </is>
      </c>
      <c r="E206" s="28" t="inlineStr">
        <is>
          <t>諸君</t>
        </is>
      </c>
      <c r="F206" s="27" t="inlineStr">
        <is>
          <t>以余手劣</t>
        </is>
      </c>
      <c r="G206" s="26" t="n"/>
      <c r="H206" s="29" t="n"/>
      <c r="I206" s="30" t="n"/>
      <c r="J206" s="30" t="n"/>
      <c r="K206" s="30" t="n"/>
      <c r="L206" s="30" t="n"/>
      <c r="M206" s="31" t="n"/>
      <c r="N206" s="29" t="n"/>
      <c r="O206" s="31" t="n"/>
    </row>
    <row r="207" ht="15" customHeight="1" s="16">
      <c r="A207" s="26" t="n">
        <v>206</v>
      </c>
      <c r="B207" s="26" t="n">
        <v>57</v>
      </c>
      <c r="C207" s="26" t="n">
        <v>19</v>
      </c>
      <c r="D207" s="27" t="inlineStr">
        <is>
          <t>略施朱粉</t>
        </is>
      </c>
      <c r="E207" s="28" t="inlineStr">
        <is>
          <t>身着一領黑色長衣</t>
        </is>
      </c>
      <c r="F207" s="27" t="inlineStr">
        <is>
          <t>遍鎖銀紐</t>
        </is>
      </c>
      <c r="G207" s="26" t="n"/>
      <c r="H207" s="29" t="n"/>
      <c r="I207" s="30" t="n"/>
      <c r="J207" s="30" t="n"/>
      <c r="K207" s="30" t="n"/>
      <c r="L207" s="30" t="n"/>
      <c r="M207" s="31" t="n"/>
      <c r="N207" s="29" t="n"/>
      <c r="O207" s="31" t="n"/>
    </row>
    <row r="208" ht="15" customHeight="1" s="16">
      <c r="A208" s="26" t="n">
        <v>207</v>
      </c>
      <c r="B208" s="26" t="n">
        <v>57</v>
      </c>
      <c r="C208" s="26" t="n">
        <v>20</v>
      </c>
      <c r="D208" s="27" t="inlineStr">
        <is>
          <t>身着一領黑色長衣</t>
        </is>
      </c>
      <c r="E208" s="32" t="inlineStr">
        <is>
          <t>遍鎖銀紐</t>
        </is>
      </c>
      <c r="F208" s="27" t="inlineStr">
        <is>
          <t>足下穿一對靴子</t>
        </is>
      </c>
      <c r="G208" s="26" t="inlineStr">
        <is>
          <t>●</t>
        </is>
      </c>
      <c r="H208" s="29" t="n"/>
      <c r="I208" s="30" t="n"/>
      <c r="J208" s="30" t="n"/>
      <c r="K208" s="30" t="n"/>
      <c r="L208" s="30" t="n"/>
      <c r="M208" s="31" t="n"/>
      <c r="N208" s="29" t="n"/>
      <c r="O208" s="31" t="n"/>
    </row>
    <row r="209" ht="15" customHeight="1" s="16">
      <c r="A209" s="26" t="n">
        <v>208</v>
      </c>
      <c r="B209" s="26" t="n">
        <v>57</v>
      </c>
      <c r="C209" s="26" t="n">
        <v>21</v>
      </c>
      <c r="D209" s="27" t="inlineStr">
        <is>
          <t>遍鎖銀紐</t>
        </is>
      </c>
      <c r="E209" s="28" t="inlineStr">
        <is>
          <t>足下穿一對靴子</t>
        </is>
      </c>
      <c r="F209" s="27" t="inlineStr">
        <is>
          <t>繡得草花蜂蝶</t>
        </is>
      </c>
      <c r="G209" s="26" t="n"/>
      <c r="H209" s="29" t="n"/>
      <c r="I209" s="30" t="n"/>
      <c r="J209" s="30" t="n"/>
      <c r="K209" s="30" t="n"/>
      <c r="L209" s="30" t="n"/>
      <c r="M209" s="31" t="n"/>
      <c r="N209" s="29" t="n"/>
      <c r="O209" s="31" t="n"/>
    </row>
    <row r="210" ht="15" customHeight="1" s="16">
      <c r="A210" s="26" t="n">
        <v>209</v>
      </c>
      <c r="B210" s="26" t="n">
        <v>63</v>
      </c>
      <c r="C210" s="26" t="n">
        <v>24</v>
      </c>
      <c r="D210" s="27" t="inlineStr">
        <is>
          <t>不曾傷害了一柄薥黍</t>
        </is>
      </c>
      <c r="E210" s="28" t="inlineStr">
        <is>
          <t>柰何枉殺了這個牲口</t>
        </is>
      </c>
      <c r="F210" s="27" t="inlineStr">
        <is>
          <t>爾們應須追徵猪價麽</t>
        </is>
      </c>
      <c r="G210" s="26" t="n"/>
      <c r="H210" s="29" t="n"/>
      <c r="I210" s="30" t="n"/>
      <c r="J210" s="30" t="n"/>
      <c r="K210" s="30" t="n"/>
      <c r="L210" s="30" t="n"/>
      <c r="M210" s="31" t="n"/>
      <c r="N210" s="29" t="n"/>
      <c r="O210" s="31" t="n"/>
    </row>
    <row r="211" ht="15" customHeight="1" s="16">
      <c r="A211" s="26" t="n">
        <v>210</v>
      </c>
      <c r="B211" s="26" t="n">
        <v>63</v>
      </c>
      <c r="C211" s="26" t="n">
        <v>25</v>
      </c>
      <c r="D211" s="27" t="inlineStr">
        <is>
          <t>柰何枉殺了這個牲口</t>
        </is>
      </c>
      <c r="E211" s="32" t="inlineStr">
        <is>
          <t>爾們應須追徵猪價麽</t>
        </is>
      </c>
      <c r="F211" s="27" t="inlineStr">
        <is>
          <t>店主曰</t>
        </is>
      </c>
      <c r="G211" s="26" t="inlineStr">
        <is>
          <t>●</t>
        </is>
      </c>
      <c r="H211" s="29" t="n"/>
      <c r="I211" s="30" t="n"/>
      <c r="J211" s="30" t="n"/>
      <c r="K211" s="30" t="n"/>
      <c r="L211" s="30" t="n"/>
      <c r="M211" s="31" t="n"/>
      <c r="N211" s="29" t="n"/>
      <c r="O211" s="31" t="n"/>
    </row>
    <row r="212" ht="15" customHeight="1" s="16">
      <c r="A212" s="26" t="n">
        <v>211</v>
      </c>
      <c r="B212" s="26" t="n">
        <v>63</v>
      </c>
      <c r="C212" s="26" t="n">
        <v>26</v>
      </c>
      <c r="D212" s="27" t="inlineStr">
        <is>
          <t>爾們應須追徵猪價麽</t>
        </is>
      </c>
      <c r="E212" s="28" t="inlineStr">
        <is>
          <t>店主曰</t>
        </is>
      </c>
      <c r="F212" s="27" t="inlineStr">
        <is>
          <t>那敢追徵</t>
        </is>
      </c>
      <c r="G212" s="26" t="n"/>
      <c r="H212" s="29" t="n"/>
      <c r="I212" s="30" t="n"/>
      <c r="J212" s="30" t="n"/>
      <c r="K212" s="30" t="n"/>
      <c r="L212" s="30" t="n"/>
      <c r="M212" s="31" t="n"/>
      <c r="N212" s="29" t="n"/>
      <c r="O212" s="31" t="n"/>
    </row>
    <row r="213" ht="15" customHeight="1" s="16">
      <c r="A213" s="26" t="n">
        <v>212</v>
      </c>
      <c r="B213" s="26" t="n">
        <v>63</v>
      </c>
      <c r="C213" s="26" t="n">
        <v>31</v>
      </c>
      <c r="D213" s="27" t="inlineStr">
        <is>
          <t>是我之不是處</t>
        </is>
      </c>
      <c r="E213" s="28" t="inlineStr">
        <is>
          <t>盖康煕甚重稼穡制</t>
        </is>
      </c>
      <c r="F213" s="27" t="inlineStr">
        <is>
          <t>牛馬踐穀者倍徵</t>
        </is>
      </c>
      <c r="G213" s="26" t="n"/>
      <c r="H213" s="29" t="n"/>
      <c r="I213" s="30" t="n"/>
      <c r="J213" s="30" t="n"/>
      <c r="K213" s="30" t="n"/>
      <c r="L213" s="30" t="n"/>
      <c r="M213" s="31" t="n"/>
      <c r="N213" s="29" t="n"/>
      <c r="O213" s="31" t="n"/>
    </row>
    <row r="214" ht="15" customHeight="1" s="16">
      <c r="A214" s="26" t="n">
        <v>213</v>
      </c>
      <c r="B214" s="26" t="n">
        <v>63</v>
      </c>
      <c r="C214" s="26" t="n">
        <v>32</v>
      </c>
      <c r="D214" s="27" t="inlineStr">
        <is>
          <t>盖康煕甚重稼穡制</t>
        </is>
      </c>
      <c r="E214" s="32" t="inlineStr">
        <is>
          <t>牛馬踐穀者倍徵</t>
        </is>
      </c>
      <c r="F214" s="27" t="inlineStr">
        <is>
          <t>故放者杖六十</t>
        </is>
      </c>
      <c r="G214" s="26" t="inlineStr">
        <is>
          <t>●</t>
        </is>
      </c>
      <c r="H214" s="29" t="n"/>
      <c r="I214" s="30" t="n"/>
      <c r="J214" s="30" t="n"/>
      <c r="K214" s="30" t="n"/>
      <c r="L214" s="30" t="n"/>
      <c r="M214" s="31" t="n"/>
      <c r="N214" s="29" t="n"/>
      <c r="O214" s="31" t="n"/>
    </row>
    <row r="215" ht="15" customHeight="1" s="16">
      <c r="A215" s="26" t="n">
        <v>214</v>
      </c>
      <c r="B215" s="26" t="n">
        <v>63</v>
      </c>
      <c r="C215" s="26" t="n">
        <v>33</v>
      </c>
      <c r="D215" s="27" t="inlineStr">
        <is>
          <t>牛馬踐穀者倍徵</t>
        </is>
      </c>
      <c r="E215" s="28" t="inlineStr">
        <is>
          <t>故放者杖六十</t>
        </is>
      </c>
      <c r="F215" s="27" t="inlineStr">
        <is>
          <t>羊豕入田中</t>
        </is>
      </c>
      <c r="G215" s="26" t="n"/>
      <c r="H215" s="29" t="n"/>
      <c r="I215" s="30" t="n"/>
      <c r="J215" s="30" t="n"/>
      <c r="K215" s="30" t="n"/>
      <c r="L215" s="30" t="n"/>
      <c r="M215" s="31" t="n"/>
      <c r="N215" s="29" t="n"/>
      <c r="O215" s="31" t="n"/>
    </row>
    <row r="216" ht="15" customHeight="1" s="16">
      <c r="A216" s="26" t="n">
        <v>215</v>
      </c>
      <c r="B216" s="26" t="n">
        <v>65</v>
      </c>
      <c r="C216" s="26" t="n">
        <v>47</v>
      </c>
      <c r="D216" s="27" t="inlineStr">
        <is>
          <t>則莫如先改</t>
        </is>
      </c>
      <c r="E216" s="28" t="inlineStr">
        <is>
          <t>窰制</t>
        </is>
      </c>
      <c r="F216" s="27" t="inlineStr">
        <is>
          <t>以兩利之</t>
        </is>
      </c>
      <c r="G216" s="26" t="n"/>
      <c r="H216" s="29" t="n"/>
      <c r="I216" s="30" t="n"/>
      <c r="J216" s="30" t="n"/>
      <c r="K216" s="30" t="n"/>
      <c r="L216" s="30" t="n"/>
      <c r="M216" s="31" t="n"/>
      <c r="N216" s="29" t="n"/>
      <c r="O216" s="31" t="n"/>
    </row>
    <row r="217" ht="15" customHeight="1" s="16">
      <c r="A217" s="26" t="n">
        <v>216</v>
      </c>
      <c r="B217" s="26" t="n">
        <v>65</v>
      </c>
      <c r="C217" s="26" t="n">
        <v>48</v>
      </c>
      <c r="D217" s="27" t="inlineStr">
        <is>
          <t>窰制</t>
        </is>
      </c>
      <c r="E217" s="32" t="inlineStr">
        <is>
          <t>以兩利之</t>
        </is>
      </c>
      <c r="F217" s="27" t="inlineStr">
        <is>
          <t>鰲城</t>
        </is>
      </c>
      <c r="G217" s="26" t="inlineStr">
        <is>
          <t>●</t>
        </is>
      </c>
      <c r="H217" s="29" t="n"/>
      <c r="I217" s="30" t="n"/>
      <c r="J217" s="30" t="n"/>
      <c r="K217" s="30" t="n"/>
      <c r="L217" s="30" t="n"/>
      <c r="M217" s="31" t="n"/>
      <c r="N217" s="29" t="n"/>
      <c r="O217" s="31" t="n"/>
    </row>
    <row r="218" ht="15" customHeight="1" s="16">
      <c r="A218" s="26" t="n">
        <v>217</v>
      </c>
      <c r="B218" s="26" t="n">
        <v>65</v>
      </c>
      <c r="C218" s="26" t="n">
        <v>49</v>
      </c>
      <c r="D218" s="27" t="inlineStr">
        <is>
          <t>以兩利之</t>
        </is>
      </c>
      <c r="E218" s="28" t="inlineStr">
        <is>
          <t>鰲城</t>
        </is>
      </c>
      <c r="F218" s="27" t="inlineStr">
        <is>
          <t>李公恒福</t>
        </is>
      </c>
      <c r="G218" s="26" t="n"/>
      <c r="H218" s="29" t="n"/>
      <c r="I218" s="30" t="n"/>
      <c r="J218" s="30" t="n"/>
      <c r="K218" s="30" t="n"/>
      <c r="L218" s="30" t="n"/>
      <c r="M218" s="31" t="n"/>
      <c r="N218" s="29" t="n"/>
      <c r="O218" s="31" t="n"/>
    </row>
    <row r="219" ht="15" customHeight="1" s="16">
      <c r="A219" s="26" t="n">
        <v>218</v>
      </c>
      <c r="B219" s="26" t="n">
        <v>65</v>
      </c>
      <c r="C219" s="26" t="n">
        <v>50</v>
      </c>
      <c r="D219" s="27" t="inlineStr">
        <is>
          <t>鰲城</t>
        </is>
      </c>
      <c r="E219" s="28" t="inlineStr">
        <is>
          <t>李公恒福</t>
        </is>
      </c>
      <c r="F219" s="27" t="inlineStr">
        <is>
          <t>老稼齋皆說甓利</t>
        </is>
      </c>
      <c r="G219" s="26" t="n"/>
      <c r="H219" s="29" t="n"/>
      <c r="I219" s="30" t="n"/>
      <c r="J219" s="30" t="n"/>
      <c r="K219" s="30" t="n"/>
      <c r="L219" s="30" t="n"/>
      <c r="M219" s="31" t="n"/>
      <c r="N219" s="29" t="n"/>
      <c r="O219" s="31" t="n"/>
    </row>
    <row r="220" ht="15" customHeight="1" s="16">
      <c r="A220" s="26" t="n">
        <v>219</v>
      </c>
      <c r="B220" s="26" t="n">
        <v>65</v>
      </c>
      <c r="C220" s="26" t="n">
        <v>51</v>
      </c>
      <c r="D220" s="27" t="inlineStr">
        <is>
          <t>李公恒福</t>
        </is>
      </c>
      <c r="E220" s="32" t="inlineStr">
        <is>
          <t>老稼齋皆說甓利</t>
        </is>
      </c>
      <c r="F220" s="27" t="inlineStr">
        <is>
          <t>而不詳窰制</t>
        </is>
      </c>
      <c r="G220" s="26" t="inlineStr">
        <is>
          <t>●</t>
        </is>
      </c>
      <c r="H220" s="29" t="n"/>
      <c r="I220" s="30" t="n"/>
      <c r="J220" s="30" t="n"/>
      <c r="K220" s="30" t="n"/>
      <c r="L220" s="30" t="n"/>
      <c r="M220" s="31" t="n"/>
      <c r="N220" s="29" t="n"/>
      <c r="O220" s="31" t="n"/>
    </row>
    <row r="221" ht="15" customHeight="1" s="16">
      <c r="A221" s="26" t="n">
        <v>220</v>
      </c>
      <c r="B221" s="26" t="n">
        <v>65</v>
      </c>
      <c r="C221" s="26" t="n">
        <v>52</v>
      </c>
      <c r="D221" s="27" t="inlineStr">
        <is>
          <t>老稼齋皆說甓利</t>
        </is>
      </c>
      <c r="E221" s="28" t="inlineStr">
        <is>
          <t>而不詳窰制</t>
        </is>
      </c>
      <c r="F221" s="27" t="inlineStr">
        <is>
          <t>甚可恨也</t>
        </is>
      </c>
      <c r="G221" s="26" t="n"/>
      <c r="H221" s="29" t="n"/>
      <c r="I221" s="30" t="n"/>
      <c r="J221" s="30" t="n"/>
      <c r="K221" s="30" t="n"/>
      <c r="L221" s="30" t="n"/>
      <c r="M221" s="31" t="n"/>
      <c r="N221" s="29" t="n"/>
      <c r="O221" s="31" t="n"/>
    </row>
    <row r="222" ht="15" customHeight="1" s="16">
      <c r="A222" s="26" t="n">
        <v>221</v>
      </c>
      <c r="B222" s="26" t="n">
        <v>66</v>
      </c>
      <c r="C222" s="26" t="n">
        <v>7</v>
      </c>
      <c r="D222" s="27" t="inlineStr">
        <is>
          <t>余遂躍然投座</t>
        </is>
      </c>
      <c r="E222" s="28" t="inlineStr">
        <is>
          <t>連勝五次</t>
        </is>
      </c>
      <c r="F222" s="27" t="inlineStr">
        <is>
          <t>得錢百餘</t>
        </is>
      </c>
      <c r="G222" s="26" t="n"/>
      <c r="H222" s="29" t="n"/>
      <c r="I222" s="30" t="n"/>
      <c r="J222" s="30" t="n"/>
      <c r="K222" s="30" t="n"/>
      <c r="L222" s="30" t="n"/>
      <c r="M222" s="31" t="n"/>
      <c r="N222" s="29" t="n"/>
      <c r="O222" s="31" t="n"/>
    </row>
    <row r="223" ht="15" customHeight="1" s="16">
      <c r="A223" s="26" t="n">
        <v>222</v>
      </c>
      <c r="B223" s="26" t="n">
        <v>66</v>
      </c>
      <c r="C223" s="26" t="n">
        <v>8</v>
      </c>
      <c r="D223" s="27" t="inlineStr">
        <is>
          <t>連勝五次</t>
        </is>
      </c>
      <c r="E223" s="32" t="inlineStr">
        <is>
          <t>得錢百餘</t>
        </is>
      </c>
      <c r="F223" s="27" t="inlineStr">
        <is>
          <t>沽</t>
        </is>
      </c>
      <c r="G223" s="26" t="inlineStr">
        <is>
          <t>●</t>
        </is>
      </c>
      <c r="H223" s="29" t="n"/>
      <c r="I223" s="30" t="n"/>
      <c r="J223" s="30" t="n"/>
      <c r="K223" s="30" t="n"/>
      <c r="L223" s="30" t="n"/>
      <c r="M223" s="31" t="n"/>
      <c r="N223" s="29" t="n"/>
      <c r="O223" s="31" t="n"/>
    </row>
    <row r="224" ht="15" customHeight="1" s="16">
      <c r="A224" s="26" t="n">
        <v>223</v>
      </c>
      <c r="B224" s="26" t="n">
        <v>66</v>
      </c>
      <c r="C224" s="26" t="n">
        <v>9</v>
      </c>
      <c r="D224" s="27" t="inlineStr">
        <is>
          <t>得錢百餘</t>
        </is>
      </c>
      <c r="E224" s="28" t="inlineStr">
        <is>
          <t>沽</t>
        </is>
      </c>
      <c r="F224" s="27" t="inlineStr">
        <is>
          <t>酒痛飮</t>
        </is>
      </c>
      <c r="G224" s="26" t="n"/>
      <c r="H224" s="29" t="n"/>
      <c r="I224" s="30" t="n"/>
      <c r="J224" s="30" t="n"/>
      <c r="K224" s="30" t="n"/>
      <c r="L224" s="30" t="n"/>
      <c r="M224" s="31" t="n"/>
      <c r="N224" s="29" t="n"/>
      <c r="O224" s="31" t="n"/>
    </row>
    <row r="225" ht="15" customHeight="1" s="16">
      <c r="A225" s="26" t="n">
        <v>224</v>
      </c>
      <c r="B225" s="26" t="n">
        <v>69</v>
      </c>
      <c r="C225" s="26" t="n">
        <v>6</v>
      </c>
      <c r="D225" s="27" t="inlineStr">
        <is>
          <t>權着九爪蟒袍</t>
        </is>
      </c>
      <c r="E225" s="28" t="inlineStr">
        <is>
          <t>白馬金鞍</t>
        </is>
      </c>
      <c r="F225" s="27" t="inlineStr">
        <is>
          <t>穩踏銀鐙</t>
        </is>
      </c>
      <c r="G225" s="26" t="n"/>
      <c r="H225" s="29" t="n"/>
      <c r="I225" s="30" t="n"/>
      <c r="J225" s="30" t="n"/>
      <c r="K225" s="30" t="n"/>
      <c r="L225" s="30" t="n"/>
      <c r="M225" s="31" t="n"/>
      <c r="N225" s="29" t="n"/>
      <c r="O225" s="31" t="n"/>
    </row>
    <row r="226" ht="15" customHeight="1" s="16">
      <c r="A226" s="26" t="n">
        <v>225</v>
      </c>
      <c r="B226" s="26" t="n">
        <v>69</v>
      </c>
      <c r="C226" s="26" t="n">
        <v>7</v>
      </c>
      <c r="D226" s="27" t="inlineStr">
        <is>
          <t>白馬金鞍</t>
        </is>
      </c>
      <c r="E226" s="32" t="inlineStr">
        <is>
          <t>穩踏銀鐙</t>
        </is>
      </c>
      <c r="F226" s="27" t="inlineStr">
        <is>
          <t>堆着笑臉</t>
        </is>
      </c>
      <c r="G226" s="26" t="inlineStr">
        <is>
          <t>●</t>
        </is>
      </c>
      <c r="H226" s="29" t="n"/>
      <c r="I226" s="30" t="n"/>
      <c r="J226" s="30" t="n"/>
      <c r="K226" s="30" t="n"/>
      <c r="L226" s="30" t="n"/>
      <c r="M226" s="31" t="n"/>
      <c r="N226" s="29" t="n"/>
      <c r="O226" s="31" t="n"/>
    </row>
    <row r="227" ht="15" customHeight="1" s="16">
      <c r="A227" s="26" t="n">
        <v>226</v>
      </c>
      <c r="B227" s="26" t="n">
        <v>69</v>
      </c>
      <c r="C227" s="26" t="n">
        <v>8</v>
      </c>
      <c r="D227" s="27" t="inlineStr">
        <is>
          <t>穩踏銀鐙</t>
        </is>
      </c>
      <c r="E227" s="28" t="inlineStr">
        <is>
          <t>堆着笑臉</t>
        </is>
      </c>
      <c r="F227" s="27" t="inlineStr">
        <is>
          <t>後有三兩車</t>
        </is>
      </c>
      <c r="G227" s="26" t="n"/>
      <c r="H227" s="29" t="n"/>
      <c r="I227" s="30" t="n"/>
      <c r="J227" s="30" t="n"/>
      <c r="K227" s="30" t="n"/>
      <c r="L227" s="30" t="n"/>
      <c r="M227" s="31" t="n"/>
      <c r="N227" s="29" t="n"/>
      <c r="O227" s="31" t="n"/>
    </row>
    <row r="228" ht="15" customHeight="1" s="16">
      <c r="A228" s="26" t="n">
        <v>227</v>
      </c>
      <c r="B228" s="26" t="n">
        <v>69</v>
      </c>
      <c r="C228" s="26" t="n">
        <v>18</v>
      </c>
      <c r="D228" s="27" t="inlineStr">
        <is>
          <t>年秋間</t>
        </is>
      </c>
      <c r="E228" s="28" t="inlineStr">
        <is>
          <t>偶有一個秀才</t>
        </is>
      </c>
      <c r="F228" s="27" t="inlineStr">
        <is>
          <t>從稅官京裡來的</t>
        </is>
      </c>
      <c r="G228" s="26" t="n"/>
      <c r="H228" s="29" t="n"/>
      <c r="I228" s="30" t="n"/>
      <c r="J228" s="30" t="n"/>
      <c r="K228" s="30" t="n"/>
      <c r="L228" s="30" t="n"/>
      <c r="M228" s="31" t="n"/>
      <c r="N228" s="29" t="n"/>
      <c r="O228" s="31" t="n"/>
    </row>
    <row r="229" ht="15" customHeight="1" s="16">
      <c r="A229" s="26" t="n">
        <v>228</v>
      </c>
      <c r="B229" s="26" t="n">
        <v>69</v>
      </c>
      <c r="C229" s="26" t="n">
        <v>19</v>
      </c>
      <c r="D229" s="27" t="inlineStr">
        <is>
          <t>偶有一個秀才</t>
        </is>
      </c>
      <c r="E229" s="32" t="inlineStr">
        <is>
          <t>從稅官京裡來的</t>
        </is>
      </c>
      <c r="F229" s="27" t="inlineStr">
        <is>
          <t>一路上染得暑痢</t>
        </is>
      </c>
      <c r="G229" s="26" t="inlineStr">
        <is>
          <t>●</t>
        </is>
      </c>
      <c r="H229" s="29" t="n"/>
      <c r="I229" s="30" t="n"/>
      <c r="J229" s="30" t="n"/>
      <c r="K229" s="30" t="n"/>
      <c r="L229" s="30" t="n"/>
      <c r="M229" s="31" t="n"/>
      <c r="N229" s="29" t="n"/>
      <c r="O229" s="31" t="n"/>
    </row>
    <row r="230" ht="15" customHeight="1" s="16">
      <c r="A230" s="26" t="n">
        <v>229</v>
      </c>
      <c r="B230" s="26" t="n">
        <v>69</v>
      </c>
      <c r="C230" s="26" t="n">
        <v>20</v>
      </c>
      <c r="D230" s="27" t="inlineStr">
        <is>
          <t>從稅官京裡來的</t>
        </is>
      </c>
      <c r="E230" s="28" t="inlineStr">
        <is>
          <t>一路上染得暑痢</t>
        </is>
      </c>
      <c r="F230" s="27" t="inlineStr">
        <is>
          <t>落留此間</t>
        </is>
      </c>
      <c r="G230" s="26" t="n"/>
      <c r="H230" s="29" t="n"/>
      <c r="I230" s="30" t="n"/>
      <c r="J230" s="30" t="n"/>
      <c r="K230" s="30" t="n"/>
      <c r="L230" s="30" t="n"/>
      <c r="M230" s="31" t="n"/>
      <c r="N230" s="29" t="n"/>
      <c r="O230" s="31" t="n"/>
    </row>
    <row r="231" ht="15" customHeight="1" s="16">
      <c r="A231" s="26" t="n">
        <v>230</v>
      </c>
      <c r="B231" s="26" t="n">
        <v>69</v>
      </c>
      <c r="C231" s="26" t="n">
        <v>42</v>
      </c>
      <c r="D231" s="27" t="inlineStr">
        <is>
          <t>余問這個先生姓甚名誰</t>
        </is>
      </c>
      <c r="E231" s="28" t="inlineStr">
        <is>
          <t>店主曰</t>
        </is>
      </c>
      <c r="F231" s="27" t="inlineStr">
        <is>
          <t>一邨坊都叫他富先</t>
        </is>
      </c>
      <c r="G231" s="26" t="n"/>
      <c r="H231" s="29" t="n"/>
      <c r="I231" s="30" t="n"/>
      <c r="J231" s="30" t="n"/>
      <c r="K231" s="30" t="n"/>
      <c r="L231" s="30" t="n"/>
      <c r="M231" s="31" t="n"/>
      <c r="N231" s="29" t="n"/>
      <c r="O231" s="31" t="n"/>
    </row>
    <row r="232" ht="15" customHeight="1" s="16">
      <c r="A232" s="26" t="n">
        <v>231</v>
      </c>
      <c r="B232" s="26" t="n">
        <v>69</v>
      </c>
      <c r="C232" s="26" t="n">
        <v>43</v>
      </c>
      <c r="D232" s="27" t="inlineStr">
        <is>
          <t>店主曰</t>
        </is>
      </c>
      <c r="E232" s="32" t="inlineStr">
        <is>
          <t>一邨坊都叫他富先</t>
        </is>
      </c>
      <c r="F232" s="27" t="inlineStr">
        <is>
          <t>生</t>
        </is>
      </c>
      <c r="G232" s="26" t="inlineStr">
        <is>
          <t>●</t>
        </is>
      </c>
      <c r="H232" s="29" t="n"/>
      <c r="I232" s="30" t="n"/>
      <c r="J232" s="30" t="n"/>
      <c r="K232" s="30" t="n"/>
      <c r="L232" s="30" t="n"/>
      <c r="M232" s="31" t="n"/>
      <c r="N232" s="29" t="n"/>
      <c r="O232" s="31" t="n"/>
    </row>
    <row r="233" ht="15" customHeight="1" s="16">
      <c r="A233" s="26" t="n">
        <v>232</v>
      </c>
      <c r="B233" s="26" t="n">
        <v>69</v>
      </c>
      <c r="C233" s="26" t="n">
        <v>44</v>
      </c>
      <c r="D233" s="27" t="inlineStr">
        <is>
          <t>一邨坊都叫他富先</t>
        </is>
      </c>
      <c r="E233" s="28" t="inlineStr">
        <is>
          <t>生</t>
        </is>
      </c>
      <c r="F233" s="27" t="inlineStr">
        <is>
          <t>余問富先生多少年紀</t>
        </is>
      </c>
      <c r="G233" s="26" t="n"/>
      <c r="H233" s="29" t="n"/>
      <c r="I233" s="30" t="n"/>
      <c r="J233" s="30" t="n"/>
      <c r="K233" s="30" t="n"/>
      <c r="L233" s="30" t="n"/>
      <c r="M233" s="31" t="n"/>
      <c r="N233" s="29" t="n"/>
      <c r="O233" s="31" t="n"/>
    </row>
    <row r="234" ht="15" customHeight="1" s="16">
      <c r="A234" s="26" t="n">
        <v>233</v>
      </c>
      <c r="B234" s="26" t="n">
        <v>69</v>
      </c>
      <c r="C234" s="26" t="n">
        <v>45</v>
      </c>
      <c r="D234" s="27" t="inlineStr">
        <is>
          <t>生</t>
        </is>
      </c>
      <c r="E234" s="32" t="inlineStr">
        <is>
          <t>余問富先生多少年紀</t>
        </is>
      </c>
      <c r="F234" s="27" t="inlineStr">
        <is>
          <t>店主曰</t>
        </is>
      </c>
      <c r="G234" s="26" t="inlineStr">
        <is>
          <t>●</t>
        </is>
      </c>
      <c r="H234" s="29" t="n"/>
      <c r="I234" s="30" t="n"/>
      <c r="J234" s="30" t="n"/>
      <c r="K234" s="30" t="n"/>
      <c r="L234" s="30" t="n"/>
      <c r="M234" s="31" t="n"/>
      <c r="N234" s="29" t="n"/>
      <c r="O234" s="31" t="n"/>
    </row>
    <row r="235" ht="15" customHeight="1" s="16">
      <c r="A235" s="26" t="n">
        <v>234</v>
      </c>
      <c r="B235" s="26" t="n">
        <v>69</v>
      </c>
      <c r="C235" s="26" t="n">
        <v>46</v>
      </c>
      <c r="D235" s="27" t="inlineStr">
        <is>
          <t>余問富先生多少年紀</t>
        </is>
      </c>
      <c r="E235" s="28" t="inlineStr">
        <is>
          <t>店主曰</t>
        </is>
      </c>
      <c r="F235" s="27" t="inlineStr">
        <is>
          <t>大公子儞自去問他</t>
        </is>
      </c>
      <c r="G235" s="26" t="n"/>
      <c r="H235" s="29" t="n"/>
      <c r="I235" s="30" t="n"/>
      <c r="J235" s="30" t="n"/>
      <c r="K235" s="30" t="n"/>
      <c r="L235" s="30" t="n"/>
      <c r="M235" s="31" t="n"/>
      <c r="N235" s="29" t="n"/>
      <c r="O235" s="31" t="n"/>
    </row>
    <row r="236" ht="29.85" customHeight="1" s="16">
      <c r="A236" s="26" t="n">
        <v>235</v>
      </c>
      <c r="B236" s="26" t="n">
        <v>69</v>
      </c>
      <c r="C236" s="26" t="n">
        <v>49</v>
      </c>
      <c r="D236" s="27" t="inlineStr">
        <is>
          <t>店主因走入炕裡</t>
        </is>
      </c>
      <c r="E236" s="28" t="inlineStr">
        <is>
          <t>手拿紅紙數十片拈示</t>
        </is>
      </c>
      <c r="F236" s="27" t="inlineStr">
        <is>
          <t>道此乃那富先生親手墨蹟</t>
        </is>
      </c>
      <c r="G236" s="26" t="n"/>
      <c r="H236" s="29" t="n"/>
      <c r="I236" s="30" t="n"/>
      <c r="J236" s="30" t="n"/>
      <c r="K236" s="30" t="n"/>
      <c r="L236" s="30" t="n"/>
      <c r="M236" s="31" t="n"/>
      <c r="N236" s="29" t="n"/>
      <c r="O236" s="31" t="n"/>
    </row>
    <row r="237" ht="15" customHeight="1" s="16">
      <c r="A237" s="26" t="n">
        <v>236</v>
      </c>
      <c r="B237" s="26" t="n">
        <v>69</v>
      </c>
      <c r="C237" s="26" t="n">
        <v>50</v>
      </c>
      <c r="D237" s="27" t="inlineStr">
        <is>
          <t>手拿紅紙數十片拈示</t>
        </is>
      </c>
      <c r="E237" s="32" t="inlineStr">
        <is>
          <t>道此乃那富先生親手墨蹟</t>
        </is>
      </c>
      <c r="F237" s="27" t="inlineStr">
        <is>
          <t>那紅紙左沿</t>
        </is>
      </c>
      <c r="G237" s="26" t="inlineStr">
        <is>
          <t>●</t>
        </is>
      </c>
      <c r="H237" s="29" t="n"/>
      <c r="I237" s="30" t="n"/>
      <c r="J237" s="30" t="n"/>
      <c r="K237" s="30" t="n"/>
      <c r="L237" s="30" t="n"/>
      <c r="M237" s="31" t="n"/>
      <c r="N237" s="29" t="n"/>
      <c r="O237" s="31" t="n"/>
    </row>
    <row r="238" ht="29.85" customHeight="1" s="16">
      <c r="A238" s="26" t="n">
        <v>237</v>
      </c>
      <c r="B238" s="26" t="n">
        <v>69</v>
      </c>
      <c r="C238" s="26" t="n">
        <v>51</v>
      </c>
      <c r="D238" s="27" t="inlineStr">
        <is>
          <t>道此乃那富先生親手墨蹟</t>
        </is>
      </c>
      <c r="E238" s="28" t="inlineStr">
        <is>
          <t>那紅紙左沿</t>
        </is>
      </c>
      <c r="F238" s="27" t="inlineStr">
        <is>
          <t>細書某位舍親尊台</t>
        </is>
      </c>
      <c r="G238" s="26" t="n"/>
      <c r="H238" s="29" t="n"/>
      <c r="I238" s="30" t="n"/>
      <c r="J238" s="30" t="n"/>
      <c r="K238" s="30" t="n"/>
      <c r="L238" s="30" t="n"/>
      <c r="M238" s="31" t="n"/>
      <c r="N238" s="29" t="n"/>
      <c r="O238" s="31" t="n"/>
    </row>
    <row r="239" ht="15" customHeight="1" s="16">
      <c r="A239" s="26" t="n">
        <v>238</v>
      </c>
      <c r="B239" s="26" t="n">
        <v>69</v>
      </c>
      <c r="C239" s="26" t="n">
        <v>66</v>
      </c>
      <c r="D239" s="27" t="inlineStr">
        <is>
          <t>絲</t>
        </is>
      </c>
      <c r="E239" s="28" t="inlineStr">
        <is>
          <t>如印一板</t>
        </is>
      </c>
      <c r="F239" s="27" t="inlineStr">
        <is>
          <t>意其秀才爲富鄭公苗裔</t>
        </is>
      </c>
      <c r="G239" s="26" t="n"/>
      <c r="H239" s="29" t="n"/>
      <c r="I239" s="30" t="n"/>
      <c r="J239" s="30" t="n"/>
      <c r="K239" s="30" t="n"/>
      <c r="L239" s="30" t="n"/>
      <c r="M239" s="31" t="n"/>
      <c r="N239" s="29" t="n"/>
      <c r="O239" s="31" t="n"/>
    </row>
    <row r="240" ht="15" customHeight="1" s="16">
      <c r="A240" s="26" t="n">
        <v>239</v>
      </c>
      <c r="B240" s="26" t="n">
        <v>69</v>
      </c>
      <c r="C240" s="26" t="n">
        <v>67</v>
      </c>
      <c r="D240" s="27" t="inlineStr">
        <is>
          <t>如印一板</t>
        </is>
      </c>
      <c r="E240" s="32" t="inlineStr">
        <is>
          <t>意其秀才爲富鄭公苗裔</t>
        </is>
      </c>
      <c r="F240" s="27" t="n"/>
      <c r="G240" s="26" t="inlineStr">
        <is>
          <t>●</t>
        </is>
      </c>
      <c r="H240" s="29" t="n"/>
      <c r="I240" s="30" t="n"/>
      <c r="J240" s="30" t="n"/>
      <c r="K240" s="30" t="n"/>
      <c r="L240" s="30" t="n"/>
      <c r="M240" s="31" t="n"/>
      <c r="N240" s="29" t="n"/>
      <c r="O240" s="31" t="n"/>
    </row>
    <row r="241" ht="15" customHeight="1" s="16">
      <c r="A241" s="26" t="n">
        <v>240</v>
      </c>
      <c r="B241" s="26" t="n">
        <v>70</v>
      </c>
      <c r="C241" s="26" t="n">
        <v>1</v>
      </c>
      <c r="D241" s="27" t="n"/>
      <c r="E241" s="28" t="inlineStr">
        <is>
          <t>卽喚時大</t>
        </is>
      </c>
      <c r="F241" s="27" t="inlineStr">
        <is>
          <t>同去尋那廟堂裡來</t>
        </is>
      </c>
      <c r="G241" s="26" t="n"/>
      <c r="H241" s="29" t="n"/>
      <c r="I241" s="30" t="n"/>
      <c r="J241" s="30" t="n"/>
      <c r="K241" s="30" t="n"/>
      <c r="L241" s="30" t="n"/>
      <c r="M241" s="31" t="n"/>
      <c r="N241" s="29" t="n"/>
      <c r="O241" s="31" t="n"/>
    </row>
    <row r="242" ht="15" customHeight="1" s="16">
      <c r="A242" s="26" t="n">
        <v>241</v>
      </c>
      <c r="B242" s="26" t="n">
        <v>70</v>
      </c>
      <c r="C242" s="26" t="n">
        <v>13</v>
      </c>
      <c r="D242" s="27" t="inlineStr">
        <is>
          <t>童子道甚麽</t>
        </is>
      </c>
      <c r="E242" s="28" t="inlineStr">
        <is>
          <t>余曰</t>
        </is>
      </c>
      <c r="F242" s="27" t="inlineStr">
        <is>
          <t>富先生</t>
        </is>
      </c>
      <c r="G242" s="26" t="n"/>
      <c r="H242" s="29" t="n"/>
      <c r="I242" s="30" t="n"/>
      <c r="J242" s="30" t="n"/>
      <c r="K242" s="30" t="n"/>
      <c r="L242" s="30" t="n"/>
      <c r="M242" s="31" t="n"/>
      <c r="N242" s="29" t="n"/>
      <c r="O242" s="31" t="n"/>
    </row>
    <row r="243" ht="15" customHeight="1" s="16">
      <c r="A243" s="26" t="n">
        <v>242</v>
      </c>
      <c r="B243" s="26" t="n">
        <v>70</v>
      </c>
      <c r="C243" s="26" t="n">
        <v>14</v>
      </c>
      <c r="D243" s="27" t="inlineStr">
        <is>
          <t>余曰</t>
        </is>
      </c>
      <c r="E243" s="32" t="inlineStr">
        <is>
          <t>富先生</t>
        </is>
      </c>
      <c r="F243" s="27" t="inlineStr">
        <is>
          <t>童子畧不</t>
        </is>
      </c>
      <c r="G243" s="26" t="inlineStr">
        <is>
          <t>●</t>
        </is>
      </c>
      <c r="H243" s="29" t="n"/>
      <c r="I243" s="30" t="n"/>
      <c r="J243" s="30" t="n"/>
      <c r="K243" s="30" t="n"/>
      <c r="L243" s="30" t="n"/>
      <c r="M243" s="31" t="n"/>
      <c r="N243" s="29" t="n"/>
      <c r="O243" s="31" t="n"/>
    </row>
    <row r="244" ht="15" customHeight="1" s="16">
      <c r="A244" s="26" t="n">
        <v>243</v>
      </c>
      <c r="B244" s="26" t="n">
        <v>70</v>
      </c>
      <c r="C244" s="26" t="n">
        <v>15</v>
      </c>
      <c r="D244" s="27" t="inlineStr">
        <is>
          <t>富先生</t>
        </is>
      </c>
      <c r="E244" s="28" t="inlineStr">
        <is>
          <t>童子畧不</t>
        </is>
      </c>
      <c r="F244" s="27" t="inlineStr">
        <is>
          <t>採聽</t>
        </is>
      </c>
      <c r="G244" s="26" t="n"/>
      <c r="H244" s="29" t="n"/>
      <c r="I244" s="30" t="n"/>
      <c r="J244" s="30" t="n"/>
      <c r="K244" s="30" t="n"/>
      <c r="L244" s="30" t="n"/>
      <c r="M244" s="31" t="n"/>
      <c r="N244" s="29" t="n"/>
      <c r="O244" s="31" t="n"/>
    </row>
    <row r="245" ht="15" customHeight="1" s="16">
      <c r="A245" s="26" t="n">
        <v>244</v>
      </c>
      <c r="B245" s="26" t="n">
        <v>70</v>
      </c>
      <c r="C245" s="26" t="n">
        <v>26</v>
      </c>
      <c r="D245" s="27" t="inlineStr">
        <is>
          <t>余闔戶恰裁轉身</t>
        </is>
      </c>
      <c r="E245" s="28" t="inlineStr">
        <is>
          <t>那童子引一老者而來</t>
        </is>
      </c>
      <c r="F245" s="27" t="inlineStr">
        <is>
          <t>想是富也</t>
        </is>
      </c>
      <c r="G245" s="26" t="n"/>
      <c r="H245" s="29" t="n"/>
      <c r="I245" s="30" t="n"/>
      <c r="J245" s="30" t="n"/>
      <c r="K245" s="30" t="n"/>
      <c r="L245" s="30" t="n"/>
      <c r="M245" s="31" t="n"/>
      <c r="N245" s="29" t="n"/>
      <c r="O245" s="31" t="n"/>
    </row>
    <row r="246" ht="15" customHeight="1" s="16">
      <c r="A246" s="26" t="n">
        <v>245</v>
      </c>
      <c r="B246" s="26" t="n">
        <v>70</v>
      </c>
      <c r="C246" s="26" t="n">
        <v>27</v>
      </c>
      <c r="D246" s="27" t="inlineStr">
        <is>
          <t>那童子引一老者而來</t>
        </is>
      </c>
      <c r="E246" s="32" t="inlineStr">
        <is>
          <t>想是富也</t>
        </is>
      </c>
      <c r="F246" s="27" t="inlineStr">
        <is>
          <t>適纔閒走比鄰</t>
        </is>
      </c>
      <c r="G246" s="26" t="inlineStr">
        <is>
          <t>●</t>
        </is>
      </c>
      <c r="H246" s="29" t="n"/>
      <c r="I246" s="30" t="n"/>
      <c r="J246" s="30" t="n"/>
      <c r="K246" s="30" t="n"/>
      <c r="L246" s="30" t="n"/>
      <c r="M246" s="31" t="n"/>
      <c r="N246" s="29" t="n"/>
      <c r="O246" s="31" t="n"/>
    </row>
    <row r="247" ht="15" customHeight="1" s="16">
      <c r="A247" s="26" t="n">
        <v>246</v>
      </c>
      <c r="B247" s="26" t="n">
        <v>70</v>
      </c>
      <c r="C247" s="26" t="n">
        <v>28</v>
      </c>
      <c r="D247" s="27" t="inlineStr">
        <is>
          <t>想是富也</t>
        </is>
      </c>
      <c r="E247" s="28" t="inlineStr">
        <is>
          <t>適纔閒走比鄰</t>
        </is>
      </c>
      <c r="F247" s="27" t="inlineStr">
        <is>
          <t>那童子忙去報客而回也</t>
        </is>
      </c>
      <c r="G247" s="26" t="n"/>
      <c r="H247" s="29" t="n"/>
      <c r="I247" s="30" t="n"/>
      <c r="J247" s="30" t="n"/>
      <c r="K247" s="30" t="n"/>
      <c r="L247" s="30" t="n"/>
      <c r="M247" s="31" t="n"/>
      <c r="N247" s="29" t="n"/>
      <c r="O247" s="31" t="n"/>
    </row>
    <row r="248" ht="15" customHeight="1" s="16">
      <c r="A248" s="26" t="n">
        <v>247</v>
      </c>
      <c r="B248" s="26" t="n">
        <v>70</v>
      </c>
      <c r="C248" s="26" t="n">
        <v>39</v>
      </c>
      <c r="D248" s="27" t="inlineStr">
        <is>
          <t>大驚</t>
        </is>
      </c>
      <c r="E248" s="28" t="inlineStr">
        <is>
          <t>次不甚喜</t>
        </is>
      </c>
      <c r="F248" s="27" t="inlineStr">
        <is>
          <t>問尊是富公麽</t>
        </is>
      </c>
      <c r="G248" s="26" t="n"/>
      <c r="H248" s="29" t="n"/>
      <c r="I248" s="30" t="n"/>
      <c r="J248" s="30" t="n"/>
      <c r="K248" s="30" t="n"/>
      <c r="L248" s="30" t="n"/>
      <c r="M248" s="31" t="n"/>
      <c r="N248" s="29" t="n"/>
      <c r="O248" s="31" t="n"/>
    </row>
    <row r="249" ht="15" customHeight="1" s="16">
      <c r="A249" s="26" t="n">
        <v>248</v>
      </c>
      <c r="B249" s="26" t="n">
        <v>70</v>
      </c>
      <c r="C249" s="26" t="n">
        <v>40</v>
      </c>
      <c r="D249" s="27" t="inlineStr">
        <is>
          <t>次不甚喜</t>
        </is>
      </c>
      <c r="E249" s="32" t="inlineStr">
        <is>
          <t>問尊是富公麽</t>
        </is>
      </c>
      <c r="F249" s="27" t="inlineStr">
        <is>
          <t>那老者大喜道</t>
        </is>
      </c>
      <c r="G249" s="26" t="inlineStr">
        <is>
          <t>●</t>
        </is>
      </c>
      <c r="H249" s="29" t="n"/>
      <c r="I249" s="30" t="n"/>
      <c r="J249" s="30" t="n"/>
      <c r="K249" s="30" t="n"/>
      <c r="L249" s="30" t="n"/>
      <c r="M249" s="31" t="n"/>
      <c r="N249" s="29" t="n"/>
      <c r="O249" s="31" t="n"/>
    </row>
    <row r="250" ht="15" customHeight="1" s="16">
      <c r="A250" s="26" t="n">
        <v>249</v>
      </c>
      <c r="B250" s="26" t="n">
        <v>70</v>
      </c>
      <c r="C250" s="26" t="n">
        <v>41</v>
      </c>
      <c r="D250" s="27" t="inlineStr">
        <is>
          <t>問尊是富公麽</t>
        </is>
      </c>
      <c r="E250" s="28" t="inlineStr">
        <is>
          <t>那老者大喜道</t>
        </is>
      </c>
      <c r="F250" s="27" t="inlineStr">
        <is>
          <t>儞老那從識僚賤姓</t>
        </is>
      </c>
      <c r="G250" s="26" t="n"/>
      <c r="H250" s="29" t="n"/>
      <c r="I250" s="30" t="n"/>
      <c r="J250" s="30" t="n"/>
      <c r="K250" s="30" t="n"/>
      <c r="L250" s="30" t="n"/>
      <c r="M250" s="31" t="n"/>
      <c r="N250" s="29" t="n"/>
      <c r="O250" s="31" t="n"/>
    </row>
    <row r="251" ht="15" customHeight="1" s="16">
      <c r="A251" s="26" t="n">
        <v>250</v>
      </c>
      <c r="B251" s="26" t="n">
        <v>70</v>
      </c>
      <c r="C251" s="26" t="n">
        <v>45</v>
      </c>
      <c r="D251" s="27" t="inlineStr">
        <is>
          <t>吾久聞先生大名如雷</t>
        </is>
      </c>
      <c r="E251" s="28" t="inlineStr">
        <is>
          <t>灌耳</t>
        </is>
      </c>
      <c r="F251" s="27" t="inlineStr">
        <is>
          <t>富曰</t>
        </is>
      </c>
      <c r="G251" s="26" t="n"/>
      <c r="H251" s="29" t="n"/>
      <c r="I251" s="30" t="n"/>
      <c r="J251" s="30" t="n"/>
      <c r="K251" s="30" t="n"/>
      <c r="L251" s="30" t="n"/>
      <c r="M251" s="31" t="n"/>
      <c r="N251" s="29" t="n"/>
      <c r="O251" s="31" t="n"/>
    </row>
    <row r="252" ht="15" customHeight="1" s="16">
      <c r="A252" s="26" t="n">
        <v>251</v>
      </c>
      <c r="B252" s="26" t="n">
        <v>70</v>
      </c>
      <c r="C252" s="26" t="n">
        <v>46</v>
      </c>
      <c r="D252" s="27" t="inlineStr">
        <is>
          <t>灌耳</t>
        </is>
      </c>
      <c r="E252" s="32" t="inlineStr">
        <is>
          <t>富曰</t>
        </is>
      </c>
      <c r="F252" s="27" t="inlineStr">
        <is>
          <t>願聞尊姓大名</t>
        </is>
      </c>
      <c r="G252" s="26" t="inlineStr">
        <is>
          <t>●</t>
        </is>
      </c>
      <c r="H252" s="29" t="n"/>
      <c r="I252" s="30" t="n"/>
      <c r="J252" s="30" t="n"/>
      <c r="K252" s="30" t="n"/>
      <c r="L252" s="30" t="n"/>
      <c r="M252" s="31" t="n"/>
      <c r="N252" s="29" t="n"/>
      <c r="O252" s="31" t="n"/>
    </row>
    <row r="253" ht="15" customHeight="1" s="16">
      <c r="A253" s="26" t="n">
        <v>252</v>
      </c>
      <c r="B253" s="26" t="n">
        <v>70</v>
      </c>
      <c r="C253" s="26" t="n">
        <v>47</v>
      </c>
      <c r="D253" s="27" t="inlineStr">
        <is>
          <t>富曰</t>
        </is>
      </c>
      <c r="E253" s="28" t="inlineStr">
        <is>
          <t>願聞尊姓大名</t>
        </is>
      </c>
      <c r="F253" s="27" t="inlineStr">
        <is>
          <t>余書示之</t>
        </is>
      </c>
      <c r="G253" s="26" t="n"/>
      <c r="H253" s="29" t="n"/>
      <c r="I253" s="30" t="n"/>
      <c r="J253" s="30" t="n"/>
      <c r="K253" s="30" t="n"/>
      <c r="L253" s="30" t="n"/>
      <c r="M253" s="31" t="n"/>
      <c r="N253" s="29" t="n"/>
      <c r="O253" s="31" t="n"/>
    </row>
    <row r="254" ht="15" customHeight="1" s="16">
      <c r="A254" s="26" t="n">
        <v>253</v>
      </c>
      <c r="B254" s="26" t="n">
        <v>70</v>
      </c>
      <c r="C254" s="26" t="n">
        <v>48</v>
      </c>
      <c r="D254" s="27" t="inlineStr">
        <is>
          <t>願聞尊姓大名</t>
        </is>
      </c>
      <c r="E254" s="28" t="inlineStr">
        <is>
          <t>余書示之</t>
        </is>
      </c>
      <c r="F254" s="27" t="inlineStr">
        <is>
          <t>富自書其名曰富圖三格</t>
        </is>
      </c>
      <c r="G254" s="26" t="n"/>
      <c r="H254" s="29" t="n"/>
      <c r="I254" s="30" t="n"/>
      <c r="J254" s="30" t="n"/>
      <c r="K254" s="30" t="n"/>
      <c r="L254" s="30" t="n"/>
      <c r="M254" s="31" t="n"/>
      <c r="N254" s="29" t="n"/>
      <c r="O254" s="31" t="n"/>
    </row>
    <row r="255" ht="15" customHeight="1" s="16">
      <c r="A255" s="26" t="n">
        <v>254</v>
      </c>
      <c r="B255" s="26" t="n">
        <v>70</v>
      </c>
      <c r="C255" s="26" t="n">
        <v>49</v>
      </c>
      <c r="D255" s="27" t="inlineStr">
        <is>
          <t>余書示之</t>
        </is>
      </c>
      <c r="E255" s="32" t="inlineStr">
        <is>
          <t>富自書其名曰富圖三格</t>
        </is>
      </c>
      <c r="F255" s="27" t="inlineStr">
        <is>
          <t>號曰松齋</t>
        </is>
      </c>
      <c r="G255" s="26" t="inlineStr">
        <is>
          <t>●</t>
        </is>
      </c>
      <c r="H255" s="29" t="n"/>
      <c r="I255" s="30" t="n"/>
      <c r="J255" s="30" t="n"/>
      <c r="K255" s="30" t="n"/>
      <c r="L255" s="30" t="n"/>
      <c r="M255" s="31" t="n"/>
      <c r="N255" s="29" t="n"/>
      <c r="O255" s="31" t="n"/>
    </row>
    <row r="256" ht="15" customHeight="1" s="16">
      <c r="A256" s="26" t="n">
        <v>255</v>
      </c>
      <c r="B256" s="26" t="n">
        <v>70</v>
      </c>
      <c r="C256" s="26" t="n">
        <v>50</v>
      </c>
      <c r="D256" s="27" t="inlineStr">
        <is>
          <t>富自書其名曰富圖三格</t>
        </is>
      </c>
      <c r="E256" s="28" t="inlineStr">
        <is>
          <t>號曰松齋</t>
        </is>
      </c>
      <c r="F256" s="27" t="inlineStr">
        <is>
          <t>字曰德齋</t>
        </is>
      </c>
      <c r="G256" s="26" t="n"/>
      <c r="H256" s="29" t="n"/>
      <c r="I256" s="30" t="n"/>
      <c r="J256" s="30" t="n"/>
      <c r="K256" s="30" t="n"/>
      <c r="L256" s="30" t="n"/>
      <c r="M256" s="31" t="n"/>
      <c r="N256" s="29" t="n"/>
      <c r="O256" s="31" t="n"/>
    </row>
    <row r="257" ht="15" customHeight="1" s="16">
      <c r="A257" s="26" t="n">
        <v>256</v>
      </c>
      <c r="B257" s="26" t="n">
        <v>70</v>
      </c>
      <c r="C257" s="26" t="n">
        <v>53</v>
      </c>
      <c r="D257" s="27" t="inlineStr">
        <is>
          <t>余問甚</t>
        </is>
      </c>
      <c r="E257" s="28" t="inlineStr">
        <is>
          <t>麽三格</t>
        </is>
      </c>
      <c r="F257" s="27" t="inlineStr">
        <is>
          <t>富曰</t>
        </is>
      </c>
      <c r="G257" s="26" t="n"/>
      <c r="H257" s="29" t="n"/>
      <c r="I257" s="30" t="n"/>
      <c r="J257" s="30" t="n"/>
      <c r="K257" s="30" t="n"/>
      <c r="L257" s="30" t="n"/>
      <c r="M257" s="31" t="n"/>
      <c r="N257" s="29" t="n"/>
      <c r="O257" s="31" t="n"/>
    </row>
    <row r="258" ht="15" customHeight="1" s="16">
      <c r="A258" s="26" t="n">
        <v>257</v>
      </c>
      <c r="B258" s="26" t="n">
        <v>70</v>
      </c>
      <c r="C258" s="26" t="n">
        <v>54</v>
      </c>
      <c r="D258" s="27" t="inlineStr">
        <is>
          <t>麽三格</t>
        </is>
      </c>
      <c r="E258" s="32" t="inlineStr">
        <is>
          <t>富曰</t>
        </is>
      </c>
      <c r="F258" s="27" t="inlineStr">
        <is>
          <t>是吾姓名也</t>
        </is>
      </c>
      <c r="G258" s="26" t="inlineStr">
        <is>
          <t>●</t>
        </is>
      </c>
      <c r="H258" s="29" t="n"/>
      <c r="I258" s="30" t="n"/>
      <c r="J258" s="30" t="n"/>
      <c r="K258" s="30" t="n"/>
      <c r="L258" s="30" t="n"/>
      <c r="M258" s="31" t="n"/>
      <c r="N258" s="29" t="n"/>
      <c r="O258" s="31" t="n"/>
    </row>
    <row r="259" ht="15" customHeight="1" s="16">
      <c r="A259" s="26" t="n">
        <v>258</v>
      </c>
      <c r="B259" s="26" t="n">
        <v>70</v>
      </c>
      <c r="C259" s="26" t="n">
        <v>55</v>
      </c>
      <c r="D259" s="27" t="inlineStr">
        <is>
          <t>富曰</t>
        </is>
      </c>
      <c r="E259" s="28" t="inlineStr">
        <is>
          <t>是吾姓名也</t>
        </is>
      </c>
      <c r="F259" s="27" t="inlineStr">
        <is>
          <t>余問貴鄕華貫在何地方</t>
        </is>
      </c>
      <c r="G259" s="26" t="n"/>
      <c r="H259" s="29" t="n"/>
      <c r="I259" s="30" t="n"/>
      <c r="J259" s="30" t="n"/>
      <c r="K259" s="30" t="n"/>
      <c r="L259" s="30" t="n"/>
      <c r="M259" s="31" t="n"/>
      <c r="N259" s="29" t="n"/>
      <c r="O259" s="31" t="n"/>
    </row>
    <row r="260" ht="15" customHeight="1" s="16">
      <c r="A260" s="26" t="n">
        <v>259</v>
      </c>
      <c r="B260" s="26" t="n">
        <v>70</v>
      </c>
      <c r="C260" s="26" t="n">
        <v>56</v>
      </c>
      <c r="D260" s="27" t="inlineStr">
        <is>
          <t>是吾姓名也</t>
        </is>
      </c>
      <c r="E260" s="28" t="inlineStr">
        <is>
          <t>余問貴鄕華貫在何地方</t>
        </is>
      </c>
      <c r="F260" s="27" t="inlineStr">
        <is>
          <t>富曰</t>
        </is>
      </c>
      <c r="G260" s="26" t="n"/>
      <c r="H260" s="29" t="n"/>
      <c r="I260" s="30" t="n"/>
      <c r="J260" s="30" t="n"/>
      <c r="K260" s="30" t="n"/>
      <c r="L260" s="30" t="n"/>
      <c r="M260" s="31" t="n"/>
      <c r="N260" s="29" t="n"/>
      <c r="O260" s="31" t="n"/>
    </row>
    <row r="261" ht="15" customHeight="1" s="16">
      <c r="A261" s="26" t="n">
        <v>260</v>
      </c>
      <c r="B261" s="26" t="n">
        <v>70</v>
      </c>
      <c r="C261" s="26" t="n">
        <v>57</v>
      </c>
      <c r="D261" s="27" t="inlineStr">
        <is>
          <t>余問貴鄕華貫在何地方</t>
        </is>
      </c>
      <c r="E261" s="32" t="inlineStr">
        <is>
          <t>富曰</t>
        </is>
      </c>
      <c r="F261" s="27" t="inlineStr">
        <is>
          <t>俺滿洲鑲藍旗人</t>
        </is>
      </c>
      <c r="G261" s="26" t="inlineStr">
        <is>
          <t>●</t>
        </is>
      </c>
      <c r="H261" s="29" t="n"/>
      <c r="I261" s="30" t="n"/>
      <c r="J261" s="30" t="n"/>
      <c r="K261" s="30" t="n"/>
      <c r="L261" s="30" t="n"/>
      <c r="M261" s="31" t="n"/>
      <c r="N261" s="29" t="n"/>
      <c r="O261" s="31" t="n"/>
    </row>
    <row r="262" ht="15" customHeight="1" s="16">
      <c r="A262" s="26" t="n">
        <v>261</v>
      </c>
      <c r="B262" s="26" t="n">
        <v>70</v>
      </c>
      <c r="C262" s="26" t="n">
        <v>58</v>
      </c>
      <c r="D262" s="27" t="inlineStr">
        <is>
          <t>富曰</t>
        </is>
      </c>
      <c r="E262" s="28" t="inlineStr">
        <is>
          <t>俺滿洲鑲藍旗人</t>
        </is>
      </c>
      <c r="F262" s="27" t="inlineStr">
        <is>
          <t>富問儞老此去</t>
        </is>
      </c>
      <c r="G262" s="26" t="n"/>
      <c r="H262" s="29" t="n"/>
      <c r="I262" s="30" t="n"/>
      <c r="J262" s="30" t="n"/>
      <c r="K262" s="30" t="n"/>
      <c r="L262" s="30" t="n"/>
      <c r="M262" s="31" t="n"/>
      <c r="N262" s="29" t="n"/>
      <c r="O262" s="31" t="n"/>
    </row>
    <row r="263" ht="15" customHeight="1" s="16">
      <c r="A263" s="26" t="n">
        <v>262</v>
      </c>
      <c r="B263" s="26" t="n">
        <v>70</v>
      </c>
      <c r="C263" s="26" t="n">
        <v>59</v>
      </c>
      <c r="D263" s="27" t="inlineStr">
        <is>
          <t>俺滿洲鑲藍旗人</t>
        </is>
      </c>
      <c r="E263" s="32" t="inlineStr">
        <is>
          <t>富問儞老此去</t>
        </is>
      </c>
      <c r="F263" s="27" t="inlineStr">
        <is>
          <t>當面駕麽</t>
        </is>
      </c>
      <c r="G263" s="26" t="inlineStr">
        <is>
          <t>●</t>
        </is>
      </c>
      <c r="H263" s="29" t="n"/>
      <c r="I263" s="30" t="n"/>
      <c r="J263" s="30" t="n"/>
      <c r="K263" s="30" t="n"/>
      <c r="L263" s="30" t="n"/>
      <c r="M263" s="31" t="n"/>
      <c r="N263" s="29" t="n"/>
      <c r="O263" s="31" t="n"/>
    </row>
    <row r="264" ht="15" customHeight="1" s="16">
      <c r="A264" s="26" t="n">
        <v>263</v>
      </c>
      <c r="B264" s="26" t="n">
        <v>70</v>
      </c>
      <c r="C264" s="26" t="n">
        <v>60</v>
      </c>
      <c r="D264" s="27" t="inlineStr">
        <is>
          <t>富問儞老此去</t>
        </is>
      </c>
      <c r="E264" s="28" t="inlineStr">
        <is>
          <t>當面駕麽</t>
        </is>
      </c>
      <c r="F264" s="27" t="inlineStr">
        <is>
          <t>余曰</t>
        </is>
      </c>
      <c r="G264" s="26" t="n"/>
      <c r="H264" s="29" t="n"/>
      <c r="I264" s="30" t="n"/>
      <c r="J264" s="30" t="n"/>
      <c r="K264" s="30" t="n"/>
      <c r="L264" s="30" t="n"/>
      <c r="M264" s="31" t="n"/>
      <c r="N264" s="29" t="n"/>
      <c r="O264" s="31" t="n"/>
    </row>
    <row r="265" ht="15" customHeight="1" s="16">
      <c r="A265" s="26" t="n">
        <v>264</v>
      </c>
      <c r="B265" s="26" t="n">
        <v>70</v>
      </c>
      <c r="C265" s="26" t="n">
        <v>62</v>
      </c>
      <c r="D265" s="27" t="inlineStr">
        <is>
          <t>余曰</t>
        </is>
      </c>
      <c r="E265" s="28" t="inlineStr">
        <is>
          <t>甚麽話</t>
        </is>
      </c>
      <c r="F265" s="27" t="inlineStr">
        <is>
          <t>富曰</t>
        </is>
      </c>
      <c r="G265" s="26" t="n"/>
      <c r="H265" s="29" t="n"/>
      <c r="I265" s="30" t="n"/>
      <c r="J265" s="30" t="n"/>
      <c r="K265" s="30" t="n"/>
      <c r="L265" s="30" t="n"/>
      <c r="M265" s="31" t="n"/>
      <c r="N265" s="29" t="n"/>
      <c r="O265" s="31" t="n"/>
    </row>
    <row r="266" ht="15" customHeight="1" s="16">
      <c r="A266" s="26" t="n">
        <v>265</v>
      </c>
      <c r="B266" s="26" t="n">
        <v>70</v>
      </c>
      <c r="C266" s="26" t="n">
        <v>63</v>
      </c>
      <c r="D266" s="27" t="inlineStr">
        <is>
          <t>甚麽話</t>
        </is>
      </c>
      <c r="E266" s="32" t="inlineStr">
        <is>
          <t>富曰</t>
        </is>
      </c>
      <c r="F266" s="27" t="inlineStr">
        <is>
          <t>萬歲爺要當接見儞們</t>
        </is>
      </c>
      <c r="G266" s="26" t="inlineStr">
        <is>
          <t>●</t>
        </is>
      </c>
      <c r="H266" s="29" t="n"/>
      <c r="I266" s="30" t="n"/>
      <c r="J266" s="30" t="n"/>
      <c r="K266" s="30" t="n"/>
      <c r="L266" s="30" t="n"/>
      <c r="M266" s="31" t="n"/>
      <c r="N266" s="29" t="n"/>
      <c r="O266" s="31" t="n"/>
    </row>
    <row r="267" ht="15" customHeight="1" s="16">
      <c r="A267" s="26" t="n">
        <v>266</v>
      </c>
      <c r="B267" s="26" t="n">
        <v>70</v>
      </c>
      <c r="C267" s="26" t="n">
        <v>64</v>
      </c>
      <c r="D267" s="27" t="inlineStr">
        <is>
          <t>富曰</t>
        </is>
      </c>
      <c r="E267" s="28" t="inlineStr">
        <is>
          <t>萬歲爺要當接見儞們</t>
        </is>
      </c>
      <c r="F267" s="27" t="inlineStr">
        <is>
          <t>余曰</t>
        </is>
      </c>
      <c r="G267" s="26" t="n"/>
      <c r="H267" s="29" t="n"/>
      <c r="I267" s="30" t="n"/>
      <c r="J267" s="30" t="n"/>
      <c r="K267" s="30" t="n"/>
      <c r="L267" s="30" t="n"/>
      <c r="M267" s="31" t="n"/>
      <c r="N267" s="29" t="n"/>
      <c r="O267" s="31" t="n"/>
    </row>
    <row r="268" ht="15" customHeight="1" s="16">
      <c r="A268" s="26" t="n">
        <v>267</v>
      </c>
      <c r="B268" s="26" t="n">
        <v>70</v>
      </c>
      <c r="C268" s="26" t="n">
        <v>68</v>
      </c>
      <c r="D268" s="27" t="inlineStr">
        <is>
          <t>吾當保奏儞老得</t>
        </is>
      </c>
      <c r="E268" s="28" t="inlineStr">
        <is>
          <t>添微祿麽</t>
        </is>
      </c>
      <c r="F268" s="27" t="inlineStr">
        <is>
          <t>富曰</t>
        </is>
      </c>
      <c r="G268" s="26" t="n"/>
      <c r="H268" s="29" t="n"/>
      <c r="I268" s="30" t="n"/>
      <c r="J268" s="30" t="n"/>
      <c r="K268" s="30" t="n"/>
      <c r="L268" s="30" t="n"/>
      <c r="M268" s="31" t="n"/>
      <c r="N268" s="29" t="n"/>
      <c r="O268" s="31" t="n"/>
    </row>
    <row r="269" ht="15" customHeight="1" s="16">
      <c r="A269" s="26" t="n">
        <v>268</v>
      </c>
      <c r="B269" s="26" t="n">
        <v>70</v>
      </c>
      <c r="C269" s="26" t="n">
        <v>69</v>
      </c>
      <c r="D269" s="27" t="inlineStr">
        <is>
          <t>添微祿麽</t>
        </is>
      </c>
      <c r="E269" s="32" t="inlineStr">
        <is>
          <t>富曰</t>
        </is>
      </c>
      <c r="F269" s="27" t="inlineStr">
        <is>
          <t>倘得如此時</t>
        </is>
      </c>
      <c r="G269" s="26" t="inlineStr">
        <is>
          <t>●</t>
        </is>
      </c>
      <c r="H269" s="29" t="n"/>
      <c r="I269" s="30" t="n"/>
      <c r="J269" s="30" t="n"/>
      <c r="K269" s="30" t="n"/>
      <c r="L269" s="30" t="n"/>
      <c r="M269" s="31" t="n"/>
      <c r="N269" s="29" t="n"/>
      <c r="O269" s="31" t="n"/>
    </row>
    <row r="270" ht="15" customHeight="1" s="16">
      <c r="A270" s="26" t="n">
        <v>269</v>
      </c>
      <c r="B270" s="26" t="n">
        <v>70</v>
      </c>
      <c r="C270" s="26" t="n">
        <v>70</v>
      </c>
      <c r="D270" s="27" t="inlineStr">
        <is>
          <t>富曰</t>
        </is>
      </c>
      <c r="E270" s="28" t="inlineStr">
        <is>
          <t>倘得如此時</t>
        </is>
      </c>
      <c r="F270" s="27" t="inlineStr">
        <is>
          <t>朴公大德</t>
        </is>
      </c>
      <c r="G270" s="26" t="n"/>
      <c r="H270" s="29" t="n"/>
      <c r="I270" s="30" t="n"/>
      <c r="J270" s="30" t="n"/>
      <c r="K270" s="30" t="n"/>
      <c r="L270" s="30" t="n"/>
      <c r="M270" s="31" t="n"/>
      <c r="N270" s="29" t="n"/>
      <c r="O270" s="31" t="n"/>
    </row>
    <row r="271" ht="15" customHeight="1" s="16">
      <c r="A271" s="26" t="n">
        <v>270</v>
      </c>
      <c r="B271" s="26" t="n">
        <v>70</v>
      </c>
      <c r="C271" s="26" t="n">
        <v>78</v>
      </c>
      <c r="D271" s="27" t="inlineStr">
        <is>
          <t>老豈有可觀書冊</t>
        </is>
      </c>
      <c r="E271" s="28" t="inlineStr">
        <is>
          <t>爲借數日否</t>
        </is>
      </c>
      <c r="F271" s="27" t="inlineStr">
        <is>
          <t>富曰</t>
        </is>
      </c>
      <c r="G271" s="26" t="n"/>
      <c r="H271" s="29" t="n"/>
      <c r="I271" s="30" t="n"/>
      <c r="J271" s="30" t="n"/>
      <c r="K271" s="30" t="n"/>
      <c r="L271" s="30" t="n"/>
      <c r="M271" s="31" t="n"/>
      <c r="N271" s="29" t="n"/>
      <c r="O271" s="31" t="n"/>
    </row>
    <row r="272" ht="15" customHeight="1" s="16">
      <c r="A272" s="26" t="n">
        <v>271</v>
      </c>
      <c r="B272" s="26" t="n">
        <v>70</v>
      </c>
      <c r="C272" s="26" t="n">
        <v>79</v>
      </c>
      <c r="D272" s="27" t="inlineStr">
        <is>
          <t>爲借數日否</t>
        </is>
      </c>
      <c r="E272" s="32" t="inlineStr">
        <is>
          <t>富曰</t>
        </is>
      </c>
      <c r="F272" s="27" t="inlineStr">
        <is>
          <t>無有</t>
        </is>
      </c>
      <c r="G272" s="26" t="inlineStr">
        <is>
          <t>●</t>
        </is>
      </c>
      <c r="H272" s="29" t="n"/>
      <c r="I272" s="30" t="n"/>
      <c r="J272" s="30" t="n"/>
      <c r="K272" s="30" t="n"/>
      <c r="L272" s="30" t="n"/>
      <c r="M272" s="31" t="n"/>
      <c r="N272" s="29" t="n"/>
      <c r="O272" s="31" t="n"/>
    </row>
    <row r="273" ht="15" customHeight="1" s="16">
      <c r="A273" s="26" t="n">
        <v>272</v>
      </c>
      <c r="B273" s="26" t="n">
        <v>70</v>
      </c>
      <c r="C273" s="26" t="n">
        <v>80</v>
      </c>
      <c r="D273" s="27" t="inlineStr">
        <is>
          <t>富曰</t>
        </is>
      </c>
      <c r="E273" s="28" t="inlineStr">
        <is>
          <t>無有</t>
        </is>
      </c>
      <c r="F273" s="27" t="inlineStr">
        <is>
          <t>往在京裏時</t>
        </is>
      </c>
      <c r="G273" s="26" t="n"/>
      <c r="H273" s="29" t="n"/>
      <c r="I273" s="30" t="n"/>
      <c r="J273" s="30" t="n"/>
      <c r="K273" s="30" t="n"/>
      <c r="L273" s="30" t="n"/>
      <c r="M273" s="31" t="n"/>
      <c r="N273" s="29" t="n"/>
      <c r="O273" s="31" t="n"/>
    </row>
    <row r="274" ht="15" customHeight="1" s="16">
      <c r="A274" s="26" t="n">
        <v>273</v>
      </c>
      <c r="B274" s="26" t="n">
        <v>70</v>
      </c>
      <c r="C274" s="26" t="n">
        <v>103</v>
      </c>
      <c r="D274" s="27" t="inlineStr">
        <is>
          <t>久坐</t>
        </is>
      </c>
      <c r="E274" s="28" t="inlineStr">
        <is>
          <t>卽辭起</t>
        </is>
      </c>
      <c r="F274" s="27" t="inlineStr">
        <is>
          <t>富臨門揖送</t>
        </is>
      </c>
      <c r="G274" s="26" t="n"/>
      <c r="H274" s="29" t="n"/>
      <c r="I274" s="30" t="n"/>
      <c r="J274" s="30" t="n"/>
      <c r="K274" s="30" t="n"/>
      <c r="L274" s="30" t="n"/>
      <c r="M274" s="31" t="n"/>
      <c r="N274" s="29" t="n"/>
      <c r="O274" s="31" t="n"/>
    </row>
    <row r="275" ht="29.85" customHeight="1" s="16">
      <c r="A275" s="26" t="n">
        <v>274</v>
      </c>
      <c r="B275" s="26" t="n">
        <v>70</v>
      </c>
      <c r="C275" s="26" t="n">
        <v>104</v>
      </c>
      <c r="D275" s="27" t="inlineStr">
        <is>
          <t>卽辭起</t>
        </is>
      </c>
      <c r="E275" s="32" t="inlineStr">
        <is>
          <t>富臨門揖送</t>
        </is>
      </c>
      <c r="F275" s="27" t="inlineStr">
        <is>
          <t>且言貴邦明紬可得賣買麽</t>
        </is>
      </c>
      <c r="G275" s="26" t="inlineStr">
        <is>
          <t>●</t>
        </is>
      </c>
      <c r="H275" s="29" t="n"/>
      <c r="I275" s="30" t="n"/>
      <c r="J275" s="30" t="n"/>
      <c r="K275" s="30" t="n"/>
      <c r="L275" s="30" t="n"/>
      <c r="M275" s="31" t="n"/>
      <c r="N275" s="29" t="n"/>
      <c r="O275" s="31" t="n"/>
    </row>
    <row r="276" ht="15" customHeight="1" s="16">
      <c r="A276" s="26" t="n">
        <v>275</v>
      </c>
      <c r="B276" s="26" t="n">
        <v>70</v>
      </c>
      <c r="C276" s="26" t="n">
        <v>105</v>
      </c>
      <c r="D276" s="27" t="inlineStr">
        <is>
          <t>富臨門揖送</t>
        </is>
      </c>
      <c r="E276" s="32" t="inlineStr">
        <is>
          <t>且言貴邦明紬可得賣買麽</t>
        </is>
      </c>
      <c r="F276" s="27" t="inlineStr">
        <is>
          <t>余不答而歸</t>
        </is>
      </c>
      <c r="G276" s="26" t="inlineStr">
        <is>
          <t>●</t>
        </is>
      </c>
      <c r="H276" s="29" t="n"/>
      <c r="I276" s="30" t="n"/>
      <c r="J276" s="30" t="n"/>
      <c r="K276" s="30" t="n"/>
      <c r="L276" s="30" t="n"/>
      <c r="M276" s="31" t="n"/>
      <c r="N276" s="29" t="n"/>
      <c r="O276" s="31" t="n"/>
    </row>
    <row r="277" ht="29.85" customHeight="1" s="16">
      <c r="A277" s="26" t="n">
        <v>276</v>
      </c>
      <c r="B277" s="26" t="n">
        <v>70</v>
      </c>
      <c r="C277" s="26" t="n">
        <v>106</v>
      </c>
      <c r="D277" s="27" t="inlineStr">
        <is>
          <t>且言貴邦明紬可得賣買麽</t>
        </is>
      </c>
      <c r="E277" s="28" t="inlineStr">
        <is>
          <t>余不答而歸</t>
        </is>
      </c>
      <c r="F277" s="27" t="inlineStr">
        <is>
          <t>正使問有何可觀</t>
        </is>
      </c>
      <c r="G277" s="26" t="n"/>
      <c r="H277" s="29" t="n"/>
      <c r="I277" s="30" t="n"/>
      <c r="J277" s="30" t="n"/>
      <c r="K277" s="30" t="n"/>
      <c r="L277" s="30" t="n"/>
      <c r="M277" s="31" t="n"/>
      <c r="N277" s="29" t="n"/>
      <c r="O277" s="31" t="n"/>
    </row>
    <row r="278" ht="15" customHeight="1" s="16">
      <c r="A278" s="26" t="n">
        <v>277</v>
      </c>
      <c r="B278" s="26" t="n">
        <v>70</v>
      </c>
      <c r="C278" s="26" t="n">
        <v>126</v>
      </c>
      <c r="D278" s="27" t="inlineStr">
        <is>
          <t>小品七十餘種</t>
        </is>
      </c>
      <c r="E278" s="28" t="inlineStr">
        <is>
          <t>此不過數頁所錄</t>
        </is>
      </c>
      <c r="F278" s="27" t="inlineStr">
        <is>
          <t>而要索厚價</t>
        </is>
      </c>
      <c r="G278" s="26" t="n"/>
      <c r="H278" s="29" t="n"/>
      <c r="I278" s="30" t="n"/>
      <c r="J278" s="30" t="n"/>
      <c r="K278" s="30" t="n"/>
      <c r="L278" s="30" t="n"/>
      <c r="M278" s="31" t="n"/>
      <c r="N278" s="29" t="n"/>
      <c r="O278" s="31" t="n"/>
    </row>
    <row r="279" ht="15" customHeight="1" s="16">
      <c r="A279" s="26" t="n">
        <v>278</v>
      </c>
      <c r="B279" s="26" t="n">
        <v>70</v>
      </c>
      <c r="C279" s="26" t="n">
        <v>127</v>
      </c>
      <c r="D279" s="27" t="inlineStr">
        <is>
          <t>此不過數頁所錄</t>
        </is>
      </c>
      <c r="E279" s="32" t="inlineStr">
        <is>
          <t>而要索厚價</t>
        </is>
      </c>
      <c r="F279" s="27" t="inlineStr">
        <is>
          <t>其無恥甚矣</t>
        </is>
      </c>
      <c r="G279" s="26" t="inlineStr">
        <is>
          <t>●</t>
        </is>
      </c>
      <c r="H279" s="29" t="n"/>
      <c r="I279" s="30" t="n"/>
      <c r="J279" s="30" t="n"/>
      <c r="K279" s="30" t="n"/>
      <c r="L279" s="30" t="n"/>
      <c r="M279" s="31" t="n"/>
      <c r="N279" s="29" t="n"/>
      <c r="O279" s="31" t="n"/>
    </row>
    <row r="280" ht="15" customHeight="1" s="16">
      <c r="A280" s="26" t="n">
        <v>279</v>
      </c>
      <c r="B280" s="26" t="n">
        <v>70</v>
      </c>
      <c r="C280" s="26" t="n">
        <v>128</v>
      </c>
      <c r="D280" s="27" t="inlineStr">
        <is>
          <t>而要索厚價</t>
        </is>
      </c>
      <c r="E280" s="28" t="inlineStr">
        <is>
          <t>其無恥甚矣</t>
        </is>
      </c>
      <c r="F280" s="27" t="inlineStr">
        <is>
          <t>然旣爲借來</t>
        </is>
      </c>
      <c r="G280" s="26" t="n"/>
      <c r="H280" s="29" t="n"/>
      <c r="I280" s="30" t="n"/>
      <c r="J280" s="30" t="n"/>
      <c r="K280" s="30" t="n"/>
      <c r="L280" s="30" t="n"/>
      <c r="M280" s="31" t="n"/>
      <c r="N280" s="29" t="n"/>
      <c r="O280" s="31" t="n"/>
    </row>
    <row r="281" ht="15" customHeight="1" s="16">
      <c r="A281" s="26" t="n">
        <v>280</v>
      </c>
      <c r="B281" s="26" t="n">
        <v>70</v>
      </c>
      <c r="C281" s="26" t="n">
        <v>186</v>
      </c>
      <c r="D281" s="27" t="inlineStr">
        <is>
          <t>無聲戱小</t>
        </is>
      </c>
      <c r="E281" s="28" t="inlineStr">
        <is>
          <t>說</t>
        </is>
      </c>
      <c r="F281" s="27" t="inlineStr">
        <is>
          <t>鬼輸錢故事</t>
        </is>
      </c>
      <c r="G281" s="26" t="n"/>
      <c r="H281" s="29" t="n"/>
      <c r="I281" s="30" t="n"/>
      <c r="J281" s="30" t="n"/>
      <c r="K281" s="30" t="n"/>
      <c r="L281" s="30" t="n"/>
      <c r="M281" s="31" t="n"/>
      <c r="N281" s="29" t="n"/>
      <c r="O281" s="31" t="n"/>
    </row>
    <row r="282" ht="15" customHeight="1" s="16">
      <c r="A282" s="26" t="n">
        <v>281</v>
      </c>
      <c r="B282" s="26" t="n">
        <v>70</v>
      </c>
      <c r="C282" s="26" t="n">
        <v>187</v>
      </c>
      <c r="D282" s="27" t="inlineStr">
        <is>
          <t>說</t>
        </is>
      </c>
      <c r="E282" s="32" t="inlineStr">
        <is>
          <t>鬼輸錢故事</t>
        </is>
      </c>
      <c r="F282" s="27" t="inlineStr">
        <is>
          <t>李漁笠翁著</t>
        </is>
      </c>
      <c r="G282" s="26" t="inlineStr">
        <is>
          <t>●</t>
        </is>
      </c>
      <c r="H282" s="29" t="n"/>
      <c r="I282" s="30" t="n"/>
      <c r="J282" s="30" t="n"/>
      <c r="K282" s="30" t="n"/>
      <c r="L282" s="30" t="n"/>
      <c r="M282" s="31" t="n"/>
      <c r="N282" s="29" t="n"/>
      <c r="O282" s="31" t="n"/>
    </row>
    <row r="283" ht="15" customHeight="1" s="16">
      <c r="A283" s="26" t="n">
        <v>282</v>
      </c>
      <c r="B283" s="26" t="n">
        <v>70</v>
      </c>
      <c r="C283" s="26" t="n">
        <v>188</v>
      </c>
      <c r="D283" s="27" t="inlineStr">
        <is>
          <t>鬼輸錢故事</t>
        </is>
      </c>
      <c r="E283" s="28" t="inlineStr">
        <is>
          <t>李漁笠翁著</t>
        </is>
      </c>
      <c r="F283" s="27" t="inlineStr">
        <is>
          <t>天外談</t>
        </is>
      </c>
      <c r="G283" s="26" t="n"/>
      <c r="H283" s="29" t="n"/>
      <c r="I283" s="30" t="n"/>
      <c r="J283" s="30" t="n"/>
      <c r="K283" s="30" t="n"/>
      <c r="L283" s="30" t="n"/>
      <c r="M283" s="31" t="n"/>
      <c r="N283" s="29" t="n"/>
      <c r="O283" s="31" t="n"/>
    </row>
    <row r="284" ht="15" customHeight="1" s="16">
      <c r="A284" s="26" t="n">
        <v>283</v>
      </c>
      <c r="B284" s="26" t="n">
        <v>70</v>
      </c>
      <c r="C284" s="26" t="n">
        <v>235</v>
      </c>
      <c r="D284" s="27" t="inlineStr">
        <is>
          <t>與鄭進士分錄</t>
        </is>
      </c>
      <c r="E284" s="28" t="inlineStr">
        <is>
          <t>以爲</t>
        </is>
      </c>
      <c r="F284" s="27" t="inlineStr">
        <is>
          <t>書肆攷求之資</t>
        </is>
      </c>
      <c r="G284" s="26" t="n"/>
      <c r="H284" s="29" t="n"/>
      <c r="I284" s="30" t="n"/>
      <c r="J284" s="30" t="n"/>
      <c r="K284" s="30" t="n"/>
      <c r="L284" s="30" t="n"/>
      <c r="M284" s="31" t="n"/>
      <c r="N284" s="29" t="n"/>
      <c r="O284" s="31" t="n"/>
    </row>
    <row r="285" ht="15" customHeight="1" s="16">
      <c r="A285" s="26" t="n">
        <v>284</v>
      </c>
      <c r="B285" s="26" t="n">
        <v>70</v>
      </c>
      <c r="C285" s="26" t="n">
        <v>236</v>
      </c>
      <c r="D285" s="27" t="inlineStr">
        <is>
          <t>以爲</t>
        </is>
      </c>
      <c r="E285" s="32" t="inlineStr">
        <is>
          <t>書肆攷求之資</t>
        </is>
      </c>
      <c r="F285" s="27" t="inlineStr">
        <is>
          <t>卽送</t>
        </is>
      </c>
      <c r="G285" s="26" t="inlineStr">
        <is>
          <t>●</t>
        </is>
      </c>
      <c r="H285" s="29" t="n"/>
      <c r="I285" s="30" t="n"/>
      <c r="J285" s="30" t="n"/>
      <c r="K285" s="30" t="n"/>
      <c r="L285" s="30" t="n"/>
      <c r="M285" s="31" t="n"/>
      <c r="N285" s="29" t="n"/>
      <c r="O285" s="31" t="n"/>
    </row>
    <row r="286" ht="15" customHeight="1" s="16">
      <c r="A286" s="26" t="n">
        <v>285</v>
      </c>
      <c r="B286" s="26" t="n">
        <v>70</v>
      </c>
      <c r="C286" s="26" t="n">
        <v>237</v>
      </c>
      <c r="D286" s="27" t="inlineStr">
        <is>
          <t>書肆攷求之資</t>
        </is>
      </c>
      <c r="E286" s="28" t="inlineStr">
        <is>
          <t>卽送</t>
        </is>
      </c>
      <c r="F286" s="27" t="inlineStr">
        <is>
          <t>時大還傳且令語之曰</t>
        </is>
      </c>
      <c r="G286" s="26" t="n"/>
      <c r="H286" s="29" t="n"/>
      <c r="I286" s="30" t="n"/>
      <c r="J286" s="30" t="n"/>
      <c r="K286" s="30" t="n"/>
      <c r="L286" s="30" t="n"/>
      <c r="M286" s="31" t="n"/>
      <c r="N286" s="29" t="n"/>
      <c r="O286" s="31" t="n"/>
    </row>
    <row r="287" ht="29.85" customHeight="1" s="16">
      <c r="A287" s="26" t="n">
        <v>286</v>
      </c>
      <c r="B287" s="26" t="n">
        <v>70</v>
      </c>
      <c r="C287" s="26" t="n">
        <v>241</v>
      </c>
      <c r="D287" s="27" t="inlineStr">
        <is>
          <t>故吾老爺不覽此書目云爾</t>
        </is>
      </c>
      <c r="E287" s="28" t="inlineStr">
        <is>
          <t>時大歸言</t>
        </is>
      </c>
      <c r="F287" s="27" t="inlineStr">
        <is>
          <t>富也聽渠所傳</t>
        </is>
      </c>
      <c r="G287" s="26" t="n"/>
      <c r="H287" s="29" t="n"/>
      <c r="I287" s="30" t="n"/>
      <c r="J287" s="30" t="n"/>
      <c r="K287" s="30" t="n"/>
      <c r="L287" s="30" t="n"/>
      <c r="M287" s="31" t="n"/>
      <c r="N287" s="29" t="n"/>
      <c r="O287" s="31" t="n"/>
    </row>
    <row r="288" ht="15" customHeight="1" s="16">
      <c r="A288" s="26" t="n">
        <v>287</v>
      </c>
      <c r="B288" s="26" t="n">
        <v>70</v>
      </c>
      <c r="C288" s="26" t="n">
        <v>242</v>
      </c>
      <c r="D288" s="27" t="inlineStr">
        <is>
          <t>時大歸言</t>
        </is>
      </c>
      <c r="E288" s="32" t="inlineStr">
        <is>
          <t>富也聽渠所傳</t>
        </is>
      </c>
      <c r="F288" s="27" t="inlineStr">
        <is>
          <t>頗有憮然之色</t>
        </is>
      </c>
      <c r="G288" s="26" t="inlineStr">
        <is>
          <t>●</t>
        </is>
      </c>
      <c r="H288" s="29" t="n"/>
      <c r="I288" s="30" t="n"/>
      <c r="J288" s="30" t="n"/>
      <c r="K288" s="30" t="n"/>
      <c r="L288" s="30" t="n"/>
      <c r="M288" s="31" t="n"/>
      <c r="N288" s="29" t="n"/>
      <c r="O288" s="31" t="n"/>
    </row>
    <row r="289" ht="15" customHeight="1" s="16">
      <c r="A289" s="26" t="n">
        <v>288</v>
      </c>
      <c r="B289" s="26" t="n">
        <v>70</v>
      </c>
      <c r="C289" s="26" t="n">
        <v>243</v>
      </c>
      <c r="D289" s="27" t="inlineStr">
        <is>
          <t>富也聽渠所傳</t>
        </is>
      </c>
      <c r="E289" s="28" t="inlineStr">
        <is>
          <t>頗有憮然之色</t>
        </is>
      </c>
      <c r="F289" s="27" t="inlineStr">
        <is>
          <t>贈渠手巾云</t>
        </is>
      </c>
      <c r="G289" s="26" t="n"/>
      <c r="H289" s="29" t="n"/>
      <c r="I289" s="30" t="n"/>
      <c r="J289" s="30" t="n"/>
      <c r="K289" s="30" t="n"/>
      <c r="L289" s="30" t="n"/>
      <c r="M289" s="31" t="n"/>
      <c r="N289" s="29" t="n"/>
      <c r="O289" s="31" t="n"/>
    </row>
    <row r="290" ht="15" customHeight="1" s="16">
      <c r="A290" s="26" t="n">
        <v>289</v>
      </c>
      <c r="B290" s="26" t="n">
        <v>75</v>
      </c>
      <c r="C290" s="26" t="n">
        <v>32</v>
      </c>
      <c r="D290" s="27" t="inlineStr">
        <is>
          <t>大風一射</t>
        </is>
      </c>
      <c r="E290" s="28" t="inlineStr">
        <is>
          <t>則烟桶爲虛位矣</t>
        </is>
      </c>
      <c r="F290" s="27" t="n"/>
      <c r="G290" s="26" t="n"/>
      <c r="H290" s="29" t="n"/>
      <c r="I290" s="30" t="n"/>
      <c r="J290" s="30" t="n"/>
      <c r="K290" s="30" t="n"/>
      <c r="L290" s="30" t="n"/>
      <c r="M290" s="31" t="n"/>
      <c r="N290" s="29" t="n"/>
      <c r="O290" s="31" t="n"/>
    </row>
    <row r="291" ht="15" customHeight="1" s="16">
      <c r="A291" s="26" t="n">
        <v>290</v>
      </c>
      <c r="B291" s="26" t="n">
        <v>76</v>
      </c>
      <c r="C291" s="26" t="n">
        <v>1</v>
      </c>
      <c r="D291" s="27" t="n"/>
      <c r="E291" s="32" t="inlineStr">
        <is>
          <t>我念吾東家貧</t>
        </is>
      </c>
      <c r="F291" s="27" t="inlineStr">
        <is>
          <t>好讀書</t>
        </is>
      </c>
      <c r="G291" s="26" t="inlineStr">
        <is>
          <t>●</t>
        </is>
      </c>
      <c r="H291" s="29" t="n"/>
      <c r="I291" s="30" t="n"/>
      <c r="J291" s="30" t="n"/>
      <c r="K291" s="30" t="n"/>
      <c r="L291" s="30" t="n"/>
      <c r="M291" s="31" t="n"/>
      <c r="N291" s="29" t="n"/>
      <c r="O291" s="31" t="n"/>
    </row>
    <row r="292" ht="15" customHeight="1" s="16">
      <c r="A292" s="26" t="n">
        <v>291</v>
      </c>
      <c r="B292" s="26" t="n">
        <v>76</v>
      </c>
      <c r="C292" s="26" t="n">
        <v>2</v>
      </c>
      <c r="D292" s="27" t="inlineStr">
        <is>
          <t>我念吾東家貧</t>
        </is>
      </c>
      <c r="E292" s="28" t="inlineStr">
        <is>
          <t>好讀書</t>
        </is>
      </c>
      <c r="F292" s="27" t="inlineStr">
        <is>
          <t>百千兄弟等鼻端</t>
        </is>
      </c>
      <c r="G292" s="26" t="n"/>
      <c r="H292" s="29" t="n"/>
      <c r="I292" s="30" t="n"/>
      <c r="J292" s="30" t="n"/>
      <c r="K292" s="30" t="n"/>
      <c r="L292" s="30" t="n"/>
      <c r="M292" s="31" t="n"/>
      <c r="N292" s="29" t="n"/>
      <c r="O292" s="31" t="n"/>
    </row>
    <row r="293" ht="15" customHeight="1" s="16">
      <c r="A293" s="26" t="n">
        <v>292</v>
      </c>
      <c r="B293" s="26" t="n">
        <v>84</v>
      </c>
      <c r="C293" s="26" t="n">
        <v>8</v>
      </c>
      <c r="D293" s="27" t="inlineStr">
        <is>
          <t>驛夫馬頭輩爭至供卓前</t>
        </is>
      </c>
      <c r="E293" s="28" t="inlineStr">
        <is>
          <t>叩頭</t>
        </is>
      </c>
      <c r="F293" s="27" t="inlineStr">
        <is>
          <t>或買供靑蓏</t>
        </is>
      </c>
      <c r="G293" s="26" t="n"/>
      <c r="H293" s="29" t="n"/>
      <c r="I293" s="30" t="n"/>
      <c r="J293" s="30" t="n"/>
      <c r="K293" s="30" t="n"/>
      <c r="L293" s="30" t="n"/>
      <c r="M293" s="31" t="n"/>
      <c r="N293" s="29" t="n"/>
      <c r="O293" s="31" t="n"/>
    </row>
    <row r="294" ht="15" customHeight="1" s="16">
      <c r="A294" s="26" t="n">
        <v>293</v>
      </c>
      <c r="B294" s="26" t="n">
        <v>84</v>
      </c>
      <c r="C294" s="26" t="n">
        <v>9</v>
      </c>
      <c r="D294" s="27" t="inlineStr">
        <is>
          <t>叩頭</t>
        </is>
      </c>
      <c r="E294" s="32" t="inlineStr">
        <is>
          <t>或買供靑蓏</t>
        </is>
      </c>
      <c r="F294" s="27" t="inlineStr">
        <is>
          <t>譯官亦有焚香抽籤</t>
        </is>
      </c>
      <c r="G294" s="26" t="inlineStr">
        <is>
          <t>●</t>
        </is>
      </c>
      <c r="H294" s="29" t="n"/>
      <c r="I294" s="30" t="n"/>
      <c r="J294" s="30" t="n"/>
      <c r="K294" s="30" t="n"/>
      <c r="L294" s="30" t="n"/>
      <c r="M294" s="31" t="n"/>
      <c r="N294" s="29" t="n"/>
      <c r="O294" s="31" t="n"/>
    </row>
    <row r="295" ht="15" customHeight="1" s="16">
      <c r="A295" s="26" t="n">
        <v>294</v>
      </c>
      <c r="B295" s="26" t="n">
        <v>84</v>
      </c>
      <c r="C295" s="26" t="n">
        <v>10</v>
      </c>
      <c r="D295" s="27" t="inlineStr">
        <is>
          <t>或買供靑蓏</t>
        </is>
      </c>
      <c r="E295" s="28" t="inlineStr">
        <is>
          <t>譯官亦有焚香抽籤</t>
        </is>
      </c>
      <c r="F295" s="27" t="inlineStr">
        <is>
          <t>占驗平生休咎者</t>
        </is>
      </c>
      <c r="G295" s="26" t="n"/>
      <c r="H295" s="29" t="n"/>
      <c r="I295" s="30" t="n"/>
      <c r="J295" s="30" t="n"/>
      <c r="K295" s="30" t="n"/>
      <c r="L295" s="30" t="n"/>
      <c r="M295" s="31" t="n"/>
      <c r="N295" s="29" t="n"/>
      <c r="O295" s="31" t="n"/>
    </row>
    <row r="296" ht="15" customHeight="1" s="16">
      <c r="A296" s="26" t="n">
        <v>295</v>
      </c>
      <c r="B296" s="26" t="n">
        <v>84</v>
      </c>
      <c r="C296" s="26" t="n">
        <v>11</v>
      </c>
      <c r="D296" s="27" t="inlineStr">
        <is>
          <t>譯官亦有焚香抽籤</t>
        </is>
      </c>
      <c r="E296" s="28" t="inlineStr">
        <is>
          <t>占驗平生休咎者</t>
        </is>
      </c>
      <c r="F296" s="27" t="inlineStr">
        <is>
          <t>有道士敲鉢丐錢</t>
        </is>
      </c>
      <c r="G296" s="26" t="n"/>
      <c r="H296" s="29" t="n"/>
      <c r="I296" s="30" t="n"/>
      <c r="J296" s="30" t="n"/>
      <c r="K296" s="30" t="n"/>
      <c r="L296" s="30" t="n"/>
      <c r="M296" s="31" t="n"/>
      <c r="N296" s="29" t="n"/>
      <c r="O296" s="31" t="n"/>
    </row>
    <row r="297" ht="15" customHeight="1" s="16">
      <c r="A297" s="26" t="n">
        <v>296</v>
      </c>
      <c r="B297" s="26" t="n">
        <v>84</v>
      </c>
      <c r="C297" s="26" t="n">
        <v>12</v>
      </c>
      <c r="D297" s="27" t="inlineStr">
        <is>
          <t>占驗平生休咎者</t>
        </is>
      </c>
      <c r="E297" s="32" t="inlineStr">
        <is>
          <t>有道士敲鉢丐錢</t>
        </is>
      </c>
      <c r="F297" s="27" t="inlineStr">
        <is>
          <t>獨不剃髮爲椎髻</t>
        </is>
      </c>
      <c r="G297" s="26" t="inlineStr">
        <is>
          <t>●</t>
        </is>
      </c>
      <c r="H297" s="29" t="n"/>
      <c r="I297" s="30" t="n"/>
      <c r="J297" s="30" t="n"/>
      <c r="K297" s="30" t="n"/>
      <c r="L297" s="30" t="n"/>
      <c r="M297" s="31" t="n"/>
      <c r="N297" s="29" t="n"/>
      <c r="O297" s="31" t="n"/>
    </row>
    <row r="298" ht="15" customHeight="1" s="16">
      <c r="A298" s="26" t="n">
        <v>297</v>
      </c>
      <c r="B298" s="26" t="n">
        <v>84</v>
      </c>
      <c r="C298" s="26" t="n">
        <v>13</v>
      </c>
      <c r="D298" s="27" t="inlineStr">
        <is>
          <t>有道士敲鉢丐錢</t>
        </is>
      </c>
      <c r="E298" s="28" t="inlineStr">
        <is>
          <t>獨不剃髮爲椎髻</t>
        </is>
      </c>
      <c r="F298" s="27" t="inlineStr">
        <is>
          <t>如我東</t>
        </is>
      </c>
      <c r="G298" s="26" t="n"/>
      <c r="H298" s="29" t="n"/>
      <c r="I298" s="30" t="n"/>
      <c r="J298" s="30" t="n"/>
      <c r="K298" s="30" t="n"/>
      <c r="L298" s="30" t="n"/>
      <c r="M298" s="31" t="n"/>
      <c r="N298" s="29" t="n"/>
      <c r="O298" s="31" t="n"/>
    </row>
    <row r="299" ht="15" customHeight="1" s="16">
      <c r="A299" s="26" t="n">
        <v>298</v>
      </c>
      <c r="B299" s="26" t="n">
        <v>84</v>
      </c>
      <c r="C299" s="26" t="n">
        <v>19</v>
      </c>
      <c r="D299" s="27" t="inlineStr">
        <is>
          <t>恰似我東儒士所著</t>
        </is>
      </c>
      <c r="E299" s="28" t="inlineStr">
        <is>
          <t>而但黑色方領少異耳</t>
        </is>
      </c>
      <c r="F299" s="27" t="inlineStr">
        <is>
          <t>又一道士賣蓏及</t>
        </is>
      </c>
      <c r="G299" s="26" t="n"/>
      <c r="H299" s="29" t="n"/>
      <c r="I299" s="30" t="n"/>
      <c r="J299" s="30" t="n"/>
      <c r="K299" s="30" t="n"/>
      <c r="L299" s="30" t="n"/>
      <c r="M299" s="31" t="n"/>
      <c r="N299" s="29" t="n"/>
      <c r="O299" s="31" t="n"/>
    </row>
    <row r="300" ht="15" customHeight="1" s="16">
      <c r="A300" s="26" t="n">
        <v>299</v>
      </c>
      <c r="B300" s="26" t="n">
        <v>84</v>
      </c>
      <c r="C300" s="26" t="n">
        <v>20</v>
      </c>
      <c r="D300" s="27" t="inlineStr">
        <is>
          <t>而但黑色方領少異耳</t>
        </is>
      </c>
      <c r="E300" s="32" t="inlineStr">
        <is>
          <t>又一道士賣蓏及</t>
        </is>
      </c>
      <c r="F300" s="27" t="inlineStr">
        <is>
          <t>鷄卵</t>
        </is>
      </c>
      <c r="G300" s="26" t="inlineStr">
        <is>
          <t>●</t>
        </is>
      </c>
      <c r="H300" s="29" t="n"/>
      <c r="I300" s="30" t="n"/>
      <c r="J300" s="30" t="n"/>
      <c r="K300" s="30" t="n"/>
      <c r="L300" s="30" t="n"/>
      <c r="M300" s="31" t="n"/>
      <c r="N300" s="29" t="n"/>
      <c r="O300" s="31" t="n"/>
    </row>
    <row r="301" ht="15" customHeight="1" s="16">
      <c r="A301" s="26" t="n">
        <v>300</v>
      </c>
      <c r="B301" s="26" t="n">
        <v>84</v>
      </c>
      <c r="C301" s="26" t="n">
        <v>21</v>
      </c>
      <c r="D301" s="27" t="inlineStr">
        <is>
          <t>又一道士賣蓏及</t>
        </is>
      </c>
      <c r="E301" s="28" t="inlineStr">
        <is>
          <t>鷄卵</t>
        </is>
      </c>
      <c r="F301" s="27" t="inlineStr">
        <is>
          <t>蓏味甚甛且多水</t>
        </is>
      </c>
      <c r="G301" s="26" t="n"/>
      <c r="H301" s="29" t="n"/>
      <c r="I301" s="30" t="n"/>
      <c r="J301" s="30" t="n"/>
      <c r="K301" s="30" t="n"/>
      <c r="L301" s="30" t="n"/>
      <c r="M301" s="31" t="n"/>
      <c r="N301" s="29" t="n"/>
      <c r="O301" s="31" t="n"/>
    </row>
    <row r="302" ht="15" customHeight="1" s="16">
      <c r="A302" s="26" t="n">
        <v>301</v>
      </c>
      <c r="B302" s="26" t="n">
        <v>88</v>
      </c>
      <c r="C302" s="26" t="n">
        <v>13</v>
      </c>
      <c r="D302" s="27" t="inlineStr">
        <is>
          <t>蘊鬱於天地之間</t>
        </is>
      </c>
      <c r="E302" s="28" t="inlineStr">
        <is>
          <t>而莫之敢宣也</t>
        </is>
      </c>
      <c r="F302" s="27" t="inlineStr">
        <is>
          <t>彼賈</t>
        </is>
      </c>
      <c r="G302" s="26" t="n"/>
      <c r="H302" s="29" t="n"/>
      <c r="I302" s="30" t="n"/>
      <c r="J302" s="30" t="n"/>
      <c r="K302" s="30" t="n"/>
      <c r="L302" s="30" t="n"/>
      <c r="M302" s="31" t="n"/>
      <c r="N302" s="29" t="n"/>
      <c r="O302" s="31" t="n"/>
    </row>
    <row r="303" ht="15" customHeight="1" s="16">
      <c r="A303" s="26" t="n">
        <v>302</v>
      </c>
      <c r="B303" s="26" t="n">
        <v>88</v>
      </c>
      <c r="C303" s="26" t="n">
        <v>14</v>
      </c>
      <c r="D303" s="27" t="inlineStr">
        <is>
          <t>而莫之敢宣也</t>
        </is>
      </c>
      <c r="E303" s="32" t="inlineStr">
        <is>
          <t>彼賈</t>
        </is>
      </c>
      <c r="F303" s="27" t="inlineStr">
        <is>
          <t>生者</t>
        </is>
      </c>
      <c r="G303" s="26" t="inlineStr">
        <is>
          <t>●</t>
        </is>
      </c>
      <c r="H303" s="29" t="n"/>
      <c r="I303" s="30" t="n"/>
      <c r="J303" s="30" t="n"/>
      <c r="K303" s="30" t="n"/>
      <c r="L303" s="30" t="n"/>
      <c r="M303" s="31" t="n"/>
      <c r="N303" s="29" t="n"/>
      <c r="O303" s="31" t="n"/>
    </row>
    <row r="304" ht="15" customHeight="1" s="16">
      <c r="A304" s="26" t="n">
        <v>303</v>
      </c>
      <c r="B304" s="26" t="n">
        <v>88</v>
      </c>
      <c r="C304" s="26" t="n">
        <v>15</v>
      </c>
      <c r="D304" s="27" t="inlineStr">
        <is>
          <t>彼賈</t>
        </is>
      </c>
      <c r="E304" s="28" t="inlineStr">
        <is>
          <t>生者</t>
        </is>
      </c>
      <c r="F304" s="27" t="inlineStr">
        <is>
          <t>未得其塲</t>
        </is>
      </c>
      <c r="G304" s="26" t="n"/>
      <c r="H304" s="29" t="n"/>
      <c r="I304" s="30" t="n"/>
      <c r="J304" s="30" t="n"/>
      <c r="K304" s="30" t="n"/>
      <c r="L304" s="30" t="n"/>
      <c r="M304" s="31" t="n"/>
      <c r="N304" s="29" t="n"/>
      <c r="O304" s="31" t="n"/>
    </row>
    <row r="305" ht="15" customHeight="1" s="16">
      <c r="A305" s="26" t="n">
        <v>304</v>
      </c>
      <c r="B305" s="26" t="n">
        <v>89</v>
      </c>
      <c r="C305" s="26" t="n">
        <v>5</v>
      </c>
      <c r="D305" s="27" t="inlineStr">
        <is>
          <t>入舊遼陽</t>
        </is>
      </c>
      <c r="E305" s="28" t="inlineStr">
        <is>
          <t>其繁華</t>
        </is>
      </c>
      <c r="F305" s="27" t="inlineStr">
        <is>
          <t>富麗十倍鳳城</t>
        </is>
      </c>
      <c r="G305" s="26" t="n"/>
      <c r="H305" s="29" t="n"/>
      <c r="I305" s="30" t="n"/>
      <c r="J305" s="30" t="n"/>
      <c r="K305" s="30" t="n"/>
      <c r="L305" s="30" t="n"/>
      <c r="M305" s="31" t="n"/>
      <c r="N305" s="29" t="n"/>
      <c r="O305" s="31" t="n"/>
    </row>
    <row r="306" ht="15" customHeight="1" s="16">
      <c r="A306" s="26" t="n">
        <v>305</v>
      </c>
      <c r="B306" s="26" t="n">
        <v>89</v>
      </c>
      <c r="C306" s="26" t="n">
        <v>6</v>
      </c>
      <c r="D306" s="27" t="inlineStr">
        <is>
          <t>其繁華</t>
        </is>
      </c>
      <c r="E306" s="32" t="inlineStr">
        <is>
          <t>富麗十倍鳳城</t>
        </is>
      </c>
      <c r="F306" s="27" t="inlineStr">
        <is>
          <t>別有遼東記</t>
        </is>
      </c>
      <c r="G306" s="26" t="inlineStr">
        <is>
          <t>●</t>
        </is>
      </c>
      <c r="H306" s="29" t="n"/>
      <c r="I306" s="30" t="n"/>
      <c r="J306" s="30" t="n"/>
      <c r="K306" s="30" t="n"/>
      <c r="L306" s="30" t="n"/>
      <c r="M306" s="31" t="n"/>
      <c r="N306" s="29" t="n"/>
      <c r="O306" s="31" t="n"/>
    </row>
    <row r="307" ht="15" customHeight="1" s="16">
      <c r="A307" s="26" t="n">
        <v>306</v>
      </c>
      <c r="B307" s="26" t="n">
        <v>89</v>
      </c>
      <c r="C307" s="26" t="n">
        <v>7</v>
      </c>
      <c r="D307" s="27" t="inlineStr">
        <is>
          <t>富麗十倍鳳城</t>
        </is>
      </c>
      <c r="E307" s="28" t="inlineStr">
        <is>
          <t>別有遼東記</t>
        </is>
      </c>
      <c r="F307" s="27" t="inlineStr">
        <is>
          <t>出西門見白塔</t>
        </is>
      </c>
      <c r="G307" s="26" t="n"/>
      <c r="H307" s="29" t="n"/>
      <c r="I307" s="30" t="n"/>
      <c r="J307" s="30" t="n"/>
      <c r="K307" s="30" t="n"/>
      <c r="L307" s="30" t="n"/>
      <c r="M307" s="31" t="n"/>
      <c r="N307" s="29" t="n"/>
      <c r="O307" s="31" t="n"/>
    </row>
    <row r="308" ht="15" customHeight="1" s="16">
      <c r="A308" s="26" t="n">
        <v>307</v>
      </c>
      <c r="B308" s="26" t="n">
        <v>91</v>
      </c>
      <c r="C308" s="26" t="n">
        <v>21</v>
      </c>
      <c r="D308" s="27" t="inlineStr">
        <is>
          <t>膓虛氣餒</t>
        </is>
      </c>
      <c r="E308" s="28" t="inlineStr">
        <is>
          <t>生平喜遊賞</t>
        </is>
      </c>
      <c r="F308" s="27" t="inlineStr">
        <is>
          <t>今日眞得了其債矣</t>
        </is>
      </c>
      <c r="G308" s="26" t="n"/>
      <c r="H308" s="29" t="n"/>
      <c r="I308" s="30" t="n"/>
      <c r="J308" s="30" t="n"/>
      <c r="K308" s="30" t="n"/>
      <c r="L308" s="30" t="n"/>
      <c r="M308" s="31" t="n"/>
      <c r="N308" s="29" t="n"/>
      <c r="O308" s="31" t="n"/>
    </row>
    <row r="309" ht="15" customHeight="1" s="16">
      <c r="A309" s="26" t="n">
        <v>308</v>
      </c>
      <c r="B309" s="26" t="n">
        <v>91</v>
      </c>
      <c r="C309" s="26" t="n">
        <v>22</v>
      </c>
      <c r="D309" s="27" t="inlineStr">
        <is>
          <t>生平喜遊賞</t>
        </is>
      </c>
      <c r="E309" s="32" t="inlineStr">
        <is>
          <t>今日眞得了其債矣</t>
        </is>
      </c>
      <c r="F309" s="27" t="n"/>
      <c r="G309" s="26" t="inlineStr">
        <is>
          <t>●</t>
        </is>
      </c>
      <c r="H309" s="29" t="n"/>
      <c r="I309" s="30" t="n"/>
      <c r="J309" s="30" t="n"/>
      <c r="K309" s="30" t="n"/>
      <c r="L309" s="30" t="n"/>
      <c r="M309" s="31" t="n"/>
      <c r="N309" s="29" t="n"/>
      <c r="O309" s="31" t="n"/>
    </row>
    <row r="310" ht="15" customHeight="1" s="16">
      <c r="A310" s="26" t="n">
        <v>309</v>
      </c>
      <c r="B310" s="26" t="n">
        <v>92</v>
      </c>
      <c r="C310" s="26" t="n">
        <v>1</v>
      </c>
      <c r="D310" s="27" t="n"/>
      <c r="E310" s="28" t="inlineStr">
        <is>
          <t>鄭君輩爭相嘲謔曰</t>
        </is>
      </c>
      <c r="F310" s="27" t="inlineStr">
        <is>
          <t>日暮道窮</t>
        </is>
      </c>
      <c r="G310" s="26" t="n"/>
      <c r="H310" s="29" t="n"/>
      <c r="I310" s="30" t="n"/>
      <c r="J310" s="30" t="n"/>
      <c r="K310" s="30" t="n"/>
      <c r="L310" s="30" t="n"/>
      <c r="M310" s="31" t="n"/>
      <c r="N310" s="29" t="n"/>
      <c r="O310" s="31" t="n"/>
    </row>
    <row r="311" ht="15" customHeight="1" s="16">
      <c r="A311" s="26" t="n">
        <v>310</v>
      </c>
      <c r="B311" s="26" t="n">
        <v>92</v>
      </c>
      <c r="C311" s="26" t="n">
        <v>25</v>
      </c>
      <c r="D311" s="27" t="inlineStr">
        <is>
          <t>見漁艇蕩來</t>
        </is>
      </c>
      <c r="E311" s="28" t="inlineStr">
        <is>
          <t>亦爭先來到</t>
        </is>
      </c>
      <c r="F311" s="27" t="inlineStr">
        <is>
          <t>要索高價</t>
        </is>
      </c>
      <c r="G311" s="26" t="n"/>
      <c r="H311" s="29" t="n"/>
      <c r="I311" s="30" t="n"/>
      <c r="J311" s="30" t="n"/>
      <c r="K311" s="30" t="n"/>
      <c r="L311" s="30" t="n"/>
      <c r="M311" s="31" t="n"/>
      <c r="N311" s="29" t="n"/>
      <c r="O311" s="31" t="n"/>
    </row>
    <row r="312" ht="15" customHeight="1" s="16">
      <c r="A312" s="26" t="n">
        <v>311</v>
      </c>
      <c r="B312" s="26" t="n">
        <v>92</v>
      </c>
      <c r="C312" s="26" t="n">
        <v>26</v>
      </c>
      <c r="D312" s="27" t="inlineStr">
        <is>
          <t>亦爭先來到</t>
        </is>
      </c>
      <c r="E312" s="32" t="inlineStr">
        <is>
          <t>要索高價</t>
        </is>
      </c>
      <c r="F312" s="27" t="inlineStr">
        <is>
          <t>其待人竭急</t>
        </is>
      </c>
      <c r="G312" s="26" t="inlineStr">
        <is>
          <t>●</t>
        </is>
      </c>
      <c r="H312" s="29" t="n"/>
      <c r="I312" s="30" t="n"/>
      <c r="J312" s="30" t="n"/>
      <c r="K312" s="30" t="n"/>
      <c r="L312" s="30" t="n"/>
      <c r="M312" s="31" t="n"/>
      <c r="N312" s="29" t="n"/>
      <c r="O312" s="31" t="n"/>
    </row>
    <row r="313" ht="15" customHeight="1" s="16">
      <c r="A313" s="26" t="n">
        <v>312</v>
      </c>
      <c r="B313" s="26" t="n">
        <v>92</v>
      </c>
      <c r="C313" s="26" t="n">
        <v>27</v>
      </c>
      <c r="D313" s="27" t="inlineStr">
        <is>
          <t>要索高價</t>
        </is>
      </c>
      <c r="E313" s="28" t="inlineStr">
        <is>
          <t>其待人竭急</t>
        </is>
      </c>
      <c r="F313" s="27" t="inlineStr">
        <is>
          <t>然後始肯來濟</t>
        </is>
      </c>
      <c r="G313" s="26" t="n"/>
      <c r="H313" s="29" t="n"/>
      <c r="I313" s="30" t="n"/>
      <c r="J313" s="30" t="n"/>
      <c r="K313" s="30" t="n"/>
      <c r="L313" s="30" t="n"/>
      <c r="M313" s="31" t="n"/>
      <c r="N313" s="29" t="n"/>
      <c r="O313" s="31" t="n"/>
    </row>
    <row r="314" ht="15" customHeight="1" s="16">
      <c r="A314" s="26" t="n">
        <v>313</v>
      </c>
      <c r="B314" s="26" t="n">
        <v>97</v>
      </c>
      <c r="C314" s="26" t="n">
        <v>7</v>
      </c>
      <c r="D314" s="27" t="inlineStr">
        <is>
          <t>隋唐時</t>
        </is>
      </c>
      <c r="E314" s="28" t="inlineStr">
        <is>
          <t>屬高勾麗</t>
        </is>
      </c>
      <c r="F314" s="27" t="inlineStr">
        <is>
          <t>契</t>
        </is>
      </c>
      <c r="G314" s="26" t="n"/>
      <c r="H314" s="29" t="n"/>
      <c r="I314" s="30" t="n"/>
      <c r="J314" s="30" t="n"/>
      <c r="K314" s="30" t="n"/>
      <c r="L314" s="30" t="n"/>
      <c r="M314" s="31" t="n"/>
      <c r="N314" s="29" t="n"/>
      <c r="O314" s="31" t="n"/>
    </row>
    <row r="315" ht="15" customHeight="1" s="16">
      <c r="A315" s="26" t="n">
        <v>314</v>
      </c>
      <c r="B315" s="26" t="n">
        <v>97</v>
      </c>
      <c r="C315" s="26" t="n">
        <v>8</v>
      </c>
      <c r="D315" s="27" t="inlineStr">
        <is>
          <t>屬高勾麗</t>
        </is>
      </c>
      <c r="E315" s="32" t="inlineStr">
        <is>
          <t>契</t>
        </is>
      </c>
      <c r="F315" s="27" t="inlineStr">
        <is>
          <t>丹稱南京</t>
        </is>
      </c>
      <c r="G315" s="26" t="inlineStr">
        <is>
          <t>●</t>
        </is>
      </c>
      <c r="H315" s="29" t="n"/>
      <c r="I315" s="30" t="n"/>
      <c r="J315" s="30" t="n"/>
      <c r="K315" s="30" t="n"/>
      <c r="L315" s="30" t="n"/>
      <c r="M315" s="31" t="n"/>
      <c r="N315" s="29" t="n"/>
      <c r="O315" s="31" t="n"/>
    </row>
    <row r="316" ht="15" customHeight="1" s="16">
      <c r="A316" s="26" t="n">
        <v>315</v>
      </c>
      <c r="B316" s="26" t="n">
        <v>97</v>
      </c>
      <c r="C316" s="26" t="n">
        <v>9</v>
      </c>
      <c r="D316" s="27" t="inlineStr">
        <is>
          <t>契</t>
        </is>
      </c>
      <c r="E316" s="28" t="inlineStr">
        <is>
          <t>丹稱南京</t>
        </is>
      </c>
      <c r="F316" s="27" t="inlineStr">
        <is>
          <t>金稱東京</t>
        </is>
      </c>
      <c r="G316" s="26" t="n"/>
      <c r="H316" s="29" t="n"/>
      <c r="I316" s="30" t="n"/>
      <c r="J316" s="30" t="n"/>
      <c r="K316" s="30" t="n"/>
      <c r="L316" s="30" t="n"/>
      <c r="M316" s="31" t="n"/>
      <c r="N316" s="29" t="n"/>
      <c r="O316" s="31" t="n"/>
    </row>
    <row r="317" ht="15" customHeight="1" s="16">
      <c r="A317" s="26" t="n">
        <v>316</v>
      </c>
      <c r="B317" s="26" t="n">
        <v>109</v>
      </c>
      <c r="C317" s="26" t="n">
        <v>2</v>
      </c>
      <c r="D317" s="27" t="inlineStr">
        <is>
          <t>塔下逢兩人</t>
        </is>
      </c>
      <c r="E317" s="28" t="inlineStr">
        <is>
          <t>俱滿洲人</t>
        </is>
      </c>
      <c r="F317" s="27" t="inlineStr">
        <is>
          <t>方往寧古塔買藥</t>
        </is>
      </c>
      <c r="G317" s="26" t="n"/>
      <c r="H317" s="29" t="n"/>
      <c r="I317" s="30" t="n"/>
      <c r="J317" s="30" t="n"/>
      <c r="K317" s="30" t="n"/>
      <c r="L317" s="30" t="n"/>
      <c r="M317" s="31" t="n"/>
      <c r="N317" s="29" t="n"/>
      <c r="O317" s="31" t="n"/>
    </row>
    <row r="318" ht="15" customHeight="1" s="16">
      <c r="A318" s="26" t="n">
        <v>317</v>
      </c>
      <c r="B318" s="26" t="n">
        <v>109</v>
      </c>
      <c r="C318" s="26" t="n">
        <v>3</v>
      </c>
      <c r="D318" s="27" t="inlineStr">
        <is>
          <t>俱滿洲人</t>
        </is>
      </c>
      <c r="E318" s="32" t="inlineStr">
        <is>
          <t>方往寧古塔買藥</t>
        </is>
      </c>
      <c r="F318" s="27" t="inlineStr">
        <is>
          <t>劃地問答</t>
        </is>
      </c>
      <c r="G318" s="26" t="inlineStr">
        <is>
          <t>●</t>
        </is>
      </c>
      <c r="H318" s="29" t="n"/>
      <c r="I318" s="30" t="n"/>
      <c r="J318" s="30" t="n"/>
      <c r="K318" s="30" t="n"/>
      <c r="L318" s="30" t="n"/>
      <c r="M318" s="31" t="n"/>
      <c r="N318" s="29" t="n"/>
      <c r="O318" s="31" t="n"/>
    </row>
    <row r="319" ht="15" customHeight="1" s="16">
      <c r="A319" s="26" t="n">
        <v>318</v>
      </c>
      <c r="B319" s="26" t="n">
        <v>109</v>
      </c>
      <c r="C319" s="26" t="n">
        <v>4</v>
      </c>
      <c r="D319" s="27" t="inlineStr">
        <is>
          <t>方往寧古塔買藥</t>
        </is>
      </c>
      <c r="E319" s="28" t="inlineStr">
        <is>
          <t>劃地問答</t>
        </is>
      </c>
      <c r="F319" s="27" t="inlineStr">
        <is>
          <t>一人問古本尙書</t>
        </is>
      </c>
      <c r="G319" s="26" t="n"/>
      <c r="H319" s="29" t="n"/>
      <c r="I319" s="30" t="n"/>
      <c r="J319" s="30" t="n"/>
      <c r="K319" s="30" t="n"/>
      <c r="L319" s="30" t="n"/>
      <c r="M319" s="31" t="n"/>
      <c r="N319" s="29" t="n"/>
      <c r="O319" s="31" t="n"/>
    </row>
    <row r="320" ht="15" customHeight="1" s="16">
      <c r="A320" s="26" t="n">
        <v>319</v>
      </c>
      <c r="B320" s="26" t="n">
        <v>112</v>
      </c>
      <c r="C320" s="26" t="n">
        <v>12</v>
      </c>
      <c r="D320" s="27" t="inlineStr">
        <is>
          <t>皆記修刱始末</t>
        </is>
      </c>
      <c r="E320" s="28" t="inlineStr">
        <is>
          <t>新建一碑</t>
        </is>
      </c>
      <c r="F320" s="27" t="inlineStr">
        <is>
          <t>記山西商人重修事也</t>
        </is>
      </c>
      <c r="G320" s="26" t="n"/>
      <c r="H320" s="29" t="n"/>
      <c r="I320" s="30" t="n"/>
      <c r="J320" s="30" t="n"/>
      <c r="K320" s="30" t="n"/>
      <c r="L320" s="30" t="n"/>
      <c r="M320" s="31" t="n"/>
      <c r="N320" s="29" t="n"/>
      <c r="O320" s="31" t="n"/>
    </row>
    <row r="321" ht="15" customHeight="1" s="16">
      <c r="A321" s="26" t="n">
        <v>320</v>
      </c>
      <c r="B321" s="26" t="n">
        <v>112</v>
      </c>
      <c r="C321" s="26" t="n">
        <v>13</v>
      </c>
      <c r="D321" s="27" t="inlineStr">
        <is>
          <t>新建一碑</t>
        </is>
      </c>
      <c r="E321" s="32" t="inlineStr">
        <is>
          <t>記山西商人重修事也</t>
        </is>
      </c>
      <c r="F321" s="27" t="n"/>
      <c r="G321" s="26" t="inlineStr">
        <is>
          <t>●</t>
        </is>
      </c>
      <c r="H321" s="29" t="n"/>
      <c r="I321" s="30" t="n"/>
      <c r="J321" s="30" t="n"/>
      <c r="K321" s="30" t="n"/>
      <c r="L321" s="30" t="n"/>
      <c r="M321" s="31" t="n"/>
      <c r="N321" s="29" t="n"/>
      <c r="O321" s="31" t="n"/>
    </row>
    <row r="322" ht="15" customHeight="1" s="16">
      <c r="A322" s="26" t="n">
        <v>321</v>
      </c>
      <c r="B322" s="26" t="n">
        <v>113</v>
      </c>
      <c r="C322" s="26" t="n">
        <v>1</v>
      </c>
      <c r="D322" s="27" t="n"/>
      <c r="E322" s="28" t="inlineStr">
        <is>
          <t>廟中無賴遊子數千人</t>
        </is>
      </c>
      <c r="F322" s="27" t="inlineStr">
        <is>
          <t>鬧熱如塲屋</t>
        </is>
      </c>
      <c r="G322" s="26" t="n"/>
      <c r="H322" s="29" t="n"/>
      <c r="I322" s="30" t="n"/>
      <c r="J322" s="30" t="n"/>
      <c r="K322" s="30" t="n"/>
      <c r="L322" s="30" t="n"/>
      <c r="M322" s="31" t="n"/>
      <c r="N322" s="29" t="n"/>
      <c r="O322" s="31" t="n"/>
    </row>
    <row r="323" ht="15" customHeight="1" s="16">
      <c r="A323" s="26" t="n">
        <v>322</v>
      </c>
      <c r="B323" s="26" t="n">
        <v>116</v>
      </c>
      <c r="C323" s="26" t="n">
        <v>13</v>
      </c>
      <c r="D323" s="27" t="inlineStr">
        <is>
          <t>寺僧異之</t>
        </is>
      </c>
      <c r="E323" s="28" t="inlineStr">
        <is>
          <t>掘寺右十步</t>
        </is>
      </c>
      <c r="F323" s="27" t="inlineStr">
        <is>
          <t>果得十萬金</t>
        </is>
      </c>
      <c r="G323" s="26" t="n"/>
      <c r="H323" s="29" t="n"/>
      <c r="I323" s="30" t="n"/>
      <c r="J323" s="30" t="n"/>
      <c r="K323" s="30" t="n"/>
      <c r="L323" s="30" t="n"/>
      <c r="M323" s="31" t="n"/>
      <c r="N323" s="29" t="n"/>
      <c r="O323" s="31" t="n"/>
    </row>
    <row r="324" ht="15" customHeight="1" s="16">
      <c r="A324" s="26" t="n">
        <v>323</v>
      </c>
      <c r="B324" s="26" t="n">
        <v>116</v>
      </c>
      <c r="C324" s="26" t="n">
        <v>14</v>
      </c>
      <c r="D324" s="27" t="inlineStr">
        <is>
          <t>掘寺右十步</t>
        </is>
      </c>
      <c r="E324" s="32" t="inlineStr">
        <is>
          <t>果得十萬金</t>
        </is>
      </c>
      <c r="F324" s="27" t="inlineStr">
        <is>
          <t>邨夫</t>
        </is>
      </c>
      <c r="G324" s="26" t="inlineStr">
        <is>
          <t>●</t>
        </is>
      </c>
      <c r="H324" s="29" t="n"/>
      <c r="I324" s="30" t="n"/>
      <c r="J324" s="30" t="n"/>
      <c r="K324" s="30" t="n"/>
      <c r="L324" s="30" t="n"/>
      <c r="M324" s="31" t="n"/>
      <c r="N324" s="29" t="n"/>
      <c r="O324" s="31" t="n"/>
    </row>
    <row r="325" ht="15" customHeight="1" s="16">
      <c r="A325" s="26" t="n">
        <v>324</v>
      </c>
      <c r="B325" s="26" t="n">
        <v>116</v>
      </c>
      <c r="C325" s="26" t="n">
        <v>15</v>
      </c>
      <c r="D325" s="27" t="inlineStr">
        <is>
          <t>果得十萬金</t>
        </is>
      </c>
      <c r="E325" s="28" t="inlineStr">
        <is>
          <t>邨夫</t>
        </is>
      </c>
      <c r="F325" s="27" t="inlineStr">
        <is>
          <t>以其金重修此寺</t>
        </is>
      </c>
      <c r="G325" s="26" t="n"/>
      <c r="H325" s="29" t="n"/>
      <c r="I325" s="30" t="n"/>
      <c r="J325" s="30" t="n"/>
      <c r="K325" s="30" t="n"/>
      <c r="L325" s="30" t="n"/>
      <c r="M325" s="31" t="n"/>
      <c r="N325" s="29" t="n"/>
      <c r="O325" s="31" t="n"/>
    </row>
  </sheetData>
  <dataValidations count="4">
    <dataValidation sqref="H2:H325" showDropDown="0" showInputMessage="0" showErrorMessage="0" allowBlank="1" type="list" errorStyle="stop" operator="between">
      <formula1>"Y,N"</formula1>
      <formula2>0</formula2>
    </dataValidation>
    <dataValidation sqref="I2:I325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325" showDropDown="0" showInputMessage="0" showErrorMessage="0" allowBlank="1" type="list" errorStyle="stop" operator="between">
      <formula1>"높음,보통,낮음"</formula1>
      <formula2>0</formula2>
    </dataValidation>
    <dataValidation sqref="J2:J325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2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8</v>
      </c>
      <c r="C2" s="26" t="n">
        <v>59</v>
      </c>
      <c r="D2" s="27" t="inlineStr">
        <is>
          <t>少焉主人之小孫</t>
        </is>
      </c>
      <c r="E2" s="28" t="inlineStr">
        <is>
          <t>手提吶叭</t>
        </is>
      </c>
      <c r="F2" s="27" t="inlineStr">
        <is>
          <t>氣息喘喘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8</v>
      </c>
      <c r="C3" s="26" t="n">
        <v>60</v>
      </c>
      <c r="D3" s="27" t="inlineStr">
        <is>
          <t>手提吶叭</t>
        </is>
      </c>
      <c r="E3" s="32" t="inlineStr">
        <is>
          <t>氣息喘喘</t>
        </is>
      </c>
      <c r="F3" s="27" t="inlineStr">
        <is>
          <t>走入堂裏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8</v>
      </c>
      <c r="C4" s="26" t="n">
        <v>61</v>
      </c>
      <c r="D4" s="27" t="inlineStr">
        <is>
          <t>氣息喘喘</t>
        </is>
      </c>
      <c r="E4" s="28" t="inlineStr">
        <is>
          <t>走入堂裏</t>
        </is>
      </c>
      <c r="F4" s="27" t="inlineStr">
        <is>
          <t>抱老公項</t>
        </is>
      </c>
      <c r="G4" s="26" t="n"/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8</v>
      </c>
      <c r="C5" s="26" t="n">
        <v>62</v>
      </c>
      <c r="D5" s="27" t="inlineStr">
        <is>
          <t>走入堂裏</t>
        </is>
      </c>
      <c r="E5" s="28" t="inlineStr">
        <is>
          <t>抱老公項</t>
        </is>
      </c>
      <c r="F5" s="27" t="inlineStr">
        <is>
          <t>要買吶叭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15" customHeight="1" s="16">
      <c r="A6" s="26" t="n">
        <v>5</v>
      </c>
      <c r="B6" s="26" t="n">
        <v>8</v>
      </c>
      <c r="C6" s="26" t="n">
        <v>63</v>
      </c>
      <c r="D6" s="27" t="inlineStr">
        <is>
          <t>抱老公項</t>
        </is>
      </c>
      <c r="E6" s="32" t="inlineStr">
        <is>
          <t>要買吶叭</t>
        </is>
      </c>
      <c r="F6" s="27" t="inlineStr">
        <is>
          <t>老公慈意滿面曰</t>
        </is>
      </c>
      <c r="G6" s="26" t="inlineStr">
        <is>
          <t>●</t>
        </is>
      </c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8</v>
      </c>
      <c r="C7" s="26" t="n">
        <v>64</v>
      </c>
      <c r="D7" s="27" t="inlineStr">
        <is>
          <t>要買吶叭</t>
        </is>
      </c>
      <c r="E7" s="28" t="inlineStr">
        <is>
          <t>老公慈意滿面曰</t>
        </is>
      </c>
      <c r="F7" s="27" t="inlineStr">
        <is>
          <t>這箇不中用</t>
        </is>
      </c>
      <c r="G7" s="26" t="n"/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8</v>
      </c>
      <c r="C8" s="26" t="n">
        <v>82</v>
      </c>
      <c r="D8" s="27" t="inlineStr">
        <is>
          <t>余亦責軍牢索去好矣</t>
        </is>
      </c>
      <c r="E8" s="28" t="inlineStr">
        <is>
          <t>何必若是無聊人</t>
        </is>
      </c>
      <c r="F8" s="27" t="inlineStr">
        <is>
          <t>余問這狗子那地所產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8</v>
      </c>
      <c r="C9" s="26" t="n">
        <v>83</v>
      </c>
      <c r="D9" s="27" t="inlineStr">
        <is>
          <t>何必若是無聊人</t>
        </is>
      </c>
      <c r="E9" s="32" t="inlineStr">
        <is>
          <t>余問這狗子那地所產</t>
        </is>
      </c>
      <c r="F9" s="27" t="inlineStr">
        <is>
          <t>主人</t>
        </is>
      </c>
      <c r="G9" s="26" t="inlineStr">
        <is>
          <t>●</t>
        </is>
      </c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8</v>
      </c>
      <c r="C10" s="26" t="n">
        <v>84</v>
      </c>
      <c r="D10" s="27" t="inlineStr">
        <is>
          <t>余問這狗子那地所產</t>
        </is>
      </c>
      <c r="E10" s="28" t="inlineStr">
        <is>
          <t>主人</t>
        </is>
      </c>
      <c r="F10" s="27" t="inlineStr">
        <is>
          <t>答曰</t>
        </is>
      </c>
      <c r="G10" s="26" t="n"/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8</v>
      </c>
      <c r="C11" s="26" t="n">
        <v>85</v>
      </c>
      <c r="D11" s="27" t="inlineStr">
        <is>
          <t>主人</t>
        </is>
      </c>
      <c r="E11" s="28" t="inlineStr">
        <is>
          <t>答曰</t>
        </is>
      </c>
      <c r="F11" s="27" t="inlineStr">
        <is>
          <t>雲南所產</t>
        </is>
      </c>
      <c r="G11" s="26" t="n"/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15" customHeight="1" s="16">
      <c r="A12" s="26" t="n">
        <v>11</v>
      </c>
      <c r="B12" s="26" t="n">
        <v>8</v>
      </c>
      <c r="C12" s="26" t="n">
        <v>86</v>
      </c>
      <c r="D12" s="27" t="inlineStr">
        <is>
          <t>答曰</t>
        </is>
      </c>
      <c r="E12" s="32" t="inlineStr">
        <is>
          <t>雲南所產</t>
        </is>
      </c>
      <c r="F12" s="27" t="inlineStr">
        <is>
          <t>蜀中亦有這樣的小狗</t>
        </is>
      </c>
      <c r="G12" s="26" t="inlineStr">
        <is>
          <t>●</t>
        </is>
      </c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8</v>
      </c>
      <c r="C13" s="26" t="n">
        <v>87</v>
      </c>
      <c r="D13" s="27" t="inlineStr">
        <is>
          <t>雲南所產</t>
        </is>
      </c>
      <c r="E13" s="28" t="inlineStr">
        <is>
          <t>蜀中亦有這樣的小狗</t>
        </is>
      </c>
      <c r="F13" s="27" t="inlineStr">
        <is>
          <t>此名玉兎兒</t>
        </is>
      </c>
      <c r="G13" s="26" t="n"/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8</v>
      </c>
      <c r="C14" s="26" t="n">
        <v>89</v>
      </c>
      <c r="D14" s="27" t="inlineStr">
        <is>
          <t>此名玉兎兒</t>
        </is>
      </c>
      <c r="E14" s="28" t="inlineStr">
        <is>
          <t>那箇叫做雪獅子</t>
        </is>
      </c>
      <c r="F14" s="27" t="inlineStr">
        <is>
          <t>幷是雲南產</t>
        </is>
      </c>
      <c r="G14" s="26" t="n"/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8</v>
      </c>
      <c r="C15" s="26" t="n">
        <v>90</v>
      </c>
      <c r="D15" s="27" t="inlineStr">
        <is>
          <t>那箇叫做雪獅子</t>
        </is>
      </c>
      <c r="E15" s="32" t="inlineStr">
        <is>
          <t>幷是雲南產</t>
        </is>
      </c>
      <c r="F15" s="27" t="inlineStr">
        <is>
          <t>主人叫玉兎兒</t>
        </is>
      </c>
      <c r="G15" s="26" t="inlineStr">
        <is>
          <t>●</t>
        </is>
      </c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15" customHeight="1" s="16">
      <c r="A16" s="26" t="n">
        <v>15</v>
      </c>
      <c r="B16" s="26" t="n">
        <v>8</v>
      </c>
      <c r="C16" s="26" t="n">
        <v>91</v>
      </c>
      <c r="D16" s="27" t="inlineStr">
        <is>
          <t>幷是雲南產</t>
        </is>
      </c>
      <c r="E16" s="28" t="inlineStr">
        <is>
          <t>主人叫玉兎兒</t>
        </is>
      </c>
      <c r="F16" s="27" t="inlineStr">
        <is>
          <t>叩頭</t>
        </is>
      </c>
      <c r="G16" s="26" t="n"/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15" customHeight="1" s="16">
      <c r="A17" s="26" t="n">
        <v>16</v>
      </c>
      <c r="B17" s="26" t="n">
        <v>8</v>
      </c>
      <c r="C17" s="26" t="n">
        <v>100</v>
      </c>
      <c r="D17" s="27" t="inlineStr">
        <is>
          <t>客官旣然愛玩此</t>
        </is>
      </c>
      <c r="E17" s="28" t="inlineStr">
        <is>
          <t>微物時</t>
        </is>
      </c>
      <c r="F17" s="27" t="inlineStr">
        <is>
          <t>情願拜送準貢回還時</t>
        </is>
      </c>
      <c r="G17" s="26" t="n"/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15" customHeight="1" s="16">
      <c r="A18" s="26" t="n">
        <v>17</v>
      </c>
      <c r="B18" s="26" t="n">
        <v>8</v>
      </c>
      <c r="C18" s="26" t="n">
        <v>101</v>
      </c>
      <c r="D18" s="27" t="inlineStr">
        <is>
          <t>微物時</t>
        </is>
      </c>
      <c r="E18" s="32" t="inlineStr">
        <is>
          <t>情願拜送準貢回還時</t>
        </is>
      </c>
      <c r="F18" s="27" t="inlineStr">
        <is>
          <t>客官不妨携去</t>
        </is>
      </c>
      <c r="G18" s="26" t="inlineStr">
        <is>
          <t>●</t>
        </is>
      </c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8</v>
      </c>
      <c r="C19" s="26" t="n">
        <v>102</v>
      </c>
      <c r="D19" s="27" t="inlineStr">
        <is>
          <t>情願拜送準貢回還時</t>
        </is>
      </c>
      <c r="E19" s="28" t="inlineStr">
        <is>
          <t>客官不妨携去</t>
        </is>
      </c>
      <c r="F19" s="27" t="inlineStr">
        <is>
          <t>余答曰</t>
        </is>
      </c>
      <c r="G19" s="26" t="n"/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15" customHeight="1" s="16">
      <c r="A20" s="26" t="n">
        <v>19</v>
      </c>
      <c r="B20" s="26" t="n">
        <v>8</v>
      </c>
      <c r="C20" s="26" t="n">
        <v>113</v>
      </c>
      <c r="D20" s="27" t="inlineStr">
        <is>
          <t>遂給張福與昌大共食</t>
        </is>
      </c>
      <c r="E20" s="28" t="inlineStr">
        <is>
          <t>自入舖子裏</t>
        </is>
      </c>
      <c r="F20" s="27" t="inlineStr">
        <is>
          <t>買喫一椀麵</t>
        </is>
      </c>
      <c r="G20" s="26" t="n"/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15" customHeight="1" s="16">
      <c r="A21" s="26" t="n">
        <v>20</v>
      </c>
      <c r="B21" s="26" t="n">
        <v>8</v>
      </c>
      <c r="C21" s="26" t="n">
        <v>114</v>
      </c>
      <c r="D21" s="27" t="inlineStr">
        <is>
          <t>自入舖子裏</t>
        </is>
      </c>
      <c r="E21" s="32" t="inlineStr">
        <is>
          <t>買喫一椀麵</t>
        </is>
      </c>
      <c r="F21" s="27" t="inlineStr">
        <is>
          <t>一</t>
        </is>
      </c>
      <c r="G21" s="26" t="inlineStr">
        <is>
          <t>●</t>
        </is>
      </c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15" customHeight="1" s="16">
      <c r="A22" s="26" t="n">
        <v>21</v>
      </c>
      <c r="B22" s="26" t="n">
        <v>8</v>
      </c>
      <c r="C22" s="26" t="n">
        <v>115</v>
      </c>
      <c r="D22" s="27" t="inlineStr">
        <is>
          <t>買喫一椀麵</t>
        </is>
      </c>
      <c r="E22" s="28" t="inlineStr">
        <is>
          <t>一</t>
        </is>
      </c>
      <c r="F22" s="27" t="inlineStr">
        <is>
          <t>觶燒酒</t>
        </is>
      </c>
      <c r="G22" s="26" t="n"/>
      <c r="H22" s="29" t="n"/>
      <c r="I22" s="30" t="n"/>
      <c r="J22" s="30" t="n"/>
      <c r="K22" s="30" t="n"/>
      <c r="L22" s="30" t="n"/>
      <c r="M22" s="31" t="n"/>
      <c r="N22" s="29" t="n"/>
      <c r="O22" s="31" t="n"/>
    </row>
    <row r="23" ht="15" customHeight="1" s="16">
      <c r="A23" s="26" t="n">
        <v>22</v>
      </c>
      <c r="B23" s="26" t="n">
        <v>9</v>
      </c>
      <c r="C23" s="26" t="n">
        <v>15</v>
      </c>
      <c r="D23" s="27" t="inlineStr">
        <is>
          <t>車馬雲屯</t>
        </is>
      </c>
      <c r="E23" s="28" t="inlineStr">
        <is>
          <t>促鞭行下馬少憩</t>
        </is>
      </c>
      <c r="F23" s="27" t="inlineStr">
        <is>
          <t>客商數百人</t>
        </is>
      </c>
      <c r="G23" s="26" t="n"/>
      <c r="H23" s="29" t="n"/>
      <c r="I23" s="30" t="n"/>
      <c r="J23" s="30" t="n"/>
      <c r="K23" s="30" t="n"/>
      <c r="L23" s="30" t="n"/>
      <c r="M23" s="31" t="n"/>
      <c r="N23" s="29" t="n"/>
      <c r="O23" s="31" t="n"/>
    </row>
    <row r="24" ht="15" customHeight="1" s="16">
      <c r="A24" s="26" t="n">
        <v>23</v>
      </c>
      <c r="B24" s="26" t="n">
        <v>9</v>
      </c>
      <c r="C24" s="26" t="n">
        <v>16</v>
      </c>
      <c r="D24" s="27" t="inlineStr">
        <is>
          <t>促鞭行下馬少憩</t>
        </is>
      </c>
      <c r="E24" s="32" t="inlineStr">
        <is>
          <t>客商數百人</t>
        </is>
      </c>
      <c r="F24" s="27" t="inlineStr">
        <is>
          <t>卸擔納凉</t>
        </is>
      </c>
      <c r="G24" s="26" t="inlineStr">
        <is>
          <t>●</t>
        </is>
      </c>
      <c r="H24" s="29" t="n"/>
      <c r="I24" s="30" t="n"/>
      <c r="J24" s="30" t="n"/>
      <c r="K24" s="30" t="n"/>
      <c r="L24" s="30" t="n"/>
      <c r="M24" s="31" t="n"/>
      <c r="N24" s="29" t="n"/>
      <c r="O24" s="31" t="n"/>
    </row>
    <row r="25" ht="15" customHeight="1" s="16">
      <c r="A25" s="26" t="n">
        <v>24</v>
      </c>
      <c r="B25" s="26" t="n">
        <v>9</v>
      </c>
      <c r="C25" s="26" t="n">
        <v>17</v>
      </c>
      <c r="D25" s="27" t="inlineStr">
        <is>
          <t>客商數百人</t>
        </is>
      </c>
      <c r="E25" s="28" t="inlineStr">
        <is>
          <t>卸擔納凉</t>
        </is>
      </c>
      <c r="F25" s="27" t="inlineStr">
        <is>
          <t>或踞柳根</t>
        </is>
      </c>
      <c r="G25" s="26" t="n"/>
      <c r="H25" s="29" t="n"/>
      <c r="I25" s="30" t="n"/>
      <c r="J25" s="30" t="n"/>
      <c r="K25" s="30" t="n"/>
      <c r="L25" s="30" t="n"/>
      <c r="M25" s="31" t="n"/>
      <c r="N25" s="29" t="n"/>
      <c r="O25" s="31" t="n"/>
    </row>
    <row r="26" ht="15" customHeight="1" s="16">
      <c r="A26" s="26" t="n">
        <v>25</v>
      </c>
      <c r="B26" s="26" t="n">
        <v>9</v>
      </c>
      <c r="C26" s="26" t="n">
        <v>36</v>
      </c>
      <c r="D26" s="27" t="inlineStr">
        <is>
          <t>車三十餘乘</t>
        </is>
      </c>
      <c r="E26" s="28" t="inlineStr">
        <is>
          <t>皆滿載石煤</t>
        </is>
      </c>
      <c r="F26" s="27" t="inlineStr">
        <is>
          <t>賣酒賣茶</t>
        </is>
      </c>
      <c r="G26" s="26" t="n"/>
      <c r="H26" s="29" t="n"/>
      <c r="I26" s="30" t="n"/>
      <c r="J26" s="30" t="n"/>
      <c r="K26" s="30" t="n"/>
      <c r="L26" s="30" t="n"/>
      <c r="M26" s="31" t="n"/>
      <c r="N26" s="29" t="n"/>
      <c r="O26" s="31" t="n"/>
    </row>
    <row r="27" ht="15" customHeight="1" s="16">
      <c r="A27" s="26" t="n">
        <v>26</v>
      </c>
      <c r="B27" s="26" t="n">
        <v>9</v>
      </c>
      <c r="C27" s="26" t="n">
        <v>37</v>
      </c>
      <c r="D27" s="27" t="inlineStr">
        <is>
          <t>皆滿載石煤</t>
        </is>
      </c>
      <c r="E27" s="32" t="inlineStr">
        <is>
          <t>賣酒賣茶</t>
        </is>
      </c>
      <c r="F27" s="27" t="inlineStr">
        <is>
          <t>賣餠果</t>
        </is>
      </c>
      <c r="G27" s="26" t="inlineStr">
        <is>
          <t>●</t>
        </is>
      </c>
      <c r="H27" s="29" t="n"/>
      <c r="I27" s="30" t="n"/>
      <c r="J27" s="30" t="n"/>
      <c r="K27" s="30" t="n"/>
      <c r="L27" s="30" t="n"/>
      <c r="M27" s="31" t="n"/>
      <c r="N27" s="29" t="n"/>
      <c r="O27" s="31" t="n"/>
    </row>
    <row r="28" ht="15" customHeight="1" s="16">
      <c r="A28" s="26" t="n">
        <v>27</v>
      </c>
      <c r="B28" s="26" t="n">
        <v>9</v>
      </c>
      <c r="C28" s="26" t="n">
        <v>38</v>
      </c>
      <c r="D28" s="27" t="inlineStr">
        <is>
          <t>賣酒賣茶</t>
        </is>
      </c>
      <c r="E28" s="32" t="inlineStr">
        <is>
          <t>賣餠果</t>
        </is>
      </c>
      <c r="F28" s="27" t="inlineStr">
        <is>
          <t>諸般飮食者</t>
        </is>
      </c>
      <c r="G28" s="26" t="inlineStr">
        <is>
          <t>●</t>
        </is>
      </c>
      <c r="H28" s="29" t="n"/>
      <c r="I28" s="30" t="n"/>
      <c r="J28" s="30" t="n"/>
      <c r="K28" s="30" t="n"/>
      <c r="L28" s="30" t="n"/>
      <c r="M28" s="31" t="n"/>
      <c r="N28" s="29" t="n"/>
      <c r="O28" s="31" t="n"/>
    </row>
    <row r="29" ht="15" customHeight="1" s="16">
      <c r="A29" s="26" t="n">
        <v>28</v>
      </c>
      <c r="B29" s="26" t="n">
        <v>9</v>
      </c>
      <c r="C29" s="26" t="n">
        <v>39</v>
      </c>
      <c r="D29" s="27" t="inlineStr">
        <is>
          <t>賣餠果</t>
        </is>
      </c>
      <c r="E29" s="28" t="inlineStr">
        <is>
          <t>諸般飮食者</t>
        </is>
      </c>
      <c r="F29" s="27" t="inlineStr">
        <is>
          <t>皆聚柳陰下</t>
        </is>
      </c>
      <c r="G29" s="26" t="n"/>
      <c r="H29" s="29" t="n"/>
      <c r="I29" s="30" t="n"/>
      <c r="J29" s="30" t="n"/>
      <c r="K29" s="30" t="n"/>
      <c r="L29" s="30" t="n"/>
      <c r="M29" s="31" t="n"/>
      <c r="N29" s="29" t="n"/>
      <c r="O29" s="31" t="n"/>
    </row>
    <row r="30" ht="15" customHeight="1" s="16">
      <c r="A30" s="26" t="n">
        <v>29</v>
      </c>
      <c r="B30" s="26" t="n">
        <v>10</v>
      </c>
      <c r="C30" s="26" t="n">
        <v>1</v>
      </c>
      <c r="D30" s="27" t="n"/>
      <c r="E30" s="28" t="inlineStr">
        <is>
          <t>渾河</t>
        </is>
      </c>
      <c r="F30" s="27" t="inlineStr">
        <is>
          <t>一名阿利江</t>
        </is>
      </c>
      <c r="G30" s="26" t="n"/>
      <c r="H30" s="29" t="n"/>
      <c r="I30" s="30" t="n"/>
      <c r="J30" s="30" t="n"/>
      <c r="K30" s="30" t="n"/>
      <c r="L30" s="30" t="n"/>
      <c r="M30" s="31" t="n"/>
      <c r="N30" s="29" t="n"/>
      <c r="O30" s="31" t="n"/>
    </row>
    <row r="31" ht="15" customHeight="1" s="16">
      <c r="A31" s="26" t="n">
        <v>30</v>
      </c>
      <c r="B31" s="26" t="n">
        <v>10</v>
      </c>
      <c r="C31" s="26" t="n">
        <v>2</v>
      </c>
      <c r="D31" s="27" t="inlineStr">
        <is>
          <t>渾河</t>
        </is>
      </c>
      <c r="E31" s="32" t="inlineStr">
        <is>
          <t>一名阿利江</t>
        </is>
      </c>
      <c r="F31" s="27" t="inlineStr">
        <is>
          <t>一名小遼水</t>
        </is>
      </c>
      <c r="G31" s="26" t="inlineStr">
        <is>
          <t>●</t>
        </is>
      </c>
      <c r="H31" s="29" t="n"/>
      <c r="I31" s="30" t="n"/>
      <c r="J31" s="30" t="n"/>
      <c r="K31" s="30" t="n"/>
      <c r="L31" s="30" t="n"/>
      <c r="M31" s="31" t="n"/>
      <c r="N31" s="29" t="n"/>
      <c r="O31" s="31" t="n"/>
    </row>
    <row r="32" ht="15" customHeight="1" s="16">
      <c r="A32" s="26" t="n">
        <v>31</v>
      </c>
      <c r="B32" s="26" t="n">
        <v>10</v>
      </c>
      <c r="C32" s="26" t="n">
        <v>3</v>
      </c>
      <c r="D32" s="27" t="inlineStr">
        <is>
          <t>一名阿利江</t>
        </is>
      </c>
      <c r="E32" s="28" t="inlineStr">
        <is>
          <t>一名小遼水</t>
        </is>
      </c>
      <c r="F32" s="27" t="inlineStr">
        <is>
          <t>源出長白山</t>
        </is>
      </c>
      <c r="G32" s="26" t="n"/>
      <c r="H32" s="29" t="n"/>
      <c r="I32" s="30" t="n"/>
      <c r="J32" s="30" t="n"/>
      <c r="K32" s="30" t="n"/>
      <c r="L32" s="30" t="n"/>
      <c r="M32" s="31" t="n"/>
      <c r="N32" s="29" t="n"/>
      <c r="O32" s="31" t="n"/>
    </row>
    <row r="33" ht="15" customHeight="1" s="16">
      <c r="A33" s="26" t="n">
        <v>32</v>
      </c>
      <c r="B33" s="26" t="n">
        <v>11</v>
      </c>
      <c r="C33" s="26" t="n">
        <v>15</v>
      </c>
      <c r="D33" s="27" t="inlineStr">
        <is>
          <t>郭內民物之繁華</t>
        </is>
      </c>
      <c r="E33" s="28" t="inlineStr">
        <is>
          <t>市肆之侈盛</t>
        </is>
      </c>
      <c r="F33" s="27" t="inlineStr">
        <is>
          <t>十倍遼陽</t>
        </is>
      </c>
      <c r="G33" s="26" t="n"/>
      <c r="H33" s="29" t="n"/>
      <c r="I33" s="30" t="n"/>
      <c r="J33" s="30" t="n"/>
      <c r="K33" s="30" t="n"/>
      <c r="L33" s="30" t="n"/>
      <c r="M33" s="31" t="n"/>
      <c r="N33" s="29" t="n"/>
      <c r="O33" s="31" t="n"/>
    </row>
    <row r="34" ht="15" customHeight="1" s="16">
      <c r="A34" s="26" t="n">
        <v>33</v>
      </c>
      <c r="B34" s="26" t="n">
        <v>11</v>
      </c>
      <c r="C34" s="26" t="n">
        <v>16</v>
      </c>
      <c r="D34" s="27" t="inlineStr">
        <is>
          <t>市肆之侈盛</t>
        </is>
      </c>
      <c r="E34" s="32" t="inlineStr">
        <is>
          <t>十倍遼陽</t>
        </is>
      </c>
      <c r="F34" s="27" t="inlineStr">
        <is>
          <t>矣</t>
        </is>
      </c>
      <c r="G34" s="26" t="inlineStr">
        <is>
          <t>●</t>
        </is>
      </c>
      <c r="H34" s="29" t="n"/>
      <c r="I34" s="30" t="n"/>
      <c r="J34" s="30" t="n"/>
      <c r="K34" s="30" t="n"/>
      <c r="L34" s="30" t="n"/>
      <c r="M34" s="31" t="n"/>
      <c r="N34" s="29" t="n"/>
      <c r="O34" s="31" t="n"/>
    </row>
    <row r="35" ht="15" customHeight="1" s="16">
      <c r="A35" s="26" t="n">
        <v>34</v>
      </c>
      <c r="B35" s="26" t="n">
        <v>11</v>
      </c>
      <c r="C35" s="26" t="n">
        <v>17</v>
      </c>
      <c r="D35" s="27" t="inlineStr">
        <is>
          <t>十倍遼陽</t>
        </is>
      </c>
      <c r="E35" s="28" t="inlineStr">
        <is>
          <t>矣</t>
        </is>
      </c>
      <c r="F35" s="27" t="inlineStr">
        <is>
          <t>入關廟少憩</t>
        </is>
      </c>
      <c r="G35" s="26" t="n"/>
      <c r="H35" s="29" t="n"/>
      <c r="I35" s="30" t="n"/>
      <c r="J35" s="30" t="n"/>
      <c r="K35" s="30" t="n"/>
      <c r="L35" s="30" t="n"/>
      <c r="M35" s="31" t="n"/>
      <c r="N35" s="29" t="n"/>
      <c r="O35" s="31" t="n"/>
    </row>
    <row r="36" ht="15" customHeight="1" s="16">
      <c r="A36" s="26" t="n">
        <v>35</v>
      </c>
      <c r="B36" s="26" t="n">
        <v>11</v>
      </c>
      <c r="C36" s="26" t="n">
        <v>32</v>
      </c>
      <c r="D36" s="27" t="inlineStr">
        <is>
          <t>身披一領野繭紗道袍</t>
        </is>
      </c>
      <c r="E36" s="28" t="inlineStr">
        <is>
          <t>項戴藤笠</t>
        </is>
      </c>
      <c r="F36" s="27" t="inlineStr">
        <is>
          <t>足穿貢緞黑靴</t>
        </is>
      </c>
      <c r="G36" s="26" t="n"/>
      <c r="H36" s="29" t="n"/>
      <c r="I36" s="30" t="n"/>
      <c r="J36" s="30" t="n"/>
      <c r="K36" s="30" t="n"/>
      <c r="L36" s="30" t="n"/>
      <c r="M36" s="31" t="n"/>
      <c r="N36" s="29" t="n"/>
      <c r="O36" s="31" t="n"/>
    </row>
    <row r="37" ht="15" customHeight="1" s="16">
      <c r="A37" s="26" t="n">
        <v>36</v>
      </c>
      <c r="B37" s="26" t="n">
        <v>11</v>
      </c>
      <c r="C37" s="26" t="n">
        <v>33</v>
      </c>
      <c r="D37" s="27" t="inlineStr">
        <is>
          <t>項戴藤笠</t>
        </is>
      </c>
      <c r="E37" s="32" t="inlineStr">
        <is>
          <t>足穿貢緞黑靴</t>
        </is>
      </c>
      <c r="F37" s="27" t="inlineStr">
        <is>
          <t>脫笠自撫其髻曰</t>
        </is>
      </c>
      <c r="G37" s="26" t="inlineStr">
        <is>
          <t>●</t>
        </is>
      </c>
      <c r="H37" s="29" t="n"/>
      <c r="I37" s="30" t="n"/>
      <c r="J37" s="30" t="n"/>
      <c r="K37" s="30" t="n"/>
      <c r="L37" s="30" t="n"/>
      <c r="M37" s="31" t="n"/>
      <c r="N37" s="29" t="n"/>
      <c r="O37" s="31" t="n"/>
    </row>
    <row r="38" ht="15" customHeight="1" s="16">
      <c r="A38" s="26" t="n">
        <v>37</v>
      </c>
      <c r="B38" s="26" t="n">
        <v>11</v>
      </c>
      <c r="C38" s="26" t="n">
        <v>34</v>
      </c>
      <c r="D38" s="27" t="inlineStr">
        <is>
          <t>足穿貢緞黑靴</t>
        </is>
      </c>
      <c r="E38" s="28" t="inlineStr">
        <is>
          <t>脫笠自撫其髻曰</t>
        </is>
      </c>
      <c r="F38" s="27" t="inlineStr">
        <is>
          <t>與相公一樣</t>
        </is>
      </c>
      <c r="G38" s="26" t="n"/>
      <c r="H38" s="29" t="n"/>
      <c r="I38" s="30" t="n"/>
      <c r="J38" s="30" t="n"/>
      <c r="K38" s="30" t="n"/>
      <c r="L38" s="30" t="n"/>
      <c r="M38" s="31" t="n"/>
      <c r="N38" s="29" t="n"/>
      <c r="O38" s="31" t="n"/>
    </row>
    <row r="39" ht="15" customHeight="1" s="16">
      <c r="A39" s="26" t="n">
        <v>38</v>
      </c>
      <c r="B39" s="26" t="n">
        <v>12</v>
      </c>
      <c r="C39" s="26" t="n">
        <v>17</v>
      </c>
      <c r="D39" s="27" t="inlineStr">
        <is>
          <t>彩閣雕牕</t>
        </is>
      </c>
      <c r="E39" s="28" t="inlineStr">
        <is>
          <t>金扁碧榜</t>
        </is>
      </c>
      <c r="F39" s="27" t="inlineStr">
        <is>
          <t>貨寶</t>
        </is>
      </c>
      <c r="G39" s="26" t="n"/>
      <c r="H39" s="29" t="n"/>
      <c r="I39" s="30" t="n"/>
      <c r="J39" s="30" t="n"/>
      <c r="K39" s="30" t="n"/>
      <c r="L39" s="30" t="n"/>
      <c r="M39" s="31" t="n"/>
      <c r="N39" s="29" t="n"/>
      <c r="O39" s="31" t="n"/>
    </row>
    <row r="40" ht="15" customHeight="1" s="16">
      <c r="A40" s="26" t="n">
        <v>39</v>
      </c>
      <c r="B40" s="26" t="n">
        <v>12</v>
      </c>
      <c r="C40" s="26" t="n">
        <v>18</v>
      </c>
      <c r="D40" s="27" t="inlineStr">
        <is>
          <t>金扁碧榜</t>
        </is>
      </c>
      <c r="E40" s="32" t="inlineStr">
        <is>
          <t>貨寶</t>
        </is>
      </c>
      <c r="F40" s="27" t="inlineStr">
        <is>
          <t>財賄</t>
        </is>
      </c>
      <c r="G40" s="26" t="inlineStr">
        <is>
          <t>●</t>
        </is>
      </c>
      <c r="H40" s="29" t="n"/>
      <c r="I40" s="30" t="n"/>
      <c r="J40" s="30" t="n"/>
      <c r="K40" s="30" t="n"/>
      <c r="L40" s="30" t="n"/>
      <c r="M40" s="31" t="n"/>
      <c r="N40" s="29" t="n"/>
      <c r="O40" s="31" t="n"/>
    </row>
    <row r="41" ht="15" customHeight="1" s="16">
      <c r="A41" s="26" t="n">
        <v>40</v>
      </c>
      <c r="B41" s="26" t="n">
        <v>12</v>
      </c>
      <c r="C41" s="26" t="n">
        <v>19</v>
      </c>
      <c r="D41" s="27" t="inlineStr">
        <is>
          <t>貨寶</t>
        </is>
      </c>
      <c r="E41" s="32" t="inlineStr">
        <is>
          <t>財賄</t>
        </is>
      </c>
      <c r="F41" s="27" t="inlineStr">
        <is>
          <t>充牣其中</t>
        </is>
      </c>
      <c r="G41" s="26" t="inlineStr">
        <is>
          <t>●</t>
        </is>
      </c>
      <c r="H41" s="29" t="n"/>
      <c r="I41" s="30" t="n"/>
      <c r="J41" s="30" t="n"/>
      <c r="K41" s="30" t="n"/>
      <c r="L41" s="30" t="n"/>
      <c r="M41" s="31" t="n"/>
      <c r="N41" s="29" t="n"/>
      <c r="O41" s="31" t="n"/>
    </row>
    <row r="42" ht="15" customHeight="1" s="16">
      <c r="A42" s="26" t="n">
        <v>41</v>
      </c>
      <c r="B42" s="26" t="n">
        <v>12</v>
      </c>
      <c r="C42" s="26" t="n">
        <v>20</v>
      </c>
      <c r="D42" s="27" t="inlineStr">
        <is>
          <t>財賄</t>
        </is>
      </c>
      <c r="E42" s="28" t="inlineStr">
        <is>
          <t>充牣其中</t>
        </is>
      </c>
      <c r="F42" s="27" t="inlineStr">
        <is>
          <t>坐市者</t>
        </is>
      </c>
      <c r="G42" s="26" t="n"/>
      <c r="H42" s="29" t="n"/>
      <c r="I42" s="30" t="n"/>
      <c r="J42" s="30" t="n"/>
      <c r="K42" s="30" t="n"/>
      <c r="L42" s="30" t="n"/>
      <c r="M42" s="31" t="n"/>
      <c r="N42" s="29" t="n"/>
      <c r="O42" s="31" t="n"/>
    </row>
    <row r="43" ht="15" customHeight="1" s="16">
      <c r="A43" s="26" t="n">
        <v>42</v>
      </c>
      <c r="B43" s="26" t="n">
        <v>15</v>
      </c>
      <c r="C43" s="26" t="n">
        <v>9</v>
      </c>
      <c r="D43" s="27" t="inlineStr">
        <is>
          <t>箇箇若是</t>
        </is>
      </c>
      <c r="E43" s="28" t="inlineStr">
        <is>
          <t>遂相携入一酒樓</t>
        </is>
      </c>
      <c r="F43" s="27" t="inlineStr">
        <is>
          <t>其宏深奢麗</t>
        </is>
      </c>
      <c r="G43" s="26" t="n"/>
      <c r="H43" s="29" t="n"/>
      <c r="I43" s="30" t="n"/>
      <c r="J43" s="30" t="n"/>
      <c r="K43" s="30" t="n"/>
      <c r="L43" s="30" t="n"/>
      <c r="M43" s="31" t="n"/>
      <c r="N43" s="29" t="n"/>
      <c r="O43" s="31" t="n"/>
    </row>
    <row r="44" ht="15" customHeight="1" s="16">
      <c r="A44" s="26" t="n">
        <v>43</v>
      </c>
      <c r="B44" s="26" t="n">
        <v>15</v>
      </c>
      <c r="C44" s="26" t="n">
        <v>10</v>
      </c>
      <c r="D44" s="27" t="inlineStr">
        <is>
          <t>遂相携入一酒樓</t>
        </is>
      </c>
      <c r="E44" s="32" t="inlineStr">
        <is>
          <t>其宏深奢麗</t>
        </is>
      </c>
      <c r="F44" s="27" t="inlineStr">
        <is>
          <t>更勝於前</t>
        </is>
      </c>
      <c r="G44" s="26" t="inlineStr">
        <is>
          <t>●</t>
        </is>
      </c>
      <c r="H44" s="29" t="n"/>
      <c r="I44" s="30" t="n"/>
      <c r="J44" s="30" t="n"/>
      <c r="K44" s="30" t="n"/>
      <c r="L44" s="30" t="n"/>
      <c r="M44" s="31" t="n"/>
      <c r="N44" s="29" t="n"/>
      <c r="O44" s="31" t="n"/>
    </row>
    <row r="45" ht="15" customHeight="1" s="16">
      <c r="A45" s="26" t="n">
        <v>44</v>
      </c>
      <c r="B45" s="26" t="n">
        <v>15</v>
      </c>
      <c r="C45" s="26" t="n">
        <v>11</v>
      </c>
      <c r="D45" s="27" t="inlineStr">
        <is>
          <t>其宏深奢麗</t>
        </is>
      </c>
      <c r="E45" s="28" t="inlineStr">
        <is>
          <t>更勝於前</t>
        </is>
      </c>
      <c r="F45" s="27" t="inlineStr">
        <is>
          <t>買得一盤卵炒</t>
        </is>
      </c>
      <c r="G45" s="26" t="n"/>
      <c r="H45" s="29" t="n"/>
      <c r="I45" s="30" t="n"/>
      <c r="J45" s="30" t="n"/>
      <c r="K45" s="30" t="n"/>
      <c r="L45" s="30" t="n"/>
      <c r="M45" s="31" t="n"/>
      <c r="N45" s="29" t="n"/>
      <c r="O45" s="31" t="n"/>
    </row>
    <row r="46" ht="15" customHeight="1" s="16">
      <c r="A46" s="26" t="n">
        <v>45</v>
      </c>
      <c r="B46" s="26" t="n">
        <v>15</v>
      </c>
      <c r="C46" s="26" t="n">
        <v>12</v>
      </c>
      <c r="D46" s="27" t="inlineStr">
        <is>
          <t>更勝於前</t>
        </is>
      </c>
      <c r="E46" s="32" t="inlineStr">
        <is>
          <t>買得一盤卵炒</t>
        </is>
      </c>
      <c r="F46" s="27" t="inlineStr">
        <is>
          <t>一甁史國公</t>
        </is>
      </c>
      <c r="G46" s="26" t="inlineStr">
        <is>
          <t>●</t>
        </is>
      </c>
      <c r="H46" s="29" t="n"/>
      <c r="I46" s="30" t="n"/>
      <c r="J46" s="30" t="n"/>
      <c r="K46" s="30" t="n"/>
      <c r="L46" s="30" t="n"/>
      <c r="M46" s="31" t="n"/>
      <c r="N46" s="29" t="n"/>
      <c r="O46" s="31" t="n"/>
    </row>
    <row r="47" ht="15" customHeight="1" s="16">
      <c r="A47" s="26" t="n">
        <v>46</v>
      </c>
      <c r="B47" s="26" t="n">
        <v>15</v>
      </c>
      <c r="C47" s="26" t="n">
        <v>13</v>
      </c>
      <c r="D47" s="27" t="inlineStr">
        <is>
          <t>買得一盤卵炒</t>
        </is>
      </c>
      <c r="E47" s="28" t="inlineStr">
        <is>
          <t>一甁史國公</t>
        </is>
      </c>
      <c r="F47" s="27" t="inlineStr">
        <is>
          <t>暢飮而罷</t>
        </is>
      </c>
      <c r="G47" s="26" t="n"/>
      <c r="H47" s="29" t="n"/>
      <c r="I47" s="30" t="n"/>
      <c r="J47" s="30" t="n"/>
      <c r="K47" s="30" t="n"/>
      <c r="L47" s="30" t="n"/>
      <c r="M47" s="31" t="n"/>
      <c r="N47" s="29" t="n"/>
      <c r="O47" s="31" t="n"/>
    </row>
    <row r="48" ht="15" customHeight="1" s="16">
      <c r="A48" s="26" t="n">
        <v>47</v>
      </c>
      <c r="B48" s="26" t="n">
        <v>15</v>
      </c>
      <c r="C48" s="26" t="n">
        <v>14</v>
      </c>
      <c r="D48" s="27" t="inlineStr">
        <is>
          <t>一甁史國公</t>
        </is>
      </c>
      <c r="E48" s="28" t="inlineStr">
        <is>
          <t>暢飮而罷</t>
        </is>
      </c>
      <c r="F48" s="27" t="inlineStr">
        <is>
          <t>入一收賣古董舖子</t>
        </is>
      </c>
      <c r="G48" s="26" t="n"/>
      <c r="H48" s="29" t="n"/>
      <c r="I48" s="30" t="n"/>
      <c r="J48" s="30" t="n"/>
      <c r="K48" s="30" t="n"/>
      <c r="L48" s="30" t="n"/>
      <c r="M48" s="31" t="n"/>
      <c r="N48" s="29" t="n"/>
      <c r="O48" s="31" t="n"/>
    </row>
    <row r="49" ht="15" customHeight="1" s="16">
      <c r="A49" s="26" t="n">
        <v>48</v>
      </c>
      <c r="B49" s="26" t="n">
        <v>15</v>
      </c>
      <c r="C49" s="26" t="n">
        <v>15</v>
      </c>
      <c r="D49" s="27" t="inlineStr">
        <is>
          <t>暢飮而罷</t>
        </is>
      </c>
      <c r="E49" s="32" t="inlineStr">
        <is>
          <t>入一收賣古董舖子</t>
        </is>
      </c>
      <c r="F49" s="27" t="inlineStr">
        <is>
          <t>舖名藝粟齋</t>
        </is>
      </c>
      <c r="G49" s="26" t="inlineStr">
        <is>
          <t>●</t>
        </is>
      </c>
      <c r="H49" s="29" t="n"/>
      <c r="I49" s="30" t="n"/>
      <c r="J49" s="30" t="n"/>
      <c r="K49" s="30" t="n"/>
      <c r="L49" s="30" t="n"/>
      <c r="M49" s="31" t="n"/>
      <c r="N49" s="29" t="n"/>
      <c r="O49" s="31" t="n"/>
    </row>
    <row r="50" ht="15" customHeight="1" s="16">
      <c r="A50" s="26" t="n">
        <v>49</v>
      </c>
      <c r="B50" s="26" t="n">
        <v>15</v>
      </c>
      <c r="C50" s="26" t="n">
        <v>16</v>
      </c>
      <c r="D50" s="27" t="inlineStr">
        <is>
          <t>入一收賣古董舖子</t>
        </is>
      </c>
      <c r="E50" s="28" t="inlineStr">
        <is>
          <t>舖名藝粟齋</t>
        </is>
      </c>
      <c r="F50" s="27" t="inlineStr">
        <is>
          <t>有秀才五人</t>
        </is>
      </c>
      <c r="G50" s="26" t="n"/>
      <c r="H50" s="29" t="n"/>
      <c r="I50" s="30" t="n"/>
      <c r="J50" s="30" t="n"/>
      <c r="K50" s="30" t="n"/>
      <c r="L50" s="30" t="n"/>
      <c r="M50" s="31" t="n"/>
      <c r="N50" s="29" t="n"/>
      <c r="O50" s="31" t="n"/>
    </row>
    <row r="51" ht="15" customHeight="1" s="16">
      <c r="A51" s="26" t="n">
        <v>50</v>
      </c>
      <c r="B51" s="26" t="n">
        <v>15</v>
      </c>
      <c r="C51" s="26" t="n">
        <v>25</v>
      </c>
      <c r="D51" s="27" t="inlineStr">
        <is>
          <t>地士人</t>
        </is>
      </c>
      <c r="E51" s="28" t="inlineStr">
        <is>
          <t>新開錦緞舖</t>
        </is>
      </c>
      <c r="F51" s="27" t="inlineStr">
        <is>
          <t>舖名歌商樓</t>
        </is>
      </c>
      <c r="G51" s="26" t="n"/>
      <c r="H51" s="29" t="n"/>
      <c r="I51" s="30" t="n"/>
      <c r="J51" s="30" t="n"/>
      <c r="K51" s="30" t="n"/>
      <c r="L51" s="30" t="n"/>
      <c r="M51" s="31" t="n"/>
      <c r="N51" s="29" t="n"/>
      <c r="O51" s="31" t="n"/>
    </row>
    <row r="52" ht="15" customHeight="1" s="16">
      <c r="A52" s="26" t="n">
        <v>51</v>
      </c>
      <c r="B52" s="26" t="n">
        <v>15</v>
      </c>
      <c r="C52" s="26" t="n">
        <v>26</v>
      </c>
      <c r="D52" s="27" t="inlineStr">
        <is>
          <t>新開錦緞舖</t>
        </is>
      </c>
      <c r="E52" s="32" t="inlineStr">
        <is>
          <t>舖名歌商樓</t>
        </is>
      </c>
      <c r="F52" s="27" t="inlineStr">
        <is>
          <t>共有六人</t>
        </is>
      </c>
      <c r="G52" s="26" t="inlineStr">
        <is>
          <t>●</t>
        </is>
      </c>
      <c r="H52" s="29" t="n"/>
      <c r="I52" s="30" t="n"/>
      <c r="J52" s="30" t="n"/>
      <c r="K52" s="30" t="n"/>
      <c r="L52" s="30" t="n"/>
      <c r="M52" s="31" t="n"/>
      <c r="N52" s="29" t="n"/>
      <c r="O52" s="31" t="n"/>
    </row>
    <row r="53" ht="15" customHeight="1" s="16">
      <c r="A53" s="26" t="n">
        <v>52</v>
      </c>
      <c r="B53" s="26" t="n">
        <v>15</v>
      </c>
      <c r="C53" s="26" t="n">
        <v>27</v>
      </c>
      <c r="D53" s="27" t="inlineStr">
        <is>
          <t>舖名歌商樓</t>
        </is>
      </c>
      <c r="E53" s="28" t="inlineStr">
        <is>
          <t>共有六人</t>
        </is>
      </c>
      <c r="F53" s="27" t="inlineStr">
        <is>
          <t>衣帽鮮華</t>
        </is>
      </c>
      <c r="G53" s="26" t="n"/>
      <c r="H53" s="29" t="n"/>
      <c r="I53" s="30" t="n"/>
      <c r="J53" s="30" t="n"/>
      <c r="K53" s="30" t="n"/>
      <c r="L53" s="30" t="n"/>
      <c r="M53" s="31" t="n"/>
      <c r="N53" s="29" t="n"/>
      <c r="O53" s="31" t="n"/>
    </row>
    <row r="54" ht="15" customHeight="1" s="16">
      <c r="A54" s="26" t="n">
        <v>53</v>
      </c>
      <c r="B54" s="26" t="n">
        <v>17</v>
      </c>
      <c r="C54" s="26" t="n">
        <v>1</v>
      </c>
      <c r="D54" s="27" t="n"/>
      <c r="E54" s="28" t="inlineStr">
        <is>
          <t>夕飯後步月</t>
        </is>
      </c>
      <c r="F54" s="27" t="inlineStr">
        <is>
          <t>至歌商樓</t>
        </is>
      </c>
      <c r="G54" s="26" t="n"/>
      <c r="H54" s="29" t="n"/>
      <c r="I54" s="30" t="n"/>
      <c r="J54" s="30" t="n"/>
      <c r="K54" s="30" t="n"/>
      <c r="L54" s="30" t="n"/>
      <c r="M54" s="31" t="n"/>
      <c r="N54" s="29" t="n"/>
      <c r="O54" s="31" t="n"/>
    </row>
    <row r="55" ht="15" customHeight="1" s="16">
      <c r="A55" s="26" t="n">
        <v>54</v>
      </c>
      <c r="B55" s="26" t="n">
        <v>17</v>
      </c>
      <c r="C55" s="26" t="n">
        <v>2</v>
      </c>
      <c r="D55" s="27" t="inlineStr">
        <is>
          <t>夕飯後步月</t>
        </is>
      </c>
      <c r="E55" s="32" t="inlineStr">
        <is>
          <t>至歌商樓</t>
        </is>
      </c>
      <c r="F55" s="27" t="inlineStr">
        <is>
          <t>携諸人</t>
        </is>
      </c>
      <c r="G55" s="26" t="inlineStr">
        <is>
          <t>●</t>
        </is>
      </c>
      <c r="H55" s="29" t="n"/>
      <c r="I55" s="30" t="n"/>
      <c r="J55" s="30" t="n"/>
      <c r="K55" s="30" t="n"/>
      <c r="L55" s="30" t="n"/>
      <c r="M55" s="31" t="n"/>
      <c r="N55" s="29" t="n"/>
      <c r="O55" s="31" t="n"/>
    </row>
    <row r="56" ht="15" customHeight="1" s="16">
      <c r="A56" s="26" t="n">
        <v>55</v>
      </c>
      <c r="B56" s="26" t="n">
        <v>17</v>
      </c>
      <c r="C56" s="26" t="n">
        <v>3</v>
      </c>
      <c r="D56" s="27" t="inlineStr">
        <is>
          <t>至歌商樓</t>
        </is>
      </c>
      <c r="E56" s="28" t="inlineStr">
        <is>
          <t>携諸人</t>
        </is>
      </c>
      <c r="F56" s="27" t="inlineStr">
        <is>
          <t>同至藝粟齋</t>
        </is>
      </c>
      <c r="G56" s="26" t="n"/>
      <c r="H56" s="29" t="n"/>
      <c r="I56" s="30" t="n"/>
      <c r="J56" s="30" t="n"/>
      <c r="K56" s="30" t="n"/>
      <c r="L56" s="30" t="n"/>
      <c r="M56" s="31" t="n"/>
      <c r="N56" s="29" t="n"/>
      <c r="O56" s="31" t="n"/>
    </row>
    <row r="57" ht="15" customHeight="1" s="16">
      <c r="A57" s="26" t="n">
        <v>56</v>
      </c>
      <c r="B57" s="26" t="n">
        <v>18</v>
      </c>
      <c r="C57" s="26" t="n">
        <v>6</v>
      </c>
      <c r="D57" s="27" t="inlineStr">
        <is>
          <t>市廛朝起開舖門</t>
        </is>
      </c>
      <c r="E57" s="28" t="inlineStr">
        <is>
          <t>例放紙砲</t>
        </is>
      </c>
      <c r="F57" s="27" t="inlineStr">
        <is>
          <t>急起往歌商樓</t>
        </is>
      </c>
      <c r="G57" s="26" t="n"/>
      <c r="H57" s="29" t="n"/>
      <c r="I57" s="30" t="n"/>
      <c r="J57" s="30" t="n"/>
      <c r="K57" s="30" t="n"/>
      <c r="L57" s="30" t="n"/>
      <c r="M57" s="31" t="n"/>
      <c r="N57" s="29" t="n"/>
      <c r="O57" s="31" t="n"/>
    </row>
    <row r="58" ht="15" customHeight="1" s="16">
      <c r="A58" s="26" t="n">
        <v>57</v>
      </c>
      <c r="B58" s="26" t="n">
        <v>18</v>
      </c>
      <c r="C58" s="26" t="n">
        <v>7</v>
      </c>
      <c r="D58" s="27" t="inlineStr">
        <is>
          <t>例放紙砲</t>
        </is>
      </c>
      <c r="E58" s="32" t="inlineStr">
        <is>
          <t>急起往歌商樓</t>
        </is>
      </c>
      <c r="F58" s="27" t="inlineStr">
        <is>
          <t>諸人</t>
        </is>
      </c>
      <c r="G58" s="26" t="inlineStr">
        <is>
          <t>●</t>
        </is>
      </c>
      <c r="H58" s="29" t="n"/>
      <c r="I58" s="30" t="n"/>
      <c r="J58" s="30" t="n"/>
      <c r="K58" s="30" t="n"/>
      <c r="L58" s="30" t="n"/>
      <c r="M58" s="31" t="n"/>
      <c r="N58" s="29" t="n"/>
      <c r="O58" s="31" t="n"/>
    </row>
    <row r="59" ht="15" customHeight="1" s="16">
      <c r="A59" s="26" t="n">
        <v>58</v>
      </c>
      <c r="B59" s="26" t="n">
        <v>18</v>
      </c>
      <c r="C59" s="26" t="n">
        <v>8</v>
      </c>
      <c r="D59" s="27" t="inlineStr">
        <is>
          <t>急起往歌商樓</t>
        </is>
      </c>
      <c r="E59" s="28" t="inlineStr">
        <is>
          <t>諸人</t>
        </is>
      </c>
      <c r="F59" s="27" t="inlineStr">
        <is>
          <t>又集穩話</t>
        </is>
      </c>
      <c r="G59" s="26" t="n"/>
      <c r="H59" s="29" t="n"/>
      <c r="I59" s="30" t="n"/>
      <c r="J59" s="30" t="n"/>
      <c r="K59" s="30" t="n"/>
      <c r="L59" s="30" t="n"/>
      <c r="M59" s="31" t="n"/>
      <c r="N59" s="29" t="n"/>
      <c r="O59" s="31" t="n"/>
    </row>
    <row r="60" ht="15" customHeight="1" s="16">
      <c r="A60" s="26" t="n">
        <v>59</v>
      </c>
      <c r="B60" s="26" t="n">
        <v>19</v>
      </c>
      <c r="C60" s="26" t="n">
        <v>10</v>
      </c>
      <c r="D60" s="27" t="inlineStr">
        <is>
          <t>因入藥舖</t>
        </is>
      </c>
      <c r="E60" s="28" t="inlineStr">
        <is>
          <t>余遂跟入</t>
        </is>
      </c>
      <c r="F60" s="27" t="inlineStr">
        <is>
          <t>兩人俱買檳榔二箇</t>
        </is>
      </c>
      <c r="G60" s="26" t="n"/>
      <c r="H60" s="29" t="n"/>
      <c r="I60" s="30" t="n"/>
      <c r="J60" s="30" t="n"/>
      <c r="K60" s="30" t="n"/>
      <c r="L60" s="30" t="n"/>
      <c r="M60" s="31" t="n"/>
      <c r="N60" s="29" t="n"/>
      <c r="O60" s="31" t="n"/>
    </row>
    <row r="61" ht="15" customHeight="1" s="16">
      <c r="A61" s="26" t="n">
        <v>60</v>
      </c>
      <c r="B61" s="26" t="n">
        <v>19</v>
      </c>
      <c r="C61" s="26" t="n">
        <v>11</v>
      </c>
      <c r="D61" s="27" t="inlineStr">
        <is>
          <t>余遂跟入</t>
        </is>
      </c>
      <c r="E61" s="32" t="inlineStr">
        <is>
          <t>兩人俱買檳榔二箇</t>
        </is>
      </c>
      <c r="F61" s="27" t="inlineStr">
        <is>
          <t>刀劈爲四</t>
        </is>
      </c>
      <c r="G61" s="26" t="inlineStr">
        <is>
          <t>●</t>
        </is>
      </c>
      <c r="H61" s="29" t="n"/>
      <c r="I61" s="30" t="n"/>
      <c r="J61" s="30" t="n"/>
      <c r="K61" s="30" t="n"/>
      <c r="L61" s="30" t="n"/>
      <c r="M61" s="31" t="n"/>
      <c r="N61" s="29" t="n"/>
      <c r="O61" s="31" t="n"/>
    </row>
    <row r="62" ht="15" customHeight="1" s="16">
      <c r="A62" s="26" t="n">
        <v>61</v>
      </c>
      <c r="B62" s="26" t="n">
        <v>19</v>
      </c>
      <c r="C62" s="26" t="n">
        <v>12</v>
      </c>
      <c r="D62" s="27" t="inlineStr">
        <is>
          <t>兩人俱買檳榔二箇</t>
        </is>
      </c>
      <c r="E62" s="28" t="inlineStr">
        <is>
          <t>刀劈爲四</t>
        </is>
      </c>
      <c r="F62" s="27" t="inlineStr">
        <is>
          <t>各以半顆</t>
        </is>
      </c>
      <c r="G62" s="26" t="n"/>
      <c r="H62" s="29" t="n"/>
      <c r="I62" s="30" t="n"/>
      <c r="J62" s="30" t="n"/>
      <c r="K62" s="30" t="n"/>
      <c r="L62" s="30" t="n"/>
      <c r="M62" s="31" t="n"/>
      <c r="N62" s="29" t="n"/>
      <c r="O62" s="31" t="n"/>
    </row>
    <row r="63" ht="29.85" customHeight="1" s="16">
      <c r="A63" s="26" t="n">
        <v>62</v>
      </c>
      <c r="B63" s="26" t="n">
        <v>20</v>
      </c>
      <c r="C63" s="26" t="n">
        <v>3</v>
      </c>
      <c r="D63" s="27" t="inlineStr">
        <is>
          <t>需給瀋陽各衙八旗俸祿</t>
        </is>
      </c>
      <c r="E63" s="28" t="inlineStr">
        <is>
          <t>又自瀋陽派及興京船廠寧古塔等地</t>
        </is>
      </c>
      <c r="F63" s="27" t="inlineStr">
        <is>
          <t>該銀爲一百二十五萬兩云</t>
        </is>
      </c>
      <c r="G63" s="26" t="n"/>
      <c r="H63" s="29" t="n"/>
      <c r="I63" s="30" t="n"/>
      <c r="J63" s="30" t="n"/>
      <c r="K63" s="30" t="n"/>
      <c r="L63" s="30" t="n"/>
      <c r="M63" s="31" t="n"/>
      <c r="N63" s="29" t="n"/>
      <c r="O63" s="31" t="n"/>
    </row>
    <row r="64" ht="29.85" customHeight="1" s="16">
      <c r="A64" s="26" t="n">
        <v>63</v>
      </c>
      <c r="B64" s="26" t="n">
        <v>20</v>
      </c>
      <c r="C64" s="26" t="n">
        <v>4</v>
      </c>
      <c r="D64" s="27" t="inlineStr">
        <is>
          <t>又自瀋陽派及興京船廠寧古塔等地</t>
        </is>
      </c>
      <c r="E64" s="32" t="inlineStr">
        <is>
          <t>該銀爲一百二十五萬兩云</t>
        </is>
      </c>
      <c r="F64" s="27" t="n"/>
      <c r="G64" s="26" t="inlineStr">
        <is>
          <t>●</t>
        </is>
      </c>
      <c r="H64" s="29" t="n"/>
      <c r="I64" s="30" t="n"/>
      <c r="J64" s="30" t="n"/>
      <c r="K64" s="30" t="n"/>
      <c r="L64" s="30" t="n"/>
      <c r="M64" s="31" t="n"/>
      <c r="N64" s="29" t="n"/>
      <c r="O64" s="31" t="n"/>
    </row>
    <row r="65" ht="29.85" customHeight="1" s="16">
      <c r="A65" s="26" t="n">
        <v>64</v>
      </c>
      <c r="B65" s="26" t="n">
        <v>21</v>
      </c>
      <c r="C65" s="26" t="n">
        <v>1</v>
      </c>
      <c r="D65" s="27" t="n"/>
      <c r="E65" s="28" t="inlineStr">
        <is>
          <t>夕月色益明</t>
        </is>
      </c>
      <c r="F65" s="27" t="inlineStr">
        <is>
          <t>欲與卞季涵同訪歌商諸齋</t>
        </is>
      </c>
      <c r="G65" s="26" t="n"/>
      <c r="H65" s="29" t="n"/>
      <c r="I65" s="30" t="n"/>
      <c r="J65" s="30" t="n"/>
      <c r="K65" s="30" t="n"/>
      <c r="L65" s="30" t="n"/>
      <c r="M65" s="31" t="n"/>
      <c r="N65" s="29" t="n"/>
      <c r="O65" s="31" t="n"/>
    </row>
    <row r="66" ht="15" customHeight="1" s="16">
      <c r="A66" s="26" t="n">
        <v>65</v>
      </c>
      <c r="B66" s="26" t="n">
        <v>21</v>
      </c>
      <c r="C66" s="26" t="n">
        <v>2</v>
      </c>
      <c r="D66" s="27" t="inlineStr">
        <is>
          <t>夕月色益明</t>
        </is>
      </c>
      <c r="E66" s="32" t="inlineStr">
        <is>
          <t>欲與卞季涵同訪歌商諸齋</t>
        </is>
      </c>
      <c r="F66" s="27" t="inlineStr">
        <is>
          <t>卞君枉與首譯議可否</t>
        </is>
      </c>
      <c r="G66" s="26" t="inlineStr">
        <is>
          <t>●</t>
        </is>
      </c>
      <c r="H66" s="29" t="n"/>
      <c r="I66" s="30" t="n"/>
      <c r="J66" s="30" t="n"/>
      <c r="K66" s="30" t="n"/>
      <c r="L66" s="30" t="n"/>
      <c r="M66" s="31" t="n"/>
      <c r="N66" s="29" t="n"/>
      <c r="O66" s="31" t="n"/>
    </row>
    <row r="67" ht="29.85" customHeight="1" s="16">
      <c r="A67" s="26" t="n">
        <v>66</v>
      </c>
      <c r="B67" s="26" t="n">
        <v>21</v>
      </c>
      <c r="C67" s="26" t="n">
        <v>3</v>
      </c>
      <c r="D67" s="27" t="inlineStr">
        <is>
          <t>欲與卞季涵同訪歌商諸齋</t>
        </is>
      </c>
      <c r="E67" s="28" t="inlineStr">
        <is>
          <t>卞君枉與首譯議可否</t>
        </is>
      </c>
      <c r="F67" s="27" t="inlineStr">
        <is>
          <t>首譯瞠然駭之曰</t>
        </is>
      </c>
      <c r="G67" s="26" t="n"/>
      <c r="H67" s="29" t="n"/>
      <c r="I67" s="30" t="n"/>
      <c r="J67" s="30" t="n"/>
      <c r="K67" s="30" t="n"/>
      <c r="L67" s="30" t="n"/>
      <c r="M67" s="31" t="n"/>
      <c r="N67" s="29" t="n"/>
      <c r="O67" s="31" t="n"/>
    </row>
    <row r="68" ht="15" customHeight="1" s="16">
      <c r="A68" s="26" t="n">
        <v>67</v>
      </c>
      <c r="B68" s="26" t="n">
        <v>27</v>
      </c>
      <c r="C68" s="26" t="n">
        <v>14</v>
      </c>
      <c r="D68" s="27" t="inlineStr">
        <is>
          <t>亦</t>
        </is>
      </c>
      <c r="E68" s="28" t="inlineStr">
        <is>
          <t>能談說經義</t>
        </is>
      </c>
      <c r="F68" s="27" t="inlineStr">
        <is>
          <t>而家貧好濟人</t>
        </is>
      </c>
      <c r="G68" s="26" t="n"/>
      <c r="H68" s="29" t="n"/>
      <c r="I68" s="30" t="n"/>
      <c r="J68" s="30" t="n"/>
      <c r="K68" s="30" t="n"/>
      <c r="L68" s="30" t="n"/>
      <c r="M68" s="31" t="n"/>
      <c r="N68" s="29" t="n"/>
      <c r="O68" s="31" t="n"/>
    </row>
    <row r="69" ht="15" customHeight="1" s="16">
      <c r="A69" s="26" t="n">
        <v>68</v>
      </c>
      <c r="B69" s="26" t="n">
        <v>27</v>
      </c>
      <c r="C69" s="26" t="n">
        <v>15</v>
      </c>
      <c r="D69" s="27" t="inlineStr">
        <is>
          <t>能談說經義</t>
        </is>
      </c>
      <c r="E69" s="32" t="inlineStr">
        <is>
          <t>而家貧好濟人</t>
        </is>
      </c>
      <c r="F69" s="27" t="inlineStr">
        <is>
          <t>爲其多子</t>
        </is>
      </c>
      <c r="G69" s="26" t="inlineStr">
        <is>
          <t>●</t>
        </is>
      </c>
      <c r="H69" s="29" t="n"/>
      <c r="I69" s="30" t="n"/>
      <c r="J69" s="30" t="n"/>
      <c r="K69" s="30" t="n"/>
      <c r="L69" s="30" t="n"/>
      <c r="M69" s="31" t="n"/>
      <c r="N69" s="29" t="n"/>
      <c r="O69" s="31" t="n"/>
    </row>
    <row r="70" ht="15" customHeight="1" s="16">
      <c r="A70" s="26" t="n">
        <v>69</v>
      </c>
      <c r="B70" s="26" t="n">
        <v>27</v>
      </c>
      <c r="C70" s="26" t="n">
        <v>16</v>
      </c>
      <c r="D70" s="27" t="inlineStr">
        <is>
          <t>而家貧好濟人</t>
        </is>
      </c>
      <c r="E70" s="28" t="inlineStr">
        <is>
          <t>爲其多子</t>
        </is>
      </c>
      <c r="F70" s="27" t="inlineStr">
        <is>
          <t>養福也</t>
        </is>
      </c>
      <c r="G70" s="26" t="n"/>
      <c r="H70" s="29" t="n"/>
      <c r="I70" s="30" t="n"/>
      <c r="J70" s="30" t="n"/>
      <c r="K70" s="30" t="n"/>
      <c r="L70" s="30" t="n"/>
      <c r="M70" s="31" t="n"/>
      <c r="N70" s="29" t="n"/>
      <c r="O70" s="31" t="n"/>
    </row>
    <row r="71" ht="15" customHeight="1" s="16">
      <c r="A71" s="26" t="n">
        <v>70</v>
      </c>
      <c r="B71" s="26" t="n">
        <v>30</v>
      </c>
      <c r="C71" s="26" t="n">
        <v>22</v>
      </c>
      <c r="D71" s="27" t="inlineStr">
        <is>
          <t>舟下三峽</t>
        </is>
      </c>
      <c r="E71" s="28" t="inlineStr">
        <is>
          <t>轉販吳中</t>
        </is>
      </c>
      <c r="F71" s="27" t="inlineStr">
        <is>
          <t>逐利口外</t>
        </is>
      </c>
      <c r="G71" s="26" t="n"/>
      <c r="H71" s="29" t="n"/>
      <c r="I71" s="30" t="n"/>
      <c r="J71" s="30" t="n"/>
      <c r="K71" s="30" t="n"/>
      <c r="L71" s="30" t="n"/>
      <c r="M71" s="31" t="n"/>
      <c r="N71" s="29" t="n"/>
      <c r="O71" s="31" t="n"/>
    </row>
    <row r="72" ht="15" customHeight="1" s="16">
      <c r="A72" s="26" t="n">
        <v>71</v>
      </c>
      <c r="B72" s="26" t="n">
        <v>30</v>
      </c>
      <c r="C72" s="26" t="n">
        <v>23</v>
      </c>
      <c r="D72" s="27" t="inlineStr">
        <is>
          <t>轉販吳中</t>
        </is>
      </c>
      <c r="E72" s="32" t="inlineStr">
        <is>
          <t>逐利口外</t>
        </is>
      </c>
      <c r="F72" s="27" t="inlineStr">
        <is>
          <t>開舖此中</t>
        </is>
      </c>
      <c r="G72" s="26" t="inlineStr">
        <is>
          <t>●</t>
        </is>
      </c>
      <c r="H72" s="29" t="n"/>
      <c r="I72" s="30" t="n"/>
      <c r="J72" s="30" t="n"/>
      <c r="K72" s="30" t="n"/>
      <c r="L72" s="30" t="n"/>
      <c r="M72" s="31" t="n"/>
      <c r="N72" s="29" t="n"/>
      <c r="O72" s="31" t="n"/>
    </row>
    <row r="73" ht="15" customHeight="1" s="16">
      <c r="A73" s="26" t="n">
        <v>72</v>
      </c>
      <c r="B73" s="26" t="n">
        <v>30</v>
      </c>
      <c r="C73" s="26" t="n">
        <v>24</v>
      </c>
      <c r="D73" s="27" t="inlineStr">
        <is>
          <t>逐利口外</t>
        </is>
      </c>
      <c r="E73" s="28" t="inlineStr">
        <is>
          <t>開舖此中</t>
        </is>
      </c>
      <c r="F73" s="27" t="inlineStr">
        <is>
          <t>亦已三年</t>
        </is>
      </c>
      <c r="G73" s="26" t="n"/>
      <c r="H73" s="29" t="n"/>
      <c r="I73" s="30" t="n"/>
      <c r="J73" s="30" t="n"/>
      <c r="K73" s="30" t="n"/>
      <c r="L73" s="30" t="n"/>
      <c r="M73" s="31" t="n"/>
      <c r="N73" s="29" t="n"/>
      <c r="O73" s="31" t="n"/>
    </row>
    <row r="74" ht="15" customHeight="1" s="16">
      <c r="A74" s="26" t="n">
        <v>73</v>
      </c>
      <c r="B74" s="26" t="n">
        <v>31</v>
      </c>
      <c r="C74" s="26" t="n">
        <v>14</v>
      </c>
      <c r="D74" s="27" t="inlineStr">
        <is>
          <t>白飯二鍋</t>
        </is>
      </c>
      <c r="E74" s="28" t="inlineStr">
        <is>
          <t>菜二盤</t>
        </is>
      </c>
      <c r="F74" s="27" t="inlineStr">
        <is>
          <t>該價銀十二兩</t>
        </is>
      </c>
      <c r="G74" s="26" t="n"/>
      <c r="H74" s="29" t="n"/>
      <c r="I74" s="30" t="n"/>
      <c r="J74" s="30" t="n"/>
      <c r="K74" s="30" t="n"/>
      <c r="L74" s="30" t="n"/>
      <c r="M74" s="31" t="n"/>
      <c r="N74" s="29" t="n"/>
      <c r="O74" s="31" t="n"/>
    </row>
    <row r="75" ht="15" customHeight="1" s="16">
      <c r="A75" s="26" t="n">
        <v>74</v>
      </c>
      <c r="B75" s="26" t="n">
        <v>31</v>
      </c>
      <c r="C75" s="26" t="n">
        <v>15</v>
      </c>
      <c r="D75" s="27" t="inlineStr">
        <is>
          <t>菜二盤</t>
        </is>
      </c>
      <c r="E75" s="32" t="inlineStr">
        <is>
          <t>該價銀十二兩</t>
        </is>
      </c>
      <c r="F75" s="27" t="inlineStr">
        <is>
          <t>田生進前恭謝</t>
        </is>
      </c>
      <c r="G75" s="26" t="inlineStr">
        <is>
          <t>●</t>
        </is>
      </c>
      <c r="H75" s="29" t="n"/>
      <c r="I75" s="30" t="n"/>
      <c r="J75" s="30" t="n"/>
      <c r="K75" s="30" t="n"/>
      <c r="L75" s="30" t="n"/>
      <c r="M75" s="31" t="n"/>
      <c r="N75" s="29" t="n"/>
      <c r="O75" s="31" t="n"/>
    </row>
    <row r="76" ht="15" customHeight="1" s="16">
      <c r="A76" s="26" t="n">
        <v>75</v>
      </c>
      <c r="B76" s="26" t="n">
        <v>31</v>
      </c>
      <c r="C76" s="26" t="n">
        <v>16</v>
      </c>
      <c r="D76" s="27" t="inlineStr">
        <is>
          <t>該價銀十二兩</t>
        </is>
      </c>
      <c r="E76" s="28" t="inlineStr">
        <is>
          <t>田生進前恭謝</t>
        </is>
      </c>
      <c r="F76" s="27" t="inlineStr">
        <is>
          <t>曰</t>
        </is>
      </c>
      <c r="G76" s="26" t="n"/>
      <c r="H76" s="29" t="n"/>
      <c r="I76" s="30" t="n"/>
      <c r="J76" s="30" t="n"/>
      <c r="K76" s="30" t="n"/>
      <c r="L76" s="30" t="n"/>
      <c r="M76" s="31" t="n"/>
      <c r="N76" s="29" t="n"/>
      <c r="O76" s="31" t="n"/>
    </row>
    <row r="77" ht="15" customHeight="1" s="16">
      <c r="A77" s="26" t="n">
        <v>76</v>
      </c>
      <c r="B77" s="26" t="n">
        <v>31</v>
      </c>
      <c r="C77" s="26" t="n">
        <v>41</v>
      </c>
      <c r="D77" s="27" t="inlineStr">
        <is>
          <t>田生曰</t>
        </is>
      </c>
      <c r="E77" s="28" t="inlineStr">
        <is>
          <t>先生晡刻</t>
        </is>
      </c>
      <c r="F77" s="27" t="inlineStr">
        <is>
          <t>要買古董</t>
        </is>
      </c>
      <c r="G77" s="26" t="n"/>
      <c r="H77" s="29" t="n"/>
      <c r="I77" s="30" t="n"/>
      <c r="J77" s="30" t="n"/>
      <c r="K77" s="30" t="n"/>
      <c r="L77" s="30" t="n"/>
      <c r="M77" s="31" t="n"/>
      <c r="N77" s="29" t="n"/>
      <c r="O77" s="31" t="n"/>
    </row>
    <row r="78" ht="15" customHeight="1" s="16">
      <c r="A78" s="26" t="n">
        <v>77</v>
      </c>
      <c r="B78" s="26" t="n">
        <v>31</v>
      </c>
      <c r="C78" s="26" t="n">
        <v>42</v>
      </c>
      <c r="D78" s="27" t="inlineStr">
        <is>
          <t>先生晡刻</t>
        </is>
      </c>
      <c r="E78" s="32" t="inlineStr">
        <is>
          <t>要買古董</t>
        </is>
      </c>
      <c r="F78" s="27" t="inlineStr">
        <is>
          <t>未知何樣眞品</t>
        </is>
      </c>
      <c r="G78" s="26" t="inlineStr">
        <is>
          <t>●</t>
        </is>
      </c>
      <c r="H78" s="29" t="n"/>
      <c r="I78" s="30" t="n"/>
      <c r="J78" s="30" t="n"/>
      <c r="K78" s="30" t="n"/>
      <c r="L78" s="30" t="n"/>
      <c r="M78" s="31" t="n"/>
      <c r="N78" s="29" t="n"/>
      <c r="O78" s="31" t="n"/>
    </row>
    <row r="79" ht="15" customHeight="1" s="16">
      <c r="A79" s="26" t="n">
        <v>78</v>
      </c>
      <c r="B79" s="26" t="n">
        <v>31</v>
      </c>
      <c r="C79" s="26" t="n">
        <v>43</v>
      </c>
      <c r="D79" s="27" t="inlineStr">
        <is>
          <t>要買古董</t>
        </is>
      </c>
      <c r="E79" s="28" t="inlineStr">
        <is>
          <t>未知何樣眞品</t>
        </is>
      </c>
      <c r="F79" s="27" t="inlineStr">
        <is>
          <t>余曰</t>
        </is>
      </c>
      <c r="G79" s="26" t="n"/>
      <c r="H79" s="29" t="n"/>
      <c r="I79" s="30" t="n"/>
      <c r="J79" s="30" t="n"/>
      <c r="K79" s="30" t="n"/>
      <c r="L79" s="30" t="n"/>
      <c r="M79" s="31" t="n"/>
      <c r="N79" s="29" t="n"/>
      <c r="O79" s="31" t="n"/>
    </row>
    <row r="80" ht="15" customHeight="1" s="16">
      <c r="A80" s="26" t="n">
        <v>79</v>
      </c>
      <c r="B80" s="26" t="n">
        <v>31</v>
      </c>
      <c r="C80" s="26" t="n">
        <v>46</v>
      </c>
      <c r="D80" s="27" t="inlineStr">
        <is>
          <t>非但古董</t>
        </is>
      </c>
      <c r="E80" s="28" t="inlineStr">
        <is>
          <t>更要文房四友稀奇古雅</t>
        </is>
      </c>
      <c r="F80" s="27" t="inlineStr">
        <is>
          <t>不限價本</t>
        </is>
      </c>
      <c r="G80" s="26" t="n"/>
      <c r="H80" s="29" t="n"/>
      <c r="I80" s="30" t="n"/>
      <c r="J80" s="30" t="n"/>
      <c r="K80" s="30" t="n"/>
      <c r="L80" s="30" t="n"/>
      <c r="M80" s="31" t="n"/>
      <c r="N80" s="29" t="n"/>
      <c r="O80" s="31" t="n"/>
    </row>
    <row r="81" ht="15" customHeight="1" s="16">
      <c r="A81" s="26" t="n">
        <v>80</v>
      </c>
      <c r="B81" s="26" t="n">
        <v>31</v>
      </c>
      <c r="C81" s="26" t="n">
        <v>47</v>
      </c>
      <c r="D81" s="27" t="inlineStr">
        <is>
          <t>更要文房四友稀奇古雅</t>
        </is>
      </c>
      <c r="E81" s="32" t="inlineStr">
        <is>
          <t>不限價本</t>
        </is>
      </c>
      <c r="F81" s="27" t="inlineStr">
        <is>
          <t>田生曰</t>
        </is>
      </c>
      <c r="G81" s="26" t="inlineStr">
        <is>
          <t>●</t>
        </is>
      </c>
      <c r="H81" s="29" t="n"/>
      <c r="I81" s="30" t="n"/>
      <c r="J81" s="30" t="n"/>
      <c r="K81" s="30" t="n"/>
      <c r="L81" s="30" t="n"/>
      <c r="M81" s="31" t="n"/>
      <c r="N81" s="29" t="n"/>
      <c r="O81" s="31" t="n"/>
    </row>
    <row r="82" ht="15" customHeight="1" s="16">
      <c r="A82" s="26" t="n">
        <v>81</v>
      </c>
      <c r="B82" s="26" t="n">
        <v>31</v>
      </c>
      <c r="C82" s="26" t="n">
        <v>48</v>
      </c>
      <c r="D82" s="27" t="inlineStr">
        <is>
          <t>不限價本</t>
        </is>
      </c>
      <c r="E82" s="28" t="inlineStr">
        <is>
          <t>田生曰</t>
        </is>
      </c>
      <c r="F82" s="27" t="inlineStr">
        <is>
          <t>先生非久入都</t>
        </is>
      </c>
      <c r="G82" s="26" t="n"/>
      <c r="H82" s="29" t="n"/>
      <c r="I82" s="30" t="n"/>
      <c r="J82" s="30" t="n"/>
      <c r="K82" s="30" t="n"/>
      <c r="L82" s="30" t="n"/>
      <c r="M82" s="31" t="n"/>
      <c r="N82" s="29" t="n"/>
      <c r="O82" s="31" t="n"/>
    </row>
    <row r="83" ht="29.85" customHeight="1" s="16">
      <c r="A83" s="26" t="n">
        <v>82</v>
      </c>
      <c r="B83" s="26" t="n">
        <v>31</v>
      </c>
      <c r="C83" s="26" t="n">
        <v>60</v>
      </c>
      <c r="D83" s="27" t="inlineStr">
        <is>
          <t>此中雖稱行都</t>
        </is>
      </c>
      <c r="E83" s="28" t="inlineStr">
        <is>
          <t>中國一隅</t>
        </is>
      </c>
      <c r="F83" s="27" t="inlineStr">
        <is>
          <t>賣買只仰蒙古寧古塔船廠等地</t>
        </is>
      </c>
      <c r="G83" s="26" t="n"/>
      <c r="H83" s="29" t="n"/>
      <c r="I83" s="30" t="n"/>
      <c r="J83" s="30" t="n"/>
      <c r="K83" s="30" t="n"/>
      <c r="L83" s="30" t="n"/>
      <c r="M83" s="31" t="n"/>
      <c r="N83" s="29" t="n"/>
      <c r="O83" s="31" t="n"/>
    </row>
    <row r="84" ht="15" customHeight="1" s="16">
      <c r="A84" s="26" t="n">
        <v>83</v>
      </c>
      <c r="B84" s="26" t="n">
        <v>31</v>
      </c>
      <c r="C84" s="26" t="n">
        <v>61</v>
      </c>
      <c r="D84" s="27" t="inlineStr">
        <is>
          <t>中國一隅</t>
        </is>
      </c>
      <c r="E84" s="32" t="inlineStr">
        <is>
          <t>賣買只仰蒙古寧古塔船廠等地</t>
        </is>
      </c>
      <c r="F84" s="27" t="inlineStr">
        <is>
          <t>番俗</t>
        </is>
      </c>
      <c r="G84" s="26" t="inlineStr">
        <is>
          <t>●</t>
        </is>
      </c>
      <c r="H84" s="29" t="n"/>
      <c r="I84" s="30" t="n"/>
      <c r="J84" s="30" t="n"/>
      <c r="K84" s="30" t="n"/>
      <c r="L84" s="30" t="n"/>
      <c r="M84" s="31" t="n"/>
      <c r="N84" s="29" t="n"/>
      <c r="O84" s="31" t="n"/>
    </row>
    <row r="85" ht="29.85" customHeight="1" s="16">
      <c r="A85" s="26" t="n">
        <v>84</v>
      </c>
      <c r="B85" s="26" t="n">
        <v>31</v>
      </c>
      <c r="C85" s="26" t="n">
        <v>62</v>
      </c>
      <c r="D85" s="27" t="inlineStr">
        <is>
          <t>賣買只仰蒙古寧古塔船廠等地</t>
        </is>
      </c>
      <c r="E85" s="28" t="inlineStr">
        <is>
          <t>番俗</t>
        </is>
      </c>
      <c r="F85" s="27" t="inlineStr">
        <is>
          <t>椎魯</t>
        </is>
      </c>
      <c r="G85" s="26" t="n"/>
      <c r="H85" s="29" t="n"/>
      <c r="I85" s="30" t="n"/>
      <c r="J85" s="30" t="n"/>
      <c r="K85" s="30" t="n"/>
      <c r="L85" s="30" t="n"/>
      <c r="M85" s="31" t="n"/>
      <c r="N85" s="29" t="n"/>
      <c r="O85" s="31" t="n"/>
    </row>
    <row r="86" ht="15" customHeight="1" s="16">
      <c r="A86" s="26" t="n">
        <v>85</v>
      </c>
      <c r="B86" s="26" t="n">
        <v>31</v>
      </c>
      <c r="C86" s="26" t="n">
        <v>69</v>
      </c>
      <c r="D86" s="27" t="inlineStr">
        <is>
          <t>貴邦珍尙</t>
        </is>
      </c>
      <c r="E86" s="28" t="inlineStr">
        <is>
          <t>亦異內地</t>
        </is>
      </c>
      <c r="F86" s="27" t="inlineStr">
        <is>
          <t>甞見賣買人</t>
        </is>
      </c>
      <c r="G86" s="26" t="n"/>
      <c r="H86" s="29" t="n"/>
      <c r="I86" s="30" t="n"/>
      <c r="J86" s="30" t="n"/>
      <c r="K86" s="30" t="n"/>
      <c r="L86" s="30" t="n"/>
      <c r="M86" s="31" t="n"/>
      <c r="N86" s="29" t="n"/>
      <c r="O86" s="31" t="n"/>
    </row>
    <row r="87" ht="15" customHeight="1" s="16">
      <c r="A87" s="26" t="n">
        <v>86</v>
      </c>
      <c r="B87" s="26" t="n">
        <v>31</v>
      </c>
      <c r="C87" s="26" t="n">
        <v>70</v>
      </c>
      <c r="D87" s="27" t="inlineStr">
        <is>
          <t>亦異內地</t>
        </is>
      </c>
      <c r="E87" s="32" t="inlineStr">
        <is>
          <t>甞見賣買人</t>
        </is>
      </c>
      <c r="F87" s="27" t="inlineStr">
        <is>
          <t>雖如干</t>
        </is>
      </c>
      <c r="G87" s="26" t="inlineStr">
        <is>
          <t>●</t>
        </is>
      </c>
      <c r="H87" s="29" t="n"/>
      <c r="I87" s="30" t="n"/>
      <c r="J87" s="30" t="n"/>
      <c r="K87" s="30" t="n"/>
      <c r="L87" s="30" t="n"/>
      <c r="M87" s="31" t="n"/>
      <c r="N87" s="29" t="n"/>
      <c r="O87" s="31" t="n"/>
    </row>
    <row r="88" ht="15" customHeight="1" s="16">
      <c r="A88" s="26" t="n">
        <v>87</v>
      </c>
      <c r="B88" s="26" t="n">
        <v>31</v>
      </c>
      <c r="C88" s="26" t="n">
        <v>71</v>
      </c>
      <c r="D88" s="27" t="inlineStr">
        <is>
          <t>甞見賣買人</t>
        </is>
      </c>
      <c r="E88" s="28" t="inlineStr">
        <is>
          <t>雖如干</t>
        </is>
      </c>
      <c r="F88" s="27" t="inlineStr">
        <is>
          <t>茶藥</t>
        </is>
      </c>
      <c r="G88" s="26" t="n"/>
      <c r="H88" s="29" t="n"/>
      <c r="I88" s="30" t="n"/>
      <c r="J88" s="30" t="n"/>
      <c r="K88" s="30" t="n"/>
      <c r="L88" s="30" t="n"/>
      <c r="M88" s="31" t="n"/>
      <c r="N88" s="29" t="n"/>
      <c r="O88" s="31" t="n"/>
    </row>
    <row r="89" ht="15" customHeight="1" s="16">
      <c r="A89" s="26" t="n">
        <v>88</v>
      </c>
      <c r="B89" s="26" t="n">
        <v>31</v>
      </c>
      <c r="C89" s="26" t="n">
        <v>73</v>
      </c>
      <c r="D89" s="27" t="inlineStr">
        <is>
          <t>茶藥</t>
        </is>
      </c>
      <c r="E89" s="28" t="inlineStr">
        <is>
          <t>不揀頂品</t>
        </is>
      </c>
      <c r="F89" s="27" t="inlineStr">
        <is>
          <t>只取價廉</t>
        </is>
      </c>
      <c r="G89" s="26" t="n"/>
      <c r="H89" s="29" t="n"/>
      <c r="I89" s="30" t="n"/>
      <c r="J89" s="30" t="n"/>
      <c r="K89" s="30" t="n"/>
      <c r="L89" s="30" t="n"/>
      <c r="M89" s="31" t="n"/>
      <c r="N89" s="29" t="n"/>
      <c r="O89" s="31" t="n"/>
    </row>
    <row r="90" ht="15" customHeight="1" s="16">
      <c r="A90" s="26" t="n">
        <v>89</v>
      </c>
      <c r="B90" s="26" t="n">
        <v>31</v>
      </c>
      <c r="C90" s="26" t="n">
        <v>74</v>
      </c>
      <c r="D90" s="27" t="inlineStr">
        <is>
          <t>不揀頂品</t>
        </is>
      </c>
      <c r="E90" s="32" t="inlineStr">
        <is>
          <t>只取價廉</t>
        </is>
      </c>
      <c r="F90" s="27" t="inlineStr">
        <is>
          <t>何論眞假</t>
        </is>
      </c>
      <c r="G90" s="26" t="inlineStr">
        <is>
          <t>●</t>
        </is>
      </c>
      <c r="H90" s="29" t="n"/>
      <c r="I90" s="30" t="n"/>
      <c r="J90" s="30" t="n"/>
      <c r="K90" s="30" t="n"/>
      <c r="L90" s="30" t="n"/>
      <c r="M90" s="31" t="n"/>
      <c r="N90" s="29" t="n"/>
      <c r="O90" s="31" t="n"/>
    </row>
    <row r="91" ht="15" customHeight="1" s="16">
      <c r="A91" s="26" t="n">
        <v>90</v>
      </c>
      <c r="B91" s="26" t="n">
        <v>31</v>
      </c>
      <c r="C91" s="26" t="n">
        <v>75</v>
      </c>
      <c r="D91" s="27" t="inlineStr">
        <is>
          <t>只取價廉</t>
        </is>
      </c>
      <c r="E91" s="28" t="inlineStr">
        <is>
          <t>何論眞假</t>
        </is>
      </c>
      <c r="F91" s="27" t="inlineStr">
        <is>
          <t>非但茶藥如此</t>
        </is>
      </c>
      <c r="G91" s="26" t="n"/>
      <c r="H91" s="29" t="n"/>
      <c r="I91" s="30" t="n"/>
      <c r="J91" s="30" t="n"/>
      <c r="K91" s="30" t="n"/>
      <c r="L91" s="30" t="n"/>
      <c r="M91" s="31" t="n"/>
      <c r="N91" s="29" t="n"/>
      <c r="O91" s="31" t="n"/>
    </row>
    <row r="92" ht="15" customHeight="1" s="16">
      <c r="A92" s="26" t="n">
        <v>91</v>
      </c>
      <c r="B92" s="26" t="n">
        <v>31</v>
      </c>
      <c r="C92" s="26" t="n">
        <v>84</v>
      </c>
      <c r="D92" s="27" t="inlineStr">
        <is>
          <t>轉輸邊門</t>
        </is>
      </c>
      <c r="E92" s="28" t="inlineStr">
        <is>
          <t>互相騙詐</t>
        </is>
      </c>
      <c r="F92" s="27" t="inlineStr">
        <is>
          <t>以爲機利</t>
        </is>
      </c>
      <c r="G92" s="26" t="n"/>
      <c r="H92" s="29" t="n"/>
      <c r="I92" s="30" t="n"/>
      <c r="J92" s="30" t="n"/>
      <c r="K92" s="30" t="n"/>
      <c r="L92" s="30" t="n"/>
      <c r="M92" s="31" t="n"/>
      <c r="N92" s="29" t="n"/>
      <c r="O92" s="31" t="n"/>
    </row>
    <row r="93" ht="15" customHeight="1" s="16">
      <c r="A93" s="26" t="n">
        <v>92</v>
      </c>
      <c r="B93" s="26" t="n">
        <v>31</v>
      </c>
      <c r="C93" s="26" t="n">
        <v>85</v>
      </c>
      <c r="D93" s="27" t="inlineStr">
        <is>
          <t>互相騙詐</t>
        </is>
      </c>
      <c r="E93" s="32" t="inlineStr">
        <is>
          <t>以爲機利</t>
        </is>
      </c>
      <c r="F93" s="27" t="inlineStr">
        <is>
          <t>今先生所須</t>
        </is>
      </c>
      <c r="G93" s="26" t="inlineStr">
        <is>
          <t>●</t>
        </is>
      </c>
      <c r="H93" s="29" t="n"/>
      <c r="I93" s="30" t="n"/>
      <c r="J93" s="30" t="n"/>
      <c r="K93" s="30" t="n"/>
      <c r="L93" s="30" t="n"/>
      <c r="M93" s="31" t="n"/>
      <c r="N93" s="29" t="n"/>
      <c r="O93" s="31" t="n"/>
    </row>
    <row r="94" ht="15" customHeight="1" s="16">
      <c r="A94" s="26" t="n">
        <v>93</v>
      </c>
      <c r="B94" s="26" t="n">
        <v>31</v>
      </c>
      <c r="C94" s="26" t="n">
        <v>86</v>
      </c>
      <c r="D94" s="27" t="inlineStr">
        <is>
          <t>以爲機利</t>
        </is>
      </c>
      <c r="E94" s="28" t="inlineStr">
        <is>
          <t>今先生所須</t>
        </is>
      </c>
      <c r="F94" s="27" t="inlineStr">
        <is>
          <t>逈出流俗</t>
        </is>
      </c>
      <c r="G94" s="26" t="n"/>
      <c r="H94" s="29" t="n"/>
      <c r="I94" s="30" t="n"/>
      <c r="J94" s="30" t="n"/>
      <c r="K94" s="30" t="n"/>
      <c r="L94" s="30" t="n"/>
      <c r="M94" s="31" t="n"/>
      <c r="N94" s="29" t="n"/>
      <c r="O94" s="31" t="n"/>
    </row>
    <row r="95" ht="15" customHeight="1" s="16">
      <c r="A95" s="26" t="n">
        <v>94</v>
      </c>
      <c r="B95" s="26" t="n">
        <v>33</v>
      </c>
      <c r="C95" s="26" t="n">
        <v>10</v>
      </c>
      <c r="D95" s="27" t="inlineStr">
        <is>
          <t>緣何離鄕棲棲</t>
        </is>
      </c>
      <c r="E95" s="28" t="inlineStr">
        <is>
          <t>吳生曰</t>
        </is>
      </c>
      <c r="F95" s="27" t="inlineStr">
        <is>
          <t>爲賣買做生涯</t>
        </is>
      </c>
      <c r="G95" s="26" t="n"/>
      <c r="H95" s="29" t="n"/>
      <c r="I95" s="30" t="n"/>
      <c r="J95" s="30" t="n"/>
      <c r="K95" s="30" t="n"/>
      <c r="L95" s="30" t="n"/>
      <c r="M95" s="31" t="n"/>
      <c r="N95" s="29" t="n"/>
      <c r="O95" s="31" t="n"/>
    </row>
    <row r="96" ht="15" customHeight="1" s="16">
      <c r="A96" s="26" t="n">
        <v>95</v>
      </c>
      <c r="B96" s="26" t="n">
        <v>33</v>
      </c>
      <c r="C96" s="26" t="n">
        <v>11</v>
      </c>
      <c r="D96" s="27" t="inlineStr">
        <is>
          <t>吳生曰</t>
        </is>
      </c>
      <c r="E96" s="32" t="inlineStr">
        <is>
          <t>爲賣買做生涯</t>
        </is>
      </c>
      <c r="F96" s="27" t="inlineStr">
        <is>
          <t>余曰</t>
        </is>
      </c>
      <c r="G96" s="26" t="inlineStr">
        <is>
          <t>●</t>
        </is>
      </c>
      <c r="H96" s="29" t="n"/>
      <c r="I96" s="30" t="n"/>
      <c r="J96" s="30" t="n"/>
      <c r="K96" s="30" t="n"/>
      <c r="L96" s="30" t="n"/>
      <c r="M96" s="31" t="n"/>
      <c r="N96" s="29" t="n"/>
      <c r="O96" s="31" t="n"/>
    </row>
    <row r="97" ht="15" customHeight="1" s="16">
      <c r="A97" s="26" t="n">
        <v>96</v>
      </c>
      <c r="B97" s="26" t="n">
        <v>33</v>
      </c>
      <c r="C97" s="26" t="n">
        <v>12</v>
      </c>
      <c r="D97" s="27" t="inlineStr">
        <is>
          <t>爲賣買做生涯</t>
        </is>
      </c>
      <c r="E97" s="28" t="inlineStr">
        <is>
          <t>余曰</t>
        </is>
      </c>
      <c r="F97" s="27" t="inlineStr">
        <is>
          <t>未知寶眷隨在此中否</t>
        </is>
      </c>
      <c r="G97" s="26" t="n"/>
      <c r="H97" s="29" t="n"/>
      <c r="I97" s="30" t="n"/>
      <c r="J97" s="30" t="n"/>
      <c r="K97" s="30" t="n"/>
      <c r="L97" s="30" t="n"/>
      <c r="M97" s="31" t="n"/>
      <c r="N97" s="29" t="n"/>
      <c r="O97" s="31" t="n"/>
    </row>
    <row r="98" ht="29.85" customHeight="1" s="16">
      <c r="A98" s="26" t="n">
        <v>97</v>
      </c>
      <c r="B98" s="26" t="n">
        <v>34</v>
      </c>
      <c r="C98" s="26" t="n">
        <v>84</v>
      </c>
      <c r="D98" s="27" t="inlineStr">
        <is>
          <t>實不相瞞</t>
        </is>
      </c>
      <c r="E98" s="28" t="inlineStr">
        <is>
          <t>亦非宣爐</t>
        </is>
      </c>
      <c r="F98" s="27" t="inlineStr">
        <is>
          <t>宣爐以臘茶水銀浸擦入肉</t>
        </is>
      </c>
      <c r="G98" s="26" t="n"/>
      <c r="H98" s="29" t="n"/>
      <c r="I98" s="30" t="n"/>
      <c r="J98" s="30" t="n"/>
      <c r="K98" s="30" t="n"/>
      <c r="L98" s="30" t="n"/>
      <c r="M98" s="31" t="n"/>
      <c r="N98" s="29" t="n"/>
      <c r="O98" s="31" t="n"/>
    </row>
    <row r="99" ht="15" customHeight="1" s="16">
      <c r="A99" s="26" t="n">
        <v>98</v>
      </c>
      <c r="B99" s="26" t="n">
        <v>34</v>
      </c>
      <c r="C99" s="26" t="n">
        <v>85</v>
      </c>
      <c r="D99" s="27" t="inlineStr">
        <is>
          <t>亦非宣爐</t>
        </is>
      </c>
      <c r="E99" s="32" t="inlineStr">
        <is>
          <t>宣爐以臘茶水銀浸擦入肉</t>
        </is>
      </c>
      <c r="F99" s="27" t="inlineStr">
        <is>
          <t>更以金鑠爲泥</t>
        </is>
      </c>
      <c r="G99" s="26" t="inlineStr">
        <is>
          <t>●</t>
        </is>
      </c>
      <c r="H99" s="29" t="n"/>
      <c r="I99" s="30" t="n"/>
      <c r="J99" s="30" t="n"/>
      <c r="K99" s="30" t="n"/>
      <c r="L99" s="30" t="n"/>
      <c r="M99" s="31" t="n"/>
      <c r="N99" s="29" t="n"/>
      <c r="O99" s="31" t="n"/>
    </row>
    <row r="100" ht="29.85" customHeight="1" s="16">
      <c r="A100" s="26" t="n">
        <v>99</v>
      </c>
      <c r="B100" s="26" t="n">
        <v>34</v>
      </c>
      <c r="C100" s="26" t="n">
        <v>86</v>
      </c>
      <c r="D100" s="27" t="inlineStr">
        <is>
          <t>宣爐以臘茶水銀浸擦入肉</t>
        </is>
      </c>
      <c r="E100" s="28" t="inlineStr">
        <is>
          <t>更以金鑠爲泥</t>
        </is>
      </c>
      <c r="F100" s="27" t="inlineStr">
        <is>
          <t>火久成赤</t>
        </is>
      </c>
      <c r="G100" s="26" t="n"/>
      <c r="H100" s="29" t="n"/>
      <c r="I100" s="30" t="n"/>
      <c r="J100" s="30" t="n"/>
      <c r="K100" s="30" t="n"/>
      <c r="L100" s="30" t="n"/>
      <c r="M100" s="31" t="n"/>
      <c r="N100" s="29" t="n"/>
      <c r="O100" s="31" t="n"/>
    </row>
    <row r="101" ht="15" customHeight="1" s="16">
      <c r="A101" s="26" t="n">
        <v>100</v>
      </c>
      <c r="B101" s="26" t="n">
        <v>34</v>
      </c>
      <c r="C101" s="26" t="n">
        <v>101</v>
      </c>
      <c r="D101" s="27" t="inlineStr">
        <is>
          <t>入水則綠</t>
        </is>
      </c>
      <c r="E101" s="28" t="inlineStr">
        <is>
          <t>墓中殉器</t>
        </is>
      </c>
      <c r="F101" s="27" t="inlineStr">
        <is>
          <t>多發水銀色</t>
        </is>
      </c>
      <c r="G101" s="26" t="n"/>
      <c r="H101" s="29" t="n"/>
      <c r="I101" s="30" t="n"/>
      <c r="J101" s="30" t="n"/>
      <c r="K101" s="30" t="n"/>
      <c r="L101" s="30" t="n"/>
      <c r="M101" s="31" t="n"/>
      <c r="N101" s="29" t="n"/>
      <c r="O101" s="31" t="n"/>
    </row>
    <row r="102" ht="15" customHeight="1" s="16">
      <c r="A102" s="26" t="n">
        <v>101</v>
      </c>
      <c r="B102" s="26" t="n">
        <v>34</v>
      </c>
      <c r="C102" s="26" t="n">
        <v>102</v>
      </c>
      <c r="D102" s="27" t="inlineStr">
        <is>
          <t>墓中殉器</t>
        </is>
      </c>
      <c r="E102" s="32" t="inlineStr">
        <is>
          <t>多發水銀色</t>
        </is>
      </c>
      <c r="F102" s="27" t="inlineStr">
        <is>
          <t>或謂尸氣漬染者</t>
        </is>
      </c>
      <c r="G102" s="26" t="inlineStr">
        <is>
          <t>●</t>
        </is>
      </c>
      <c r="H102" s="29" t="n"/>
      <c r="I102" s="30" t="n"/>
      <c r="J102" s="30" t="n"/>
      <c r="K102" s="30" t="n"/>
      <c r="L102" s="30" t="n"/>
      <c r="M102" s="31" t="n"/>
      <c r="N102" s="29" t="n"/>
      <c r="O102" s="31" t="n"/>
    </row>
    <row r="103" ht="15" customHeight="1" s="16">
      <c r="A103" s="26" t="n">
        <v>102</v>
      </c>
      <c r="B103" s="26" t="n">
        <v>34</v>
      </c>
      <c r="C103" s="26" t="n">
        <v>103</v>
      </c>
      <c r="D103" s="27" t="inlineStr">
        <is>
          <t>多發水銀色</t>
        </is>
      </c>
      <c r="E103" s="28" t="inlineStr">
        <is>
          <t>或謂尸氣漬染者</t>
        </is>
      </c>
      <c r="F103" s="27" t="inlineStr">
        <is>
          <t>非也</t>
        </is>
      </c>
      <c r="G103" s="26" t="n"/>
      <c r="H103" s="29" t="n"/>
      <c r="I103" s="30" t="n"/>
      <c r="J103" s="30" t="n"/>
      <c r="K103" s="30" t="n"/>
      <c r="L103" s="30" t="n"/>
      <c r="M103" s="31" t="n"/>
      <c r="N103" s="29" t="n"/>
      <c r="O103" s="31" t="n"/>
    </row>
    <row r="104" ht="15" customHeight="1" s="16">
      <c r="A104" s="26" t="n">
        <v>103</v>
      </c>
      <c r="B104" s="26" t="n">
        <v>34</v>
      </c>
      <c r="C104" s="26" t="n">
        <v>104</v>
      </c>
      <c r="D104" s="27" t="inlineStr">
        <is>
          <t>或謂尸氣漬染者</t>
        </is>
      </c>
      <c r="E104" s="28" t="inlineStr">
        <is>
          <t>非也</t>
        </is>
      </c>
      <c r="F104" s="27" t="inlineStr">
        <is>
          <t>上古多以水銀爲殮</t>
        </is>
      </c>
      <c r="G104" s="26" t="n"/>
      <c r="H104" s="29" t="n"/>
      <c r="I104" s="30" t="n"/>
      <c r="J104" s="30" t="n"/>
      <c r="K104" s="30" t="n"/>
      <c r="L104" s="30" t="n"/>
      <c r="M104" s="31" t="n"/>
      <c r="N104" s="29" t="n"/>
      <c r="O104" s="31" t="n"/>
    </row>
    <row r="105" ht="15" customHeight="1" s="16">
      <c r="A105" s="26" t="n">
        <v>104</v>
      </c>
      <c r="B105" s="26" t="n">
        <v>34</v>
      </c>
      <c r="C105" s="26" t="n">
        <v>105</v>
      </c>
      <c r="D105" s="27" t="inlineStr">
        <is>
          <t>非也</t>
        </is>
      </c>
      <c r="E105" s="32" t="inlineStr">
        <is>
          <t>上古多以水銀爲殮</t>
        </is>
      </c>
      <c r="F105" s="27" t="inlineStr">
        <is>
          <t>或出於帝王陵</t>
        </is>
      </c>
      <c r="G105" s="26" t="inlineStr">
        <is>
          <t>●</t>
        </is>
      </c>
      <c r="H105" s="29" t="n"/>
      <c r="I105" s="30" t="n"/>
      <c r="J105" s="30" t="n"/>
      <c r="K105" s="30" t="n"/>
      <c r="L105" s="30" t="n"/>
      <c r="M105" s="31" t="n"/>
      <c r="N105" s="29" t="n"/>
      <c r="O105" s="31" t="n"/>
    </row>
    <row r="106" ht="15" customHeight="1" s="16">
      <c r="A106" s="26" t="n">
        <v>105</v>
      </c>
      <c r="B106" s="26" t="n">
        <v>34</v>
      </c>
      <c r="C106" s="26" t="n">
        <v>106</v>
      </c>
      <c r="D106" s="27" t="inlineStr">
        <is>
          <t>上古多以水銀爲殮</t>
        </is>
      </c>
      <c r="E106" s="28" t="inlineStr">
        <is>
          <t>或出於帝王陵</t>
        </is>
      </c>
      <c r="F106" s="27" t="inlineStr">
        <is>
          <t>墓</t>
        </is>
      </c>
      <c r="G106" s="26" t="n"/>
      <c r="H106" s="29" t="n"/>
      <c r="I106" s="30" t="n"/>
      <c r="J106" s="30" t="n"/>
      <c r="K106" s="30" t="n"/>
      <c r="L106" s="30" t="n"/>
      <c r="M106" s="31" t="n"/>
      <c r="N106" s="29" t="n"/>
      <c r="O106" s="31" t="n"/>
    </row>
    <row r="107" ht="15" customHeight="1" s="16">
      <c r="A107" s="26" t="n">
        <v>106</v>
      </c>
      <c r="B107" s="26" t="n">
        <v>34</v>
      </c>
      <c r="C107" s="26" t="n">
        <v>107</v>
      </c>
      <c r="D107" s="27" t="inlineStr">
        <is>
          <t>或出於帝王陵</t>
        </is>
      </c>
      <c r="E107" s="28" t="inlineStr">
        <is>
          <t>墓</t>
        </is>
      </c>
      <c r="F107" s="27" t="inlineStr">
        <is>
          <t>水銀沾染</t>
        </is>
      </c>
      <c r="G107" s="26" t="n"/>
      <c r="H107" s="29" t="n"/>
      <c r="I107" s="30" t="n"/>
      <c r="J107" s="30" t="n"/>
      <c r="K107" s="30" t="n"/>
      <c r="L107" s="30" t="n"/>
      <c r="M107" s="31" t="n"/>
      <c r="N107" s="29" t="n"/>
      <c r="O107" s="31" t="n"/>
    </row>
    <row r="108" ht="15" customHeight="1" s="16">
      <c r="A108" s="26" t="n">
        <v>107</v>
      </c>
      <c r="B108" s="26" t="n">
        <v>34</v>
      </c>
      <c r="C108" s="26" t="n">
        <v>108</v>
      </c>
      <c r="D108" s="27" t="inlineStr">
        <is>
          <t>墓</t>
        </is>
      </c>
      <c r="E108" s="32" t="inlineStr">
        <is>
          <t>水銀沾染</t>
        </is>
      </c>
      <c r="F108" s="27" t="inlineStr">
        <is>
          <t>年久入骨</t>
        </is>
      </c>
      <c r="G108" s="26" t="inlineStr">
        <is>
          <t>●</t>
        </is>
      </c>
      <c r="H108" s="29" t="n"/>
      <c r="I108" s="30" t="n"/>
      <c r="J108" s="30" t="n"/>
      <c r="K108" s="30" t="n"/>
      <c r="L108" s="30" t="n"/>
      <c r="M108" s="31" t="n"/>
      <c r="N108" s="29" t="n"/>
      <c r="O108" s="31" t="n"/>
    </row>
    <row r="109" ht="15" customHeight="1" s="16">
      <c r="A109" s="26" t="n">
        <v>108</v>
      </c>
      <c r="B109" s="26" t="n">
        <v>34</v>
      </c>
      <c r="C109" s="26" t="n">
        <v>109</v>
      </c>
      <c r="D109" s="27" t="inlineStr">
        <is>
          <t>水銀沾染</t>
        </is>
      </c>
      <c r="E109" s="28" t="inlineStr">
        <is>
          <t>年久入骨</t>
        </is>
      </c>
      <c r="F109" s="27" t="inlineStr">
        <is>
          <t>大約新舊眞贋易辨</t>
        </is>
      </c>
      <c r="G109" s="26" t="n"/>
      <c r="H109" s="29" t="n"/>
      <c r="I109" s="30" t="n"/>
      <c r="J109" s="30" t="n"/>
      <c r="K109" s="30" t="n"/>
      <c r="L109" s="30" t="n"/>
      <c r="M109" s="31" t="n"/>
      <c r="N109" s="29" t="n"/>
      <c r="O109" s="31" t="n"/>
    </row>
    <row r="110" ht="15" customHeight="1" s="16">
      <c r="A110" s="26" t="n">
        <v>109</v>
      </c>
      <c r="B110" s="26" t="n">
        <v>34</v>
      </c>
      <c r="C110" s="26" t="n">
        <v>113</v>
      </c>
      <c r="D110" s="27" t="inlineStr">
        <is>
          <t>本身發光</t>
        </is>
      </c>
      <c r="E110" s="28" t="inlineStr">
        <is>
          <t>類能天然瑩潤</t>
        </is>
      </c>
      <c r="F110" s="27" t="inlineStr">
        <is>
          <t>而水銀色</t>
        </is>
      </c>
      <c r="G110" s="26" t="n"/>
      <c r="H110" s="29" t="n"/>
      <c r="I110" s="30" t="n"/>
      <c r="J110" s="30" t="n"/>
      <c r="K110" s="30" t="n"/>
      <c r="L110" s="30" t="n"/>
      <c r="M110" s="31" t="n"/>
      <c r="N110" s="29" t="n"/>
      <c r="O110" s="31" t="n"/>
    </row>
    <row r="111" ht="15" customHeight="1" s="16">
      <c r="A111" s="26" t="n">
        <v>110</v>
      </c>
      <c r="B111" s="26" t="n">
        <v>34</v>
      </c>
      <c r="C111" s="26" t="n">
        <v>114</v>
      </c>
      <c r="D111" s="27" t="inlineStr">
        <is>
          <t>類能天然瑩潤</t>
        </is>
      </c>
      <c r="E111" s="32" t="inlineStr">
        <is>
          <t>而水銀色</t>
        </is>
      </c>
      <c r="F111" s="27" t="inlineStr">
        <is>
          <t>亦非全軆純發</t>
        </is>
      </c>
      <c r="G111" s="26" t="inlineStr">
        <is>
          <t>●</t>
        </is>
      </c>
      <c r="H111" s="29" t="n"/>
      <c r="I111" s="30" t="n"/>
      <c r="J111" s="30" t="n"/>
      <c r="K111" s="30" t="n"/>
      <c r="L111" s="30" t="n"/>
      <c r="M111" s="31" t="n"/>
      <c r="N111" s="29" t="n"/>
      <c r="O111" s="31" t="n"/>
    </row>
    <row r="112" ht="15" customHeight="1" s="16">
      <c r="A112" s="26" t="n">
        <v>111</v>
      </c>
      <c r="B112" s="26" t="n">
        <v>34</v>
      </c>
      <c r="C112" s="26" t="n">
        <v>115</v>
      </c>
      <c r="D112" s="27" t="inlineStr">
        <is>
          <t>而水銀色</t>
        </is>
      </c>
      <c r="E112" s="28" t="inlineStr">
        <is>
          <t>亦非全軆純發</t>
        </is>
      </c>
      <c r="F112" s="27" t="inlineStr">
        <is>
          <t>或半面</t>
        </is>
      </c>
      <c r="G112" s="26" t="n"/>
      <c r="H112" s="29" t="n"/>
      <c r="I112" s="30" t="n"/>
      <c r="J112" s="30" t="n"/>
      <c r="K112" s="30" t="n"/>
      <c r="L112" s="30" t="n"/>
      <c r="M112" s="31" t="n"/>
      <c r="N112" s="29" t="n"/>
      <c r="O112" s="31" t="n"/>
    </row>
    <row r="113" ht="15" customHeight="1" s="16">
      <c r="A113" s="26" t="n">
        <v>112</v>
      </c>
      <c r="B113" s="26" t="n">
        <v>34</v>
      </c>
      <c r="C113" s="26" t="n">
        <v>182</v>
      </c>
      <c r="D113" s="27" t="inlineStr">
        <is>
          <t>色更深靑</t>
        </is>
      </c>
      <c r="E113" s="28" t="inlineStr">
        <is>
          <t>以蠟擦之</t>
        </is>
      </c>
      <c r="F113" s="27" t="inlineStr">
        <is>
          <t>要發水銀色者</t>
        </is>
      </c>
      <c r="G113" s="26" t="n"/>
      <c r="H113" s="29" t="n"/>
      <c r="I113" s="30" t="n"/>
      <c r="J113" s="30" t="n"/>
      <c r="K113" s="30" t="n"/>
      <c r="L113" s="30" t="n"/>
      <c r="M113" s="31" t="n"/>
      <c r="N113" s="29" t="n"/>
      <c r="O113" s="31" t="n"/>
    </row>
    <row r="114" ht="15" customHeight="1" s="16">
      <c r="A114" s="26" t="n">
        <v>113</v>
      </c>
      <c r="B114" s="26" t="n">
        <v>34</v>
      </c>
      <c r="C114" s="26" t="n">
        <v>183</v>
      </c>
      <c r="D114" s="27" t="inlineStr">
        <is>
          <t>以蠟擦之</t>
        </is>
      </c>
      <c r="E114" s="32" t="inlineStr">
        <is>
          <t>要發水銀色者</t>
        </is>
      </c>
      <c r="F114" s="27" t="inlineStr">
        <is>
          <t>乃以鋼針爲末摩擦</t>
        </is>
      </c>
      <c r="G114" s="26" t="inlineStr">
        <is>
          <t>●</t>
        </is>
      </c>
      <c r="H114" s="29" t="n"/>
      <c r="I114" s="30" t="n"/>
      <c r="J114" s="30" t="n"/>
      <c r="K114" s="30" t="n"/>
      <c r="L114" s="30" t="n"/>
      <c r="M114" s="31" t="n"/>
      <c r="N114" s="29" t="n"/>
      <c r="O114" s="31" t="n"/>
    </row>
    <row r="115" ht="15" customHeight="1" s="16">
      <c r="A115" s="26" t="n">
        <v>114</v>
      </c>
      <c r="B115" s="26" t="n">
        <v>34</v>
      </c>
      <c r="C115" s="26" t="n">
        <v>184</v>
      </c>
      <c r="D115" s="27" t="inlineStr">
        <is>
          <t>要發水銀色者</t>
        </is>
      </c>
      <c r="E115" s="28" t="inlineStr">
        <is>
          <t>乃以鋼針爲末摩擦</t>
        </is>
      </c>
      <c r="F115" s="27" t="inlineStr">
        <is>
          <t>更以白蠟揩摩</t>
        </is>
      </c>
      <c r="G115" s="26" t="n"/>
      <c r="H115" s="29" t="n"/>
      <c r="I115" s="30" t="n"/>
      <c r="J115" s="30" t="n"/>
      <c r="K115" s="30" t="n"/>
      <c r="L115" s="30" t="n"/>
      <c r="M115" s="31" t="n"/>
      <c r="N115" s="29" t="n"/>
      <c r="O115" s="31" t="n"/>
    </row>
    <row r="116" ht="15" customHeight="1" s="16">
      <c r="A116" s="26" t="n">
        <v>115</v>
      </c>
      <c r="B116" s="26" t="n">
        <v>34</v>
      </c>
      <c r="C116" s="26" t="n">
        <v>188</v>
      </c>
      <c r="D116" s="27" t="inlineStr">
        <is>
          <t>或有故墮一耳</t>
        </is>
      </c>
      <c r="E116" s="28" t="inlineStr">
        <is>
          <t>或缺傷器體</t>
        </is>
      </c>
      <c r="F116" s="27" t="inlineStr">
        <is>
          <t>以爲商周</t>
        </is>
      </c>
      <c r="G116" s="26" t="n"/>
      <c r="H116" s="29" t="n"/>
      <c r="I116" s="30" t="n"/>
      <c r="J116" s="30" t="n"/>
      <c r="K116" s="30" t="n"/>
      <c r="L116" s="30" t="n"/>
      <c r="M116" s="31" t="n"/>
      <c r="N116" s="29" t="n"/>
      <c r="O116" s="31" t="n"/>
    </row>
    <row r="117" ht="15" customHeight="1" s="16">
      <c r="A117" s="26" t="n">
        <v>116</v>
      </c>
      <c r="B117" s="26" t="n">
        <v>34</v>
      </c>
      <c r="C117" s="26" t="n">
        <v>189</v>
      </c>
      <c r="D117" s="27" t="inlineStr">
        <is>
          <t>或缺傷器體</t>
        </is>
      </c>
      <c r="E117" s="32" t="inlineStr">
        <is>
          <t>以爲商周</t>
        </is>
      </c>
      <c r="F117" s="27" t="inlineStr">
        <is>
          <t>秦漢之物</t>
        </is>
      </c>
      <c r="G117" s="26" t="inlineStr">
        <is>
          <t>●</t>
        </is>
      </c>
      <c r="H117" s="29" t="n"/>
      <c r="I117" s="30" t="n"/>
      <c r="J117" s="30" t="n"/>
      <c r="K117" s="30" t="n"/>
      <c r="L117" s="30" t="n"/>
      <c r="M117" s="31" t="n"/>
      <c r="N117" s="29" t="n"/>
      <c r="O117" s="31" t="n"/>
    </row>
    <row r="118" ht="15" customHeight="1" s="16">
      <c r="A118" s="26" t="n">
        <v>117</v>
      </c>
      <c r="B118" s="26" t="n">
        <v>34</v>
      </c>
      <c r="C118" s="26" t="n">
        <v>190</v>
      </c>
      <c r="D118" s="27" t="inlineStr">
        <is>
          <t>以爲商周</t>
        </is>
      </c>
      <c r="E118" s="28" t="inlineStr">
        <is>
          <t>秦漢之物</t>
        </is>
      </c>
      <c r="F118" s="27" t="inlineStr">
        <is>
          <t>尤爲可厭</t>
        </is>
      </c>
      <c r="G118" s="26" t="n"/>
      <c r="H118" s="29" t="n"/>
      <c r="I118" s="30" t="n"/>
      <c r="J118" s="30" t="n"/>
      <c r="K118" s="30" t="n"/>
      <c r="L118" s="30" t="n"/>
      <c r="M118" s="31" t="n"/>
      <c r="N118" s="29" t="n"/>
      <c r="O118" s="31" t="n"/>
    </row>
    <row r="119" ht="15" customHeight="1" s="16">
      <c r="A119" s="26" t="n">
        <v>118</v>
      </c>
      <c r="B119" s="26" t="n">
        <v>34</v>
      </c>
      <c r="C119" s="26" t="n">
        <v>193</v>
      </c>
      <c r="D119" s="27" t="inlineStr">
        <is>
          <t>他日廠中</t>
        </is>
      </c>
      <c r="E119" s="28" t="inlineStr">
        <is>
          <t>俱是遠地駔儈</t>
        </is>
      </c>
      <c r="F119" s="27" t="inlineStr">
        <is>
          <t>收買之際</t>
        </is>
      </c>
      <c r="G119" s="26" t="n"/>
      <c r="H119" s="29" t="n"/>
      <c r="I119" s="30" t="n"/>
      <c r="J119" s="30" t="n"/>
      <c r="K119" s="30" t="n"/>
      <c r="L119" s="30" t="n"/>
      <c r="M119" s="31" t="n"/>
      <c r="N119" s="29" t="n"/>
      <c r="O119" s="31" t="n"/>
    </row>
    <row r="120" ht="15" customHeight="1" s="16">
      <c r="A120" s="26" t="n">
        <v>119</v>
      </c>
      <c r="B120" s="26" t="n">
        <v>34</v>
      </c>
      <c r="C120" s="26" t="n">
        <v>194</v>
      </c>
      <c r="D120" s="27" t="inlineStr">
        <is>
          <t>俱是遠地駔儈</t>
        </is>
      </c>
      <c r="E120" s="32" t="inlineStr">
        <is>
          <t>收買之際</t>
        </is>
      </c>
      <c r="F120" s="27" t="inlineStr">
        <is>
          <t>不可糊塗取笑</t>
        </is>
      </c>
      <c r="G120" s="26" t="inlineStr">
        <is>
          <t>●</t>
        </is>
      </c>
      <c r="H120" s="29" t="n"/>
      <c r="I120" s="30" t="n"/>
      <c r="J120" s="30" t="n"/>
      <c r="K120" s="30" t="n"/>
      <c r="L120" s="30" t="n"/>
      <c r="M120" s="31" t="n"/>
      <c r="N120" s="29" t="n"/>
      <c r="O120" s="31" t="n"/>
    </row>
    <row r="121" ht="15" customHeight="1" s="16">
      <c r="A121" s="26" t="n">
        <v>120</v>
      </c>
      <c r="B121" s="26" t="n">
        <v>34</v>
      </c>
      <c r="C121" s="26" t="n">
        <v>195</v>
      </c>
      <c r="D121" s="27" t="inlineStr">
        <is>
          <t>收買之際</t>
        </is>
      </c>
      <c r="E121" s="28" t="inlineStr">
        <is>
          <t>不可糊塗取笑</t>
        </is>
      </c>
      <c r="F121" s="27" t="inlineStr">
        <is>
          <t>余曰</t>
        </is>
      </c>
      <c r="G121" s="26" t="n"/>
      <c r="H121" s="29" t="n"/>
      <c r="I121" s="30" t="n"/>
      <c r="J121" s="30" t="n"/>
      <c r="K121" s="30" t="n"/>
      <c r="L121" s="30" t="n"/>
      <c r="M121" s="31" t="n"/>
      <c r="N121" s="29" t="n"/>
      <c r="O121" s="31" t="n"/>
    </row>
    <row r="122" ht="15" customHeight="1" s="16">
      <c r="A122" s="26" t="n">
        <v>121</v>
      </c>
      <c r="B122" s="26" t="n">
        <v>35</v>
      </c>
      <c r="C122" s="26" t="n">
        <v>23</v>
      </c>
      <c r="D122" s="27" t="inlineStr">
        <is>
          <t>路逢費穉</t>
        </is>
      </c>
      <c r="E122" s="28" t="inlineStr">
        <is>
          <t>引余入毡子舖</t>
        </is>
      </c>
      <c r="F122" s="27" t="inlineStr">
        <is>
          <t>囑以夜會歌商樓</t>
        </is>
      </c>
      <c r="G122" s="26" t="n"/>
      <c r="H122" s="29" t="n"/>
      <c r="I122" s="30" t="n"/>
      <c r="J122" s="30" t="n"/>
      <c r="K122" s="30" t="n"/>
      <c r="L122" s="30" t="n"/>
      <c r="M122" s="31" t="n"/>
      <c r="N122" s="29" t="n"/>
      <c r="O122" s="31" t="n"/>
    </row>
    <row r="123" ht="15" customHeight="1" s="16">
      <c r="A123" s="26" t="n">
        <v>122</v>
      </c>
      <c r="B123" s="26" t="n">
        <v>35</v>
      </c>
      <c r="C123" s="26" t="n">
        <v>24</v>
      </c>
      <c r="D123" s="27" t="inlineStr">
        <is>
          <t>引余入毡子舖</t>
        </is>
      </c>
      <c r="E123" s="32" t="inlineStr">
        <is>
          <t>囑以夜會歌商樓</t>
        </is>
      </c>
      <c r="F123" s="27" t="inlineStr">
        <is>
          <t>余辭</t>
        </is>
      </c>
      <c r="G123" s="26" t="inlineStr">
        <is>
          <t>●</t>
        </is>
      </c>
      <c r="H123" s="29" t="n"/>
      <c r="I123" s="30" t="n"/>
      <c r="J123" s="30" t="n"/>
      <c r="K123" s="30" t="n"/>
      <c r="L123" s="30" t="n"/>
      <c r="M123" s="31" t="n"/>
      <c r="N123" s="29" t="n"/>
      <c r="O123" s="31" t="n"/>
    </row>
    <row r="124" ht="29.85" customHeight="1" s="16">
      <c r="A124" s="26" t="n">
        <v>123</v>
      </c>
      <c r="B124" s="26" t="n">
        <v>35</v>
      </c>
      <c r="C124" s="26" t="n">
        <v>25</v>
      </c>
      <c r="D124" s="27" t="inlineStr">
        <is>
          <t>囑以夜會歌商樓</t>
        </is>
      </c>
      <c r="E124" s="28" t="inlineStr">
        <is>
          <t>余辭</t>
        </is>
      </c>
      <c r="F124" s="27" t="inlineStr">
        <is>
          <t>以已與田抱關約會藝粟齋</t>
        </is>
      </c>
      <c r="G124" s="26" t="n"/>
      <c r="H124" s="29" t="n"/>
      <c r="I124" s="30" t="n"/>
      <c r="J124" s="30" t="n"/>
      <c r="K124" s="30" t="n"/>
      <c r="L124" s="30" t="n"/>
      <c r="M124" s="31" t="n"/>
      <c r="N124" s="29" t="n"/>
      <c r="O124" s="31" t="n"/>
    </row>
    <row r="125" ht="15" customHeight="1" s="16">
      <c r="A125" s="26" t="n">
        <v>124</v>
      </c>
      <c r="B125" s="26" t="n">
        <v>37</v>
      </c>
      <c r="C125" s="26" t="n">
        <v>16</v>
      </c>
      <c r="D125" s="27" t="inlineStr">
        <is>
          <t>捫腹噎噫</t>
        </is>
      </c>
      <c r="E125" s="28" t="inlineStr">
        <is>
          <t>時月影漸生</t>
        </is>
      </c>
      <c r="F125" s="27" t="inlineStr">
        <is>
          <t>塵喧暫息</t>
        </is>
      </c>
      <c r="G125" s="26" t="n"/>
      <c r="H125" s="29" t="n"/>
      <c r="I125" s="30" t="n"/>
      <c r="J125" s="30" t="n"/>
      <c r="K125" s="30" t="n"/>
      <c r="L125" s="30" t="n"/>
      <c r="M125" s="31" t="n"/>
      <c r="N125" s="29" t="n"/>
      <c r="O125" s="31" t="n"/>
    </row>
    <row r="126" ht="15" customHeight="1" s="16">
      <c r="A126" s="26" t="n">
        <v>125</v>
      </c>
      <c r="B126" s="26" t="n">
        <v>37</v>
      </c>
      <c r="C126" s="26" t="n">
        <v>17</v>
      </c>
      <c r="D126" s="27" t="inlineStr">
        <is>
          <t>時月影漸生</t>
        </is>
      </c>
      <c r="E126" s="32" t="inlineStr">
        <is>
          <t>塵喧暫息</t>
        </is>
      </c>
      <c r="F126" s="27" t="inlineStr">
        <is>
          <t>周隨</t>
        </is>
      </c>
      <c r="G126" s="26" t="inlineStr">
        <is>
          <t>●</t>
        </is>
      </c>
      <c r="H126" s="29" t="n"/>
      <c r="I126" s="30" t="n"/>
      <c r="J126" s="30" t="n"/>
      <c r="K126" s="30" t="n"/>
      <c r="L126" s="30" t="n"/>
      <c r="M126" s="31" t="n"/>
      <c r="N126" s="29" t="n"/>
      <c r="O126" s="31" t="n"/>
    </row>
    <row r="127" ht="15" customHeight="1" s="16">
      <c r="A127" s="26" t="n">
        <v>126</v>
      </c>
      <c r="B127" s="26" t="n">
        <v>37</v>
      </c>
      <c r="C127" s="26" t="n">
        <v>18</v>
      </c>
      <c r="D127" s="27" t="inlineStr">
        <is>
          <t>塵喧暫息</t>
        </is>
      </c>
      <c r="E127" s="28" t="inlineStr">
        <is>
          <t>周隨</t>
        </is>
      </c>
      <c r="F127" s="27" t="inlineStr">
        <is>
          <t>影步匝</t>
        </is>
      </c>
      <c r="G127" s="26" t="n"/>
      <c r="H127" s="29" t="n"/>
      <c r="I127" s="30" t="n"/>
      <c r="J127" s="30" t="n"/>
      <c r="K127" s="30" t="n"/>
      <c r="L127" s="30" t="n"/>
      <c r="M127" s="31" t="n"/>
      <c r="N127" s="29" t="n"/>
      <c r="O127" s="31" t="n"/>
    </row>
    <row r="128" ht="15" customHeight="1" s="16">
      <c r="A128" s="26" t="n">
        <v>127</v>
      </c>
      <c r="B128" s="26" t="n">
        <v>38</v>
      </c>
      <c r="C128" s="26" t="n">
        <v>11</v>
      </c>
      <c r="D128" s="27" t="inlineStr">
        <is>
          <t>坐喫茶</t>
        </is>
      </c>
      <c r="E128" s="28" t="inlineStr">
        <is>
          <t>田公少頃當還也</t>
        </is>
      </c>
      <c r="F128" s="27" t="inlineStr">
        <is>
          <t>余言商樓諸公</t>
        </is>
      </c>
      <c r="G128" s="26" t="n"/>
      <c r="H128" s="29" t="n"/>
      <c r="I128" s="30" t="n"/>
      <c r="J128" s="30" t="n"/>
      <c r="K128" s="30" t="n"/>
      <c r="L128" s="30" t="n"/>
      <c r="M128" s="31" t="n"/>
      <c r="N128" s="29" t="n"/>
      <c r="O128" s="31" t="n"/>
    </row>
    <row r="129" ht="15" customHeight="1" s="16">
      <c r="A129" s="26" t="n">
        <v>128</v>
      </c>
      <c r="B129" s="26" t="n">
        <v>38</v>
      </c>
      <c r="C129" s="26" t="n">
        <v>12</v>
      </c>
      <c r="D129" s="27" t="inlineStr">
        <is>
          <t>田公少頃當還也</t>
        </is>
      </c>
      <c r="E129" s="32" t="inlineStr">
        <is>
          <t>余言商樓諸公</t>
        </is>
      </c>
      <c r="F129" s="27" t="inlineStr">
        <is>
          <t>想已畢集苦等也</t>
        </is>
      </c>
      <c r="G129" s="26" t="inlineStr">
        <is>
          <t>●</t>
        </is>
      </c>
      <c r="H129" s="29" t="n"/>
      <c r="I129" s="30" t="n"/>
      <c r="J129" s="30" t="n"/>
      <c r="K129" s="30" t="n"/>
      <c r="L129" s="30" t="n"/>
      <c r="M129" s="31" t="n"/>
      <c r="N129" s="29" t="n"/>
      <c r="O129" s="31" t="n"/>
    </row>
    <row r="130" ht="15" customHeight="1" s="16">
      <c r="A130" s="26" t="n">
        <v>129</v>
      </c>
      <c r="B130" s="26" t="n">
        <v>38</v>
      </c>
      <c r="C130" s="26" t="n">
        <v>13</v>
      </c>
      <c r="D130" s="27" t="inlineStr">
        <is>
          <t>余言商樓諸公</t>
        </is>
      </c>
      <c r="E130" s="28" t="inlineStr">
        <is>
          <t>想已畢集苦等也</t>
        </is>
      </c>
      <c r="F130" s="27" t="inlineStr">
        <is>
          <t>李生曰</t>
        </is>
      </c>
      <c r="G130" s="26" t="n"/>
      <c r="H130" s="29" t="n"/>
      <c r="I130" s="30" t="n"/>
      <c r="J130" s="30" t="n"/>
      <c r="K130" s="30" t="n"/>
      <c r="L130" s="30" t="n"/>
      <c r="M130" s="31" t="n"/>
      <c r="N130" s="29" t="n"/>
      <c r="O130" s="31" t="n"/>
    </row>
    <row r="131" ht="15" customHeight="1" s="16">
      <c r="A131" s="26" t="n">
        <v>130</v>
      </c>
      <c r="B131" s="26" t="n">
        <v>38</v>
      </c>
      <c r="C131" s="26" t="n">
        <v>14</v>
      </c>
      <c r="D131" s="27" t="inlineStr">
        <is>
          <t>想已畢集苦等也</t>
        </is>
      </c>
      <c r="E131" s="28" t="inlineStr">
        <is>
          <t>李生曰</t>
        </is>
      </c>
      <c r="F131" s="27" t="inlineStr">
        <is>
          <t>商樓佳約</t>
        </is>
      </c>
      <c r="G131" s="26" t="n"/>
      <c r="H131" s="29" t="n"/>
      <c r="I131" s="30" t="n"/>
      <c r="J131" s="30" t="n"/>
      <c r="K131" s="30" t="n"/>
      <c r="L131" s="30" t="n"/>
      <c r="M131" s="31" t="n"/>
      <c r="N131" s="29" t="n"/>
      <c r="O131" s="31" t="n"/>
    </row>
    <row r="132" ht="15" customHeight="1" s="16">
      <c r="A132" s="26" t="n">
        <v>131</v>
      </c>
      <c r="B132" s="26" t="n">
        <v>38</v>
      </c>
      <c r="C132" s="26" t="n">
        <v>15</v>
      </c>
      <c r="D132" s="27" t="inlineStr">
        <is>
          <t>李生曰</t>
        </is>
      </c>
      <c r="E132" s="32" t="inlineStr">
        <is>
          <t>商樓佳約</t>
        </is>
      </c>
      <c r="F132" s="27" t="inlineStr">
        <is>
          <t>已知道了</t>
        </is>
      </c>
      <c r="G132" s="26" t="inlineStr">
        <is>
          <t>●</t>
        </is>
      </c>
      <c r="H132" s="29" t="n"/>
      <c r="I132" s="30" t="n"/>
      <c r="J132" s="30" t="n"/>
      <c r="K132" s="30" t="n"/>
      <c r="L132" s="30" t="n"/>
      <c r="M132" s="31" t="n"/>
      <c r="N132" s="29" t="n"/>
      <c r="O132" s="31" t="n"/>
    </row>
    <row r="133" ht="15" customHeight="1" s="16">
      <c r="A133" s="26" t="n">
        <v>132</v>
      </c>
      <c r="B133" s="26" t="n">
        <v>38</v>
      </c>
      <c r="C133" s="26" t="n">
        <v>16</v>
      </c>
      <c r="D133" s="27" t="inlineStr">
        <is>
          <t>商樓佳約</t>
        </is>
      </c>
      <c r="E133" s="28" t="inlineStr">
        <is>
          <t>已知道了</t>
        </is>
      </c>
      <c r="F133" s="27" t="inlineStr">
        <is>
          <t>弟亦當</t>
        </is>
      </c>
      <c r="G133" s="26" t="n"/>
      <c r="H133" s="29" t="n"/>
      <c r="I133" s="30" t="n"/>
      <c r="J133" s="30" t="n"/>
      <c r="K133" s="30" t="n"/>
      <c r="L133" s="30" t="n"/>
      <c r="M133" s="31" t="n"/>
      <c r="N133" s="29" t="n"/>
      <c r="O133" s="31" t="n"/>
    </row>
    <row r="134" ht="15" customHeight="1" s="16">
      <c r="A134" s="26" t="n">
        <v>133</v>
      </c>
      <c r="B134" s="26" t="n">
        <v>38</v>
      </c>
      <c r="C134" s="26" t="n">
        <v>34</v>
      </c>
      <c r="D134" s="27" t="inlineStr">
        <is>
          <t>角燈</t>
        </is>
      </c>
      <c r="E134" s="28" t="inlineStr">
        <is>
          <t>間有靑紅諸色</t>
        </is>
      </c>
      <c r="F134" s="27" t="inlineStr">
        <is>
          <t>商樓諸人</t>
        </is>
      </c>
      <c r="G134" s="26" t="n"/>
      <c r="H134" s="29" t="n"/>
      <c r="I134" s="30" t="n"/>
      <c r="J134" s="30" t="n"/>
      <c r="K134" s="30" t="n"/>
      <c r="L134" s="30" t="n"/>
      <c r="M134" s="31" t="n"/>
      <c r="N134" s="29" t="n"/>
      <c r="O134" s="31" t="n"/>
    </row>
    <row r="135" ht="15" customHeight="1" s="16">
      <c r="A135" s="26" t="n">
        <v>134</v>
      </c>
      <c r="B135" s="26" t="n">
        <v>38</v>
      </c>
      <c r="C135" s="26" t="n">
        <v>35</v>
      </c>
      <c r="D135" s="27" t="inlineStr">
        <is>
          <t>間有靑紅諸色</t>
        </is>
      </c>
      <c r="E135" s="32" t="inlineStr">
        <is>
          <t>商樓諸人</t>
        </is>
      </c>
      <c r="F135" s="27" t="inlineStr">
        <is>
          <t>方列立欄下</t>
        </is>
      </c>
      <c r="G135" s="26" t="inlineStr">
        <is>
          <t>●</t>
        </is>
      </c>
      <c r="H135" s="29" t="n"/>
      <c r="I135" s="30" t="n"/>
      <c r="J135" s="30" t="n"/>
      <c r="K135" s="30" t="n"/>
      <c r="L135" s="30" t="n"/>
      <c r="M135" s="31" t="n"/>
      <c r="N135" s="29" t="n"/>
      <c r="O135" s="31" t="n"/>
    </row>
    <row r="136" ht="15" customHeight="1" s="16">
      <c r="A136" s="26" t="n">
        <v>135</v>
      </c>
      <c r="B136" s="26" t="n">
        <v>38</v>
      </c>
      <c r="C136" s="26" t="n">
        <v>36</v>
      </c>
      <c r="D136" s="27" t="inlineStr">
        <is>
          <t>商樓諸人</t>
        </is>
      </c>
      <c r="E136" s="28" t="inlineStr">
        <is>
          <t>方列立欄下</t>
        </is>
      </c>
      <c r="F136" s="27" t="inlineStr">
        <is>
          <t>見余至</t>
        </is>
      </c>
      <c r="G136" s="26" t="n"/>
      <c r="H136" s="29" t="n"/>
      <c r="I136" s="30" t="n"/>
      <c r="J136" s="30" t="n"/>
      <c r="K136" s="30" t="n"/>
      <c r="L136" s="30" t="n"/>
      <c r="M136" s="31" t="n"/>
      <c r="N136" s="29" t="n"/>
      <c r="O136" s="31" t="n"/>
    </row>
    <row r="137" ht="15" customHeight="1" s="16">
      <c r="A137" s="26" t="n">
        <v>136</v>
      </c>
      <c r="B137" s="26" t="n">
        <v>39</v>
      </c>
      <c r="C137" s="26" t="n">
        <v>17</v>
      </c>
      <c r="D137" s="27" t="inlineStr">
        <is>
          <t>如</t>
        </is>
      </c>
      <c r="E137" s="28" t="inlineStr">
        <is>
          <t>山海關人</t>
        </is>
      </c>
      <c r="F137" s="27" t="inlineStr">
        <is>
          <t>來此做賣買</t>
        </is>
      </c>
      <c r="G137" s="26" t="n"/>
      <c r="H137" s="29" t="n"/>
      <c r="I137" s="30" t="n"/>
      <c r="J137" s="30" t="n"/>
      <c r="K137" s="30" t="n"/>
      <c r="L137" s="30" t="n"/>
      <c r="M137" s="31" t="n"/>
      <c r="N137" s="29" t="n"/>
      <c r="O137" s="31" t="n"/>
    </row>
    <row r="138" ht="15" customHeight="1" s="16">
      <c r="A138" s="26" t="n">
        <v>137</v>
      </c>
      <c r="B138" s="26" t="n">
        <v>39</v>
      </c>
      <c r="C138" s="26" t="n">
        <v>18</v>
      </c>
      <c r="D138" s="27" t="inlineStr">
        <is>
          <t>山海關人</t>
        </is>
      </c>
      <c r="E138" s="32" t="inlineStr">
        <is>
          <t>來此做賣買</t>
        </is>
      </c>
      <c r="F138" s="27" t="inlineStr">
        <is>
          <t>年二十三</t>
        </is>
      </c>
      <c r="G138" s="26" t="inlineStr">
        <is>
          <t>●</t>
        </is>
      </c>
      <c r="H138" s="29" t="n"/>
      <c r="I138" s="30" t="n"/>
      <c r="J138" s="30" t="n"/>
      <c r="K138" s="30" t="n"/>
      <c r="L138" s="30" t="n"/>
      <c r="M138" s="31" t="n"/>
      <c r="N138" s="29" t="n"/>
      <c r="O138" s="31" t="n"/>
    </row>
    <row r="139" ht="15" customHeight="1" s="16">
      <c r="A139" s="26" t="n">
        <v>138</v>
      </c>
      <c r="B139" s="26" t="n">
        <v>39</v>
      </c>
      <c r="C139" s="26" t="n">
        <v>19</v>
      </c>
      <c r="D139" s="27" t="inlineStr">
        <is>
          <t>來此做賣買</t>
        </is>
      </c>
      <c r="E139" s="28" t="inlineStr">
        <is>
          <t>年二十三</t>
        </is>
      </c>
      <c r="F139" s="27" t="inlineStr">
        <is>
          <t>略會書字</t>
        </is>
      </c>
      <c r="G139" s="26" t="n"/>
      <c r="H139" s="29" t="n"/>
      <c r="I139" s="30" t="n"/>
      <c r="J139" s="30" t="n"/>
      <c r="K139" s="30" t="n"/>
      <c r="L139" s="30" t="n"/>
      <c r="M139" s="31" t="n"/>
      <c r="N139" s="29" t="n"/>
      <c r="O139" s="31" t="n"/>
    </row>
    <row r="140" ht="15" customHeight="1" s="16">
      <c r="A140" s="26" t="n">
        <v>139</v>
      </c>
      <c r="B140" s="26" t="n">
        <v>39</v>
      </c>
      <c r="C140" s="26" t="n">
        <v>81</v>
      </c>
      <c r="D140" s="27" t="inlineStr">
        <is>
          <t>亦無知者</t>
        </is>
      </c>
      <c r="E140" s="28" t="inlineStr">
        <is>
          <t>他是朝士</t>
        </is>
      </c>
      <c r="F140" s="27" t="inlineStr">
        <is>
          <t>僕輩做賣買</t>
        </is>
      </c>
      <c r="G140" s="26" t="n"/>
      <c r="H140" s="29" t="n"/>
      <c r="I140" s="30" t="n"/>
      <c r="J140" s="30" t="n"/>
      <c r="K140" s="30" t="n"/>
      <c r="L140" s="30" t="n"/>
      <c r="M140" s="31" t="n"/>
      <c r="N140" s="29" t="n"/>
      <c r="O140" s="31" t="n"/>
    </row>
    <row r="141" ht="15" customHeight="1" s="16">
      <c r="A141" s="26" t="n">
        <v>140</v>
      </c>
      <c r="B141" s="26" t="n">
        <v>39</v>
      </c>
      <c r="C141" s="26" t="n">
        <v>82</v>
      </c>
      <c r="D141" s="27" t="inlineStr">
        <is>
          <t>他是朝士</t>
        </is>
      </c>
      <c r="E141" s="32" t="inlineStr">
        <is>
          <t>僕輩做賣買</t>
        </is>
      </c>
      <c r="F141" s="27" t="inlineStr">
        <is>
          <t>如何去謁他</t>
        </is>
      </c>
      <c r="G141" s="26" t="inlineStr">
        <is>
          <t>●</t>
        </is>
      </c>
      <c r="H141" s="29" t="n"/>
      <c r="I141" s="30" t="n"/>
      <c r="J141" s="30" t="n"/>
      <c r="K141" s="30" t="n"/>
      <c r="L141" s="30" t="n"/>
      <c r="M141" s="31" t="n"/>
      <c r="N141" s="29" t="n"/>
      <c r="O141" s="31" t="n"/>
    </row>
    <row r="142" ht="15" customHeight="1" s="16">
      <c r="A142" s="26" t="n">
        <v>141</v>
      </c>
      <c r="B142" s="26" t="n">
        <v>39</v>
      </c>
      <c r="C142" s="26" t="n">
        <v>83</v>
      </c>
      <c r="D142" s="27" t="inlineStr">
        <is>
          <t>僕輩做賣買</t>
        </is>
      </c>
      <c r="E142" s="28" t="inlineStr">
        <is>
          <t>如何去謁他</t>
        </is>
      </c>
      <c r="F142" s="27" t="inlineStr">
        <is>
          <t>東野曰</t>
        </is>
      </c>
      <c r="G142" s="26" t="n"/>
      <c r="H142" s="29" t="n"/>
      <c r="I142" s="30" t="n"/>
      <c r="J142" s="30" t="n"/>
      <c r="K142" s="30" t="n"/>
      <c r="L142" s="30" t="n"/>
      <c r="M142" s="31" t="n"/>
      <c r="N142" s="29" t="n"/>
      <c r="O142" s="31" t="n"/>
    </row>
    <row r="143" ht="15" customHeight="1" s="16">
      <c r="A143" s="26" t="n">
        <v>142</v>
      </c>
      <c r="B143" s="26" t="n">
        <v>39</v>
      </c>
      <c r="C143" s="26" t="n">
        <v>100</v>
      </c>
      <c r="D143" s="27" t="inlineStr">
        <is>
          <t>裴褐夫曰</t>
        </is>
      </c>
      <c r="E143" s="28" t="inlineStr">
        <is>
          <t>那敢唐突</t>
        </is>
      </c>
      <c r="F143" s="27" t="inlineStr">
        <is>
          <t>只得閉戶屛息</t>
        </is>
      </c>
      <c r="G143" s="26" t="n"/>
      <c r="H143" s="29" t="n"/>
      <c r="I143" s="30" t="n"/>
      <c r="J143" s="30" t="n"/>
      <c r="K143" s="30" t="n"/>
      <c r="L143" s="30" t="n"/>
      <c r="M143" s="31" t="n"/>
      <c r="N143" s="29" t="n"/>
      <c r="O143" s="31" t="n"/>
    </row>
    <row r="144" ht="15" customHeight="1" s="16">
      <c r="A144" s="26" t="n">
        <v>143</v>
      </c>
      <c r="B144" s="26" t="n">
        <v>39</v>
      </c>
      <c r="C144" s="26" t="n">
        <v>101</v>
      </c>
      <c r="D144" s="27" t="inlineStr">
        <is>
          <t>那敢唐突</t>
        </is>
      </c>
      <c r="E144" s="32" t="inlineStr">
        <is>
          <t>只得閉戶屛息</t>
        </is>
      </c>
      <c r="F144" s="27" t="inlineStr">
        <is>
          <t>余曰</t>
        </is>
      </c>
      <c r="G144" s="26" t="inlineStr">
        <is>
          <t>●</t>
        </is>
      </c>
      <c r="H144" s="29" t="n"/>
      <c r="I144" s="30" t="n"/>
      <c r="J144" s="30" t="n"/>
      <c r="K144" s="30" t="n"/>
      <c r="L144" s="30" t="n"/>
      <c r="M144" s="31" t="n"/>
      <c r="N144" s="29" t="n"/>
      <c r="O144" s="31" t="n"/>
    </row>
    <row r="145" ht="15" customHeight="1" s="16">
      <c r="A145" s="26" t="n">
        <v>144</v>
      </c>
      <c r="B145" s="26" t="n">
        <v>39</v>
      </c>
      <c r="C145" s="26" t="n">
        <v>102</v>
      </c>
      <c r="D145" s="27" t="inlineStr">
        <is>
          <t>只得閉戶屛息</t>
        </is>
      </c>
      <c r="E145" s="28" t="inlineStr">
        <is>
          <t>余曰</t>
        </is>
      </c>
      <c r="F145" s="27" t="inlineStr">
        <is>
          <t>皇上臨此時</t>
        </is>
      </c>
      <c r="G145" s="26" t="n"/>
      <c r="H145" s="29" t="n"/>
      <c r="I145" s="30" t="n"/>
      <c r="J145" s="30" t="n"/>
      <c r="K145" s="30" t="n"/>
      <c r="L145" s="30" t="n"/>
      <c r="M145" s="31" t="n"/>
      <c r="N145" s="29" t="n"/>
      <c r="O145" s="31" t="n"/>
    </row>
    <row r="146" ht="15" customHeight="1" s="16">
      <c r="A146" s="26" t="n">
        <v>145</v>
      </c>
      <c r="B146" s="26" t="n">
        <v>40</v>
      </c>
      <c r="C146" s="26" t="n">
        <v>9</v>
      </c>
      <c r="D146" s="27" t="inlineStr">
        <is>
          <t>余曰</t>
        </is>
      </c>
      <c r="E146" s="28" t="inlineStr">
        <is>
          <t>非敝邦人</t>
        </is>
      </c>
      <c r="F146" s="27" t="inlineStr">
        <is>
          <t>這是錢塘人</t>
        </is>
      </c>
      <c r="G146" s="26" t="n"/>
      <c r="H146" s="29" t="n"/>
      <c r="I146" s="30" t="n"/>
      <c r="J146" s="30" t="n"/>
      <c r="K146" s="30" t="n"/>
      <c r="L146" s="30" t="n"/>
      <c r="M146" s="31" t="n"/>
      <c r="N146" s="29" t="n"/>
      <c r="O146" s="31" t="n"/>
    </row>
    <row r="147" ht="15" customHeight="1" s="16">
      <c r="A147" s="26" t="n">
        <v>146</v>
      </c>
      <c r="B147" s="26" t="n">
        <v>40</v>
      </c>
      <c r="C147" s="26" t="n">
        <v>10</v>
      </c>
      <c r="D147" s="27" t="inlineStr">
        <is>
          <t>非敝邦人</t>
        </is>
      </c>
      <c r="E147" s="32" t="inlineStr">
        <is>
          <t>這是錢塘人</t>
        </is>
      </c>
      <c r="F147" s="27" t="inlineStr">
        <is>
          <t>名廷筠</t>
        </is>
      </c>
      <c r="G147" s="26" t="inlineStr">
        <is>
          <t>●</t>
        </is>
      </c>
      <c r="H147" s="29" t="n"/>
      <c r="I147" s="30" t="n"/>
      <c r="J147" s="30" t="n"/>
      <c r="K147" s="30" t="n"/>
      <c r="L147" s="30" t="n"/>
      <c r="M147" s="31" t="n"/>
      <c r="N147" s="29" t="n"/>
      <c r="O147" s="31" t="n"/>
    </row>
    <row r="148" ht="15" customHeight="1" s="16">
      <c r="A148" s="26" t="n">
        <v>147</v>
      </c>
      <c r="B148" s="26" t="n">
        <v>40</v>
      </c>
      <c r="C148" s="26" t="n">
        <v>11</v>
      </c>
      <c r="D148" s="27" t="inlineStr">
        <is>
          <t>這是錢塘人</t>
        </is>
      </c>
      <c r="E148" s="28" t="inlineStr">
        <is>
          <t>名廷筠</t>
        </is>
      </c>
      <c r="F148" s="27" t="inlineStr">
        <is>
          <t>卽今中書舍人</t>
        </is>
      </c>
      <c r="G148" s="26" t="n"/>
      <c r="H148" s="29" t="n"/>
      <c r="I148" s="30" t="n"/>
      <c r="J148" s="30" t="n"/>
      <c r="K148" s="30" t="n"/>
      <c r="L148" s="30" t="n"/>
      <c r="M148" s="31" t="n"/>
      <c r="N148" s="29" t="n"/>
      <c r="O148" s="31" t="n"/>
    </row>
    <row r="149" ht="15" customHeight="1" s="16">
      <c r="A149" s="26" t="n">
        <v>148</v>
      </c>
      <c r="B149" s="26" t="n">
        <v>40</v>
      </c>
      <c r="C149" s="26" t="n">
        <v>72</v>
      </c>
      <c r="D149" s="27" t="inlineStr">
        <is>
          <t>人畜暍死</t>
        </is>
      </c>
      <c r="E149" s="28" t="inlineStr">
        <is>
          <t>不計其數</t>
        </is>
      </c>
      <c r="F149" s="27" t="inlineStr">
        <is>
          <t>商旅不行</t>
        </is>
      </c>
      <c r="G149" s="26" t="n"/>
      <c r="H149" s="29" t="n"/>
      <c r="I149" s="30" t="n"/>
      <c r="J149" s="30" t="n"/>
      <c r="K149" s="30" t="n"/>
      <c r="L149" s="30" t="n"/>
      <c r="M149" s="31" t="n"/>
      <c r="N149" s="29" t="n"/>
      <c r="O149" s="31" t="n"/>
    </row>
    <row r="150" ht="15" customHeight="1" s="16">
      <c r="A150" s="26" t="n">
        <v>149</v>
      </c>
      <c r="B150" s="26" t="n">
        <v>40</v>
      </c>
      <c r="C150" s="26" t="n">
        <v>73</v>
      </c>
      <c r="D150" s="27" t="inlineStr">
        <is>
          <t>不計其數</t>
        </is>
      </c>
      <c r="E150" s="32" t="inlineStr">
        <is>
          <t>商旅不行</t>
        </is>
      </c>
      <c r="F150" s="27" t="inlineStr">
        <is>
          <t>居人晝夜</t>
        </is>
      </c>
      <c r="G150" s="26" t="inlineStr">
        <is>
          <t>●</t>
        </is>
      </c>
      <c r="H150" s="29" t="n"/>
      <c r="I150" s="30" t="n"/>
      <c r="J150" s="30" t="n"/>
      <c r="K150" s="30" t="n"/>
      <c r="L150" s="30" t="n"/>
      <c r="M150" s="31" t="n"/>
      <c r="N150" s="29" t="n"/>
      <c r="O150" s="31" t="n"/>
    </row>
    <row r="151" ht="15" customHeight="1" s="16">
      <c r="A151" s="26" t="n">
        <v>150</v>
      </c>
      <c r="B151" s="26" t="n">
        <v>40</v>
      </c>
      <c r="C151" s="26" t="n">
        <v>74</v>
      </c>
      <c r="D151" s="27" t="inlineStr">
        <is>
          <t>商旅不行</t>
        </is>
      </c>
      <c r="E151" s="28" t="inlineStr">
        <is>
          <t>居人晝夜</t>
        </is>
      </c>
      <c r="F151" s="27" t="inlineStr">
        <is>
          <t>渾脫</t>
        </is>
      </c>
      <c r="G151" s="26" t="n"/>
      <c r="H151" s="29" t="n"/>
      <c r="I151" s="30" t="n"/>
      <c r="J151" s="30" t="n"/>
      <c r="K151" s="30" t="n"/>
      <c r="L151" s="30" t="n"/>
      <c r="M151" s="31" t="n"/>
      <c r="N151" s="29" t="n"/>
      <c r="O151" s="31" t="n"/>
    </row>
    <row r="152" ht="15" customHeight="1" s="16">
      <c r="A152" s="26" t="n">
        <v>151</v>
      </c>
      <c r="B152" s="26" t="n">
        <v>40</v>
      </c>
      <c r="C152" s="26" t="n">
        <v>80</v>
      </c>
      <c r="D152" s="27" t="inlineStr">
        <is>
          <t>大約近龍處</t>
        </is>
      </c>
      <c r="E152" s="28" t="inlineStr">
        <is>
          <t>樹木土石</t>
        </is>
      </c>
      <c r="F152" s="27" t="inlineStr">
        <is>
          <t>倍添烘焙</t>
        </is>
      </c>
      <c r="G152" s="26" t="n"/>
      <c r="H152" s="29" t="n"/>
      <c r="I152" s="30" t="n"/>
      <c r="J152" s="30" t="n"/>
      <c r="K152" s="30" t="n"/>
      <c r="L152" s="30" t="n"/>
      <c r="M152" s="31" t="n"/>
      <c r="N152" s="29" t="n"/>
      <c r="O152" s="31" t="n"/>
    </row>
    <row r="153" ht="15" customHeight="1" s="16">
      <c r="A153" s="26" t="n">
        <v>152</v>
      </c>
      <c r="B153" s="26" t="n">
        <v>40</v>
      </c>
      <c r="C153" s="26" t="n">
        <v>81</v>
      </c>
      <c r="D153" s="27" t="inlineStr">
        <is>
          <t>樹木土石</t>
        </is>
      </c>
      <c r="E153" s="32" t="inlineStr">
        <is>
          <t>倍添烘焙</t>
        </is>
      </c>
      <c r="F153" s="27" t="inlineStr">
        <is>
          <t>井泉皆</t>
        </is>
      </c>
      <c r="G153" s="26" t="inlineStr">
        <is>
          <t>●</t>
        </is>
      </c>
      <c r="H153" s="29" t="n"/>
      <c r="I153" s="30" t="n"/>
      <c r="J153" s="30" t="n"/>
      <c r="K153" s="30" t="n"/>
      <c r="L153" s="30" t="n"/>
      <c r="M153" s="31" t="n"/>
      <c r="N153" s="29" t="n"/>
      <c r="O153" s="31" t="n"/>
    </row>
    <row r="154" ht="15" customHeight="1" s="16">
      <c r="A154" s="26" t="n">
        <v>153</v>
      </c>
      <c r="B154" s="26" t="n">
        <v>40</v>
      </c>
      <c r="C154" s="26" t="n">
        <v>82</v>
      </c>
      <c r="D154" s="27" t="inlineStr">
        <is>
          <t>倍添烘焙</t>
        </is>
      </c>
      <c r="E154" s="28" t="inlineStr">
        <is>
          <t>井泉皆</t>
        </is>
      </c>
      <c r="F154" s="27" t="inlineStr">
        <is>
          <t>沸</t>
        </is>
      </c>
      <c r="G154" s="26" t="n"/>
      <c r="H154" s="29" t="n"/>
      <c r="I154" s="30" t="n"/>
      <c r="J154" s="30" t="n"/>
      <c r="K154" s="30" t="n"/>
      <c r="L154" s="30" t="n"/>
      <c r="M154" s="31" t="n"/>
      <c r="N154" s="29" t="n"/>
      <c r="O154" s="31" t="n"/>
    </row>
    <row r="155" ht="15" customHeight="1" s="16">
      <c r="A155" s="26" t="n">
        <v>154</v>
      </c>
      <c r="B155" s="26" t="n">
        <v>40</v>
      </c>
      <c r="C155" s="26" t="n">
        <v>146</v>
      </c>
      <c r="D155" s="27" t="inlineStr">
        <is>
          <t>秋亦爲春</t>
        </is>
      </c>
      <c r="E155" s="28" t="inlineStr">
        <is>
          <t>謂其致旱歲歉也</t>
        </is>
      </c>
      <c r="F155" s="27" t="inlineStr">
        <is>
          <t>故貧人謀事違心</t>
        </is>
      </c>
      <c r="G155" s="26" t="n"/>
      <c r="H155" s="29" t="n"/>
      <c r="I155" s="30" t="n"/>
      <c r="J155" s="30" t="n"/>
      <c r="K155" s="30" t="n"/>
      <c r="L155" s="30" t="n"/>
      <c r="M155" s="31" t="n"/>
      <c r="N155" s="29" t="n"/>
      <c r="O155" s="31" t="n"/>
    </row>
    <row r="156" ht="15" customHeight="1" s="16">
      <c r="A156" s="26" t="n">
        <v>155</v>
      </c>
      <c r="B156" s="26" t="n">
        <v>40</v>
      </c>
      <c r="C156" s="26" t="n">
        <v>147</v>
      </c>
      <c r="D156" s="27" t="inlineStr">
        <is>
          <t>謂其致旱歲歉也</t>
        </is>
      </c>
      <c r="E156" s="32" t="inlineStr">
        <is>
          <t>故貧人謀事違心</t>
        </is>
      </c>
      <c r="F156" s="27" t="inlineStr">
        <is>
          <t>稱罡鐵之秋</t>
        </is>
      </c>
      <c r="G156" s="26" t="inlineStr">
        <is>
          <t>●</t>
        </is>
      </c>
      <c r="H156" s="29" t="n"/>
      <c r="I156" s="30" t="n"/>
      <c r="J156" s="30" t="n"/>
      <c r="K156" s="30" t="n"/>
      <c r="L156" s="30" t="n"/>
      <c r="M156" s="31" t="n"/>
      <c r="N156" s="29" t="n"/>
      <c r="O156" s="31" t="n"/>
    </row>
    <row r="157" ht="15" customHeight="1" s="16">
      <c r="A157" s="26" t="n">
        <v>156</v>
      </c>
      <c r="B157" s="26" t="n">
        <v>40</v>
      </c>
      <c r="C157" s="26" t="n">
        <v>148</v>
      </c>
      <c r="D157" s="27" t="inlineStr">
        <is>
          <t>故貧人謀事違心</t>
        </is>
      </c>
      <c r="E157" s="28" t="inlineStr">
        <is>
          <t>稱罡鐵之秋</t>
        </is>
      </c>
      <c r="F157" s="27" t="inlineStr">
        <is>
          <t>裴生曰</t>
        </is>
      </c>
      <c r="G157" s="26" t="n"/>
      <c r="H157" s="29" t="n"/>
      <c r="I157" s="30" t="n"/>
      <c r="J157" s="30" t="n"/>
      <c r="K157" s="30" t="n"/>
      <c r="L157" s="30" t="n"/>
      <c r="M157" s="31" t="n"/>
      <c r="N157" s="29" t="n"/>
      <c r="O157" s="31" t="n"/>
    </row>
    <row r="158" ht="15" customHeight="1" s="16">
      <c r="A158" s="26" t="n">
        <v>157</v>
      </c>
      <c r="B158" s="26" t="n">
        <v>40</v>
      </c>
      <c r="C158" s="26" t="n">
        <v>153</v>
      </c>
      <c r="D158" s="27" t="inlineStr">
        <is>
          <t>乃丁是</t>
        </is>
      </c>
      <c r="E158" s="28" t="inlineStr">
        <is>
          <t>罡鐵之秋</t>
        </is>
      </c>
      <c r="F158" s="27" t="inlineStr">
        <is>
          <t>如何不貧</t>
        </is>
      </c>
      <c r="G158" s="26" t="n"/>
      <c r="H158" s="29" t="n"/>
      <c r="I158" s="30" t="n"/>
      <c r="J158" s="30" t="n"/>
      <c r="K158" s="30" t="n"/>
      <c r="L158" s="30" t="n"/>
      <c r="M158" s="31" t="n"/>
      <c r="N158" s="29" t="n"/>
      <c r="O158" s="31" t="n"/>
    </row>
    <row r="159" ht="15" customHeight="1" s="16">
      <c r="A159" s="26" t="n">
        <v>158</v>
      </c>
      <c r="B159" s="26" t="n">
        <v>40</v>
      </c>
      <c r="C159" s="26" t="n">
        <v>154</v>
      </c>
      <c r="D159" s="27" t="inlineStr">
        <is>
          <t>罡鐵之秋</t>
        </is>
      </c>
      <c r="E159" s="32" t="inlineStr">
        <is>
          <t>如何不貧</t>
        </is>
      </c>
      <c r="F159" s="27" t="inlineStr">
        <is>
          <t>乃長吟曰</t>
        </is>
      </c>
      <c r="G159" s="26" t="inlineStr">
        <is>
          <t>●</t>
        </is>
      </c>
      <c r="H159" s="29" t="n"/>
      <c r="I159" s="30" t="n"/>
      <c r="J159" s="30" t="n"/>
      <c r="K159" s="30" t="n"/>
      <c r="L159" s="30" t="n"/>
      <c r="M159" s="31" t="n"/>
      <c r="N159" s="29" t="n"/>
      <c r="O159" s="31" t="n"/>
    </row>
    <row r="160" ht="15" customHeight="1" s="16">
      <c r="A160" s="26" t="n">
        <v>159</v>
      </c>
      <c r="B160" s="26" t="n">
        <v>40</v>
      </c>
      <c r="C160" s="26" t="n">
        <v>155</v>
      </c>
      <c r="D160" s="27" t="inlineStr">
        <is>
          <t>如何不貧</t>
        </is>
      </c>
      <c r="E160" s="28" t="inlineStr">
        <is>
          <t>乃長吟曰</t>
        </is>
      </c>
      <c r="F160" s="27" t="inlineStr">
        <is>
          <t>罡處</t>
        </is>
      </c>
      <c r="G160" s="26" t="n"/>
      <c r="H160" s="29" t="n"/>
      <c r="I160" s="30" t="n"/>
      <c r="J160" s="30" t="n"/>
      <c r="K160" s="30" t="n"/>
      <c r="L160" s="30" t="n"/>
      <c r="M160" s="31" t="n"/>
      <c r="N160" s="29" t="n"/>
      <c r="O160" s="31" t="n"/>
    </row>
    <row r="161" ht="15" customHeight="1" s="16">
      <c r="A161" s="26" t="n">
        <v>160</v>
      </c>
      <c r="B161" s="26" t="n">
        <v>40</v>
      </c>
      <c r="C161" s="26" t="n">
        <v>168</v>
      </c>
      <c r="D161" s="27" t="inlineStr">
        <is>
          <t>聲也</t>
        </is>
      </c>
      <c r="E161" s="28" t="inlineStr">
        <is>
          <t>余曰</t>
        </is>
      </c>
      <c r="F161" s="27" t="inlineStr">
        <is>
          <t>諸公俱是吳蜀客商</t>
        </is>
      </c>
      <c r="G161" s="26" t="n"/>
      <c r="H161" s="29" t="n"/>
      <c r="I161" s="30" t="n"/>
      <c r="J161" s="30" t="n"/>
      <c r="K161" s="30" t="n"/>
      <c r="L161" s="30" t="n"/>
      <c r="M161" s="31" t="n"/>
      <c r="N161" s="29" t="n"/>
      <c r="O161" s="31" t="n"/>
    </row>
    <row r="162" ht="15" customHeight="1" s="16">
      <c r="A162" s="26" t="n">
        <v>161</v>
      </c>
      <c r="B162" s="26" t="n">
        <v>40</v>
      </c>
      <c r="C162" s="26" t="n">
        <v>169</v>
      </c>
      <c r="D162" s="27" t="inlineStr">
        <is>
          <t>余曰</t>
        </is>
      </c>
      <c r="E162" s="32" t="inlineStr">
        <is>
          <t>諸公俱是吳蜀客商</t>
        </is>
      </c>
      <c r="F162" s="27" t="inlineStr">
        <is>
          <t>遠地經歲</t>
        </is>
      </c>
      <c r="G162" s="26" t="inlineStr">
        <is>
          <t>●</t>
        </is>
      </c>
      <c r="H162" s="29" t="n"/>
      <c r="I162" s="30" t="n"/>
      <c r="J162" s="30" t="n"/>
      <c r="K162" s="30" t="n"/>
      <c r="L162" s="30" t="n"/>
      <c r="M162" s="31" t="n"/>
      <c r="N162" s="29" t="n"/>
      <c r="O162" s="31" t="n"/>
    </row>
    <row r="163" ht="15" customHeight="1" s="16">
      <c r="A163" s="26" t="n">
        <v>162</v>
      </c>
      <c r="B163" s="26" t="n">
        <v>40</v>
      </c>
      <c r="C163" s="26" t="n">
        <v>170</v>
      </c>
      <c r="D163" s="27" t="inlineStr">
        <is>
          <t>諸公俱是吳蜀客商</t>
        </is>
      </c>
      <c r="E163" s="28" t="inlineStr">
        <is>
          <t>遠地經歲</t>
        </is>
      </c>
      <c r="F163" s="27" t="inlineStr">
        <is>
          <t>能無鄕思否</t>
        </is>
      </c>
      <c r="G163" s="26" t="n"/>
      <c r="H163" s="29" t="n"/>
      <c r="I163" s="30" t="n"/>
      <c r="J163" s="30" t="n"/>
      <c r="K163" s="30" t="n"/>
      <c r="L163" s="30" t="n"/>
      <c r="M163" s="31" t="n"/>
      <c r="N163" s="29" t="n"/>
      <c r="O163" s="31" t="n"/>
    </row>
    <row r="164" ht="15" customHeight="1" s="16">
      <c r="A164" s="26" t="n">
        <v>163</v>
      </c>
      <c r="B164" s="26" t="n">
        <v>40</v>
      </c>
      <c r="C164" s="26" t="n">
        <v>194</v>
      </c>
      <c r="D164" s="27" t="inlineStr">
        <is>
          <t>躬耕隴畝</t>
        </is>
      </c>
      <c r="E164" s="28" t="inlineStr">
        <is>
          <t>仰事俯育</t>
        </is>
      </c>
      <c r="F164" s="27" t="inlineStr">
        <is>
          <t>而專逐末利</t>
        </is>
      </c>
      <c r="G164" s="26" t="n"/>
      <c r="H164" s="29" t="n"/>
      <c r="I164" s="30" t="n"/>
      <c r="J164" s="30" t="n"/>
      <c r="K164" s="30" t="n"/>
      <c r="L164" s="30" t="n"/>
      <c r="M164" s="31" t="n"/>
      <c r="N164" s="29" t="n"/>
      <c r="O164" s="31" t="n"/>
    </row>
    <row r="165" ht="15" customHeight="1" s="16">
      <c r="A165" s="26" t="n">
        <v>164</v>
      </c>
      <c r="B165" s="26" t="n">
        <v>40</v>
      </c>
      <c r="C165" s="26" t="n">
        <v>195</v>
      </c>
      <c r="D165" s="27" t="inlineStr">
        <is>
          <t>仰事俯育</t>
        </is>
      </c>
      <c r="E165" s="32" t="inlineStr">
        <is>
          <t>而專逐末利</t>
        </is>
      </c>
      <c r="F165" s="27" t="inlineStr">
        <is>
          <t>遠別家鄕</t>
        </is>
      </c>
      <c r="G165" s="26" t="inlineStr">
        <is>
          <t>●</t>
        </is>
      </c>
      <c r="H165" s="29" t="n"/>
      <c r="I165" s="30" t="n"/>
      <c r="J165" s="30" t="n"/>
      <c r="K165" s="30" t="n"/>
      <c r="L165" s="30" t="n"/>
      <c r="M165" s="31" t="n"/>
      <c r="N165" s="29" t="n"/>
      <c r="O165" s="31" t="n"/>
    </row>
    <row r="166" ht="15" customHeight="1" s="16">
      <c r="A166" s="26" t="n">
        <v>165</v>
      </c>
      <c r="B166" s="26" t="n">
        <v>40</v>
      </c>
      <c r="C166" s="26" t="n">
        <v>196</v>
      </c>
      <c r="D166" s="27" t="inlineStr">
        <is>
          <t>而專逐末利</t>
        </is>
      </c>
      <c r="E166" s="28" t="inlineStr">
        <is>
          <t>遠別家鄕</t>
        </is>
      </c>
      <c r="F166" s="27" t="inlineStr">
        <is>
          <t>雖富埒猗頓</t>
        </is>
      </c>
      <c r="G166" s="26" t="n"/>
      <c r="H166" s="29" t="n"/>
      <c r="I166" s="30" t="n"/>
      <c r="J166" s="30" t="n"/>
      <c r="K166" s="30" t="n"/>
      <c r="L166" s="30" t="n"/>
      <c r="M166" s="31" t="n"/>
      <c r="N166" s="29" t="n"/>
      <c r="O166" s="31" t="n"/>
    </row>
    <row r="167" ht="15" customHeight="1" s="16">
      <c r="A167" s="26" t="n">
        <v>166</v>
      </c>
      <c r="B167" s="26" t="n">
        <v>40</v>
      </c>
      <c r="C167" s="26" t="n">
        <v>197</v>
      </c>
      <c r="D167" s="27" t="inlineStr">
        <is>
          <t>遠別家鄕</t>
        </is>
      </c>
      <c r="E167" s="32" t="inlineStr">
        <is>
          <t>雖富埒猗頓</t>
        </is>
      </c>
      <c r="F167" s="27" t="inlineStr">
        <is>
          <t>名如陶朱</t>
        </is>
      </c>
      <c r="G167" s="26" t="inlineStr">
        <is>
          <t>●</t>
        </is>
      </c>
      <c r="H167" s="29" t="n"/>
      <c r="I167" s="30" t="n"/>
      <c r="J167" s="30" t="n"/>
      <c r="K167" s="30" t="n"/>
      <c r="L167" s="30" t="n"/>
      <c r="M167" s="31" t="n"/>
      <c r="N167" s="29" t="n"/>
      <c r="O167" s="31" t="n"/>
    </row>
    <row r="168" ht="15" customHeight="1" s="16">
      <c r="A168" s="26" t="n">
        <v>167</v>
      </c>
      <c r="B168" s="26" t="n">
        <v>40</v>
      </c>
      <c r="C168" s="26" t="n">
        <v>198</v>
      </c>
      <c r="D168" s="27" t="inlineStr">
        <is>
          <t>雖富埒猗頓</t>
        </is>
      </c>
      <c r="E168" s="28" t="inlineStr">
        <is>
          <t>名如陶朱</t>
        </is>
      </c>
      <c r="F168" s="27" t="inlineStr">
        <is>
          <t>有何樂哉</t>
        </is>
      </c>
      <c r="G168" s="26" t="n"/>
      <c r="H168" s="29" t="n"/>
      <c r="I168" s="30" t="n"/>
      <c r="J168" s="30" t="n"/>
      <c r="K168" s="30" t="n"/>
      <c r="L168" s="30" t="n"/>
      <c r="M168" s="31" t="n"/>
      <c r="N168" s="29" t="n"/>
      <c r="O168" s="31" t="n"/>
    </row>
    <row r="169" ht="15" customHeight="1" s="16">
      <c r="A169" s="26" t="n">
        <v>168</v>
      </c>
      <c r="B169" s="26" t="n">
        <v>40</v>
      </c>
      <c r="C169" s="26" t="n">
        <v>217</v>
      </c>
      <c r="D169" s="27" t="inlineStr">
        <is>
          <t>雖歎黃犬</t>
        </is>
      </c>
      <c r="E169" s="28" t="inlineStr">
        <is>
          <t>復何益哉</t>
        </is>
      </c>
      <c r="F169" s="27" t="inlineStr">
        <is>
          <t>吾輩學殖荒落</t>
        </is>
      </c>
      <c r="G169" s="26" t="n"/>
      <c r="H169" s="29" t="n"/>
      <c r="I169" s="30" t="n"/>
      <c r="J169" s="30" t="n"/>
      <c r="K169" s="30" t="n"/>
      <c r="L169" s="30" t="n"/>
      <c r="M169" s="31" t="n"/>
      <c r="N169" s="29" t="n"/>
      <c r="O169" s="31" t="n"/>
    </row>
    <row r="170" ht="15" customHeight="1" s="16">
      <c r="A170" s="26" t="n">
        <v>169</v>
      </c>
      <c r="B170" s="26" t="n">
        <v>40</v>
      </c>
      <c r="C170" s="26" t="n">
        <v>218</v>
      </c>
      <c r="D170" s="27" t="inlineStr">
        <is>
          <t>復何益哉</t>
        </is>
      </c>
      <c r="E170" s="32" t="inlineStr">
        <is>
          <t>吾輩學殖荒落</t>
        </is>
      </c>
      <c r="F170" s="27" t="inlineStr">
        <is>
          <t>望絶鴻漸</t>
        </is>
      </c>
      <c r="G170" s="26" t="inlineStr">
        <is>
          <t>●</t>
        </is>
      </c>
      <c r="H170" s="29" t="n"/>
      <c r="I170" s="30" t="n"/>
      <c r="J170" s="30" t="n"/>
      <c r="K170" s="30" t="n"/>
      <c r="L170" s="30" t="n"/>
      <c r="M170" s="31" t="n"/>
      <c r="N170" s="29" t="n"/>
      <c r="O170" s="31" t="n"/>
    </row>
    <row r="171" ht="15" customHeight="1" s="16">
      <c r="A171" s="26" t="n">
        <v>170</v>
      </c>
      <c r="B171" s="26" t="n">
        <v>40</v>
      </c>
      <c r="C171" s="26" t="n">
        <v>219</v>
      </c>
      <c r="D171" s="27" t="inlineStr">
        <is>
          <t>吾輩學殖荒落</t>
        </is>
      </c>
      <c r="E171" s="28" t="inlineStr">
        <is>
          <t>望絶鴻漸</t>
        </is>
      </c>
      <c r="F171" s="27" t="inlineStr">
        <is>
          <t>而亦不能血指汗顔</t>
        </is>
      </c>
      <c r="G171" s="26" t="n"/>
      <c r="H171" s="29" t="n"/>
      <c r="I171" s="30" t="n"/>
      <c r="J171" s="30" t="n"/>
      <c r="K171" s="30" t="n"/>
      <c r="L171" s="30" t="n"/>
      <c r="M171" s="31" t="n"/>
      <c r="N171" s="29" t="n"/>
      <c r="O171" s="31" t="n"/>
    </row>
    <row r="172" ht="15" customHeight="1" s="16">
      <c r="A172" s="26" t="n">
        <v>171</v>
      </c>
      <c r="B172" s="26" t="n">
        <v>40</v>
      </c>
      <c r="C172" s="26" t="n">
        <v>230</v>
      </c>
      <c r="D172" s="27" t="inlineStr">
        <is>
          <t>似此百年</t>
        </is>
      </c>
      <c r="E172" s="28" t="inlineStr">
        <is>
          <t>不如死之久也</t>
        </is>
      </c>
      <c r="F172" s="27" t="inlineStr">
        <is>
          <t>開舖貨居</t>
        </is>
      </c>
      <c r="G172" s="26" t="n"/>
      <c r="H172" s="29" t="n"/>
      <c r="I172" s="30" t="n"/>
      <c r="J172" s="30" t="n"/>
      <c r="K172" s="30" t="n"/>
      <c r="L172" s="30" t="n"/>
      <c r="M172" s="31" t="n"/>
      <c r="N172" s="29" t="n"/>
      <c r="O172" s="31" t="n"/>
    </row>
    <row r="173" ht="15" customHeight="1" s="16">
      <c r="A173" s="26" t="n">
        <v>172</v>
      </c>
      <c r="B173" s="26" t="n">
        <v>40</v>
      </c>
      <c r="C173" s="26" t="n">
        <v>231</v>
      </c>
      <c r="D173" s="27" t="inlineStr">
        <is>
          <t>不如死之久也</t>
        </is>
      </c>
      <c r="E173" s="32" t="inlineStr">
        <is>
          <t>開舖貨居</t>
        </is>
      </c>
      <c r="F173" s="27" t="inlineStr">
        <is>
          <t>雖</t>
        </is>
      </c>
      <c r="G173" s="26" t="inlineStr">
        <is>
          <t>●</t>
        </is>
      </c>
      <c r="H173" s="29" t="n"/>
      <c r="I173" s="30" t="n"/>
      <c r="J173" s="30" t="n"/>
      <c r="K173" s="30" t="n"/>
      <c r="L173" s="30" t="n"/>
      <c r="M173" s="31" t="n"/>
      <c r="N173" s="29" t="n"/>
      <c r="O173" s="31" t="n"/>
    </row>
    <row r="174" ht="15" customHeight="1" s="16">
      <c r="A174" s="26" t="n">
        <v>173</v>
      </c>
      <c r="B174" s="26" t="n">
        <v>40</v>
      </c>
      <c r="C174" s="26" t="n">
        <v>232</v>
      </c>
      <c r="D174" s="27" t="inlineStr">
        <is>
          <t>開舖貨居</t>
        </is>
      </c>
      <c r="E174" s="28" t="inlineStr">
        <is>
          <t>雖</t>
        </is>
      </c>
      <c r="F174" s="27" t="inlineStr">
        <is>
          <t>云下流</t>
        </is>
      </c>
      <c r="G174" s="26" t="n"/>
      <c r="H174" s="29" t="n"/>
      <c r="I174" s="30" t="n"/>
      <c r="J174" s="30" t="n"/>
      <c r="K174" s="30" t="n"/>
      <c r="L174" s="30" t="n"/>
      <c r="M174" s="31" t="n"/>
      <c r="N174" s="29" t="n"/>
      <c r="O174" s="31" t="n"/>
    </row>
    <row r="175" ht="15" customHeight="1" s="16">
      <c r="A175" s="26" t="n">
        <v>174</v>
      </c>
      <c r="B175" s="26" t="n">
        <v>40</v>
      </c>
      <c r="C175" s="26" t="n">
        <v>258</v>
      </c>
      <c r="D175" s="27" t="inlineStr">
        <is>
          <t>三人行必有我師</t>
        </is>
      </c>
      <c r="E175" s="28" t="inlineStr">
        <is>
          <t>二人同心</t>
        </is>
      </c>
      <c r="F175" s="27" t="inlineStr">
        <is>
          <t>其利斷金</t>
        </is>
      </c>
      <c r="G175" s="26" t="n"/>
      <c r="H175" s="29" t="n"/>
      <c r="I175" s="30" t="n"/>
      <c r="J175" s="30" t="n"/>
      <c r="K175" s="30" t="n"/>
      <c r="L175" s="30" t="n"/>
      <c r="M175" s="31" t="n"/>
      <c r="N175" s="29" t="n"/>
      <c r="O175" s="31" t="n"/>
    </row>
    <row r="176" ht="15" customHeight="1" s="16">
      <c r="A176" s="26" t="n">
        <v>175</v>
      </c>
      <c r="B176" s="26" t="n">
        <v>40</v>
      </c>
      <c r="C176" s="26" t="n">
        <v>259</v>
      </c>
      <c r="D176" s="27" t="inlineStr">
        <is>
          <t>二人同心</t>
        </is>
      </c>
      <c r="E176" s="32" t="inlineStr">
        <is>
          <t>其利斷金</t>
        </is>
      </c>
      <c r="F176" s="27" t="inlineStr">
        <is>
          <t>天下至樂</t>
        </is>
      </c>
      <c r="G176" s="26" t="inlineStr">
        <is>
          <t>●</t>
        </is>
      </c>
      <c r="H176" s="29" t="n"/>
      <c r="I176" s="30" t="n"/>
      <c r="J176" s="30" t="n"/>
      <c r="K176" s="30" t="n"/>
      <c r="L176" s="30" t="n"/>
      <c r="M176" s="31" t="n"/>
      <c r="N176" s="29" t="n"/>
      <c r="O176" s="31" t="n"/>
    </row>
    <row r="177" ht="15" customHeight="1" s="16">
      <c r="A177" s="26" t="n">
        <v>176</v>
      </c>
      <c r="B177" s="26" t="n">
        <v>40</v>
      </c>
      <c r="C177" s="26" t="n">
        <v>260</v>
      </c>
      <c r="D177" s="27" t="inlineStr">
        <is>
          <t>其利斷金</t>
        </is>
      </c>
      <c r="E177" s="28" t="inlineStr">
        <is>
          <t>天下至樂</t>
        </is>
      </c>
      <c r="F177" s="27" t="inlineStr">
        <is>
          <t>無逾於此</t>
        </is>
      </c>
      <c r="G177" s="26" t="n"/>
      <c r="H177" s="29" t="n"/>
      <c r="I177" s="30" t="n"/>
      <c r="J177" s="30" t="n"/>
      <c r="K177" s="30" t="n"/>
      <c r="L177" s="30" t="n"/>
      <c r="M177" s="31" t="n"/>
      <c r="N177" s="29" t="n"/>
      <c r="O177" s="31" t="n"/>
    </row>
    <row r="178" ht="15" customHeight="1" s="16">
      <c r="A178" s="26" t="n">
        <v>177</v>
      </c>
      <c r="B178" s="26" t="n">
        <v>40</v>
      </c>
      <c r="C178" s="26" t="n">
        <v>281</v>
      </c>
      <c r="D178" s="27" t="inlineStr">
        <is>
          <t>東野曰</t>
        </is>
      </c>
      <c r="E178" s="28" t="inlineStr">
        <is>
          <t>我朝有禁</t>
        </is>
      </c>
      <c r="F178" s="27" t="inlineStr">
        <is>
          <t>仕宦家不得與商工通婚</t>
        </is>
      </c>
      <c r="G178" s="26" t="n"/>
      <c r="H178" s="29" t="n"/>
      <c r="I178" s="30" t="n"/>
      <c r="J178" s="30" t="n"/>
      <c r="K178" s="30" t="n"/>
      <c r="L178" s="30" t="n"/>
      <c r="M178" s="31" t="n"/>
      <c r="N178" s="29" t="n"/>
      <c r="O178" s="31" t="n"/>
    </row>
    <row r="179" ht="15" customHeight="1" s="16">
      <c r="A179" s="26" t="n">
        <v>178</v>
      </c>
      <c r="B179" s="26" t="n">
        <v>40</v>
      </c>
      <c r="C179" s="26" t="n">
        <v>282</v>
      </c>
      <c r="D179" s="27" t="inlineStr">
        <is>
          <t>我朝有禁</t>
        </is>
      </c>
      <c r="E179" s="32" t="inlineStr">
        <is>
          <t>仕宦家不得與商工通婚</t>
        </is>
      </c>
      <c r="F179" s="27" t="inlineStr">
        <is>
          <t>以淸仕路</t>
        </is>
      </c>
      <c r="G179" s="26" t="inlineStr">
        <is>
          <t>●</t>
        </is>
      </c>
      <c r="H179" s="29" t="n"/>
      <c r="I179" s="30" t="n"/>
      <c r="J179" s="30" t="n"/>
      <c r="K179" s="30" t="n"/>
      <c r="L179" s="30" t="n"/>
      <c r="M179" s="31" t="n"/>
      <c r="N179" s="29" t="n"/>
      <c r="O179" s="31" t="n"/>
    </row>
    <row r="180" ht="15" customHeight="1" s="16">
      <c r="A180" s="26" t="n">
        <v>179</v>
      </c>
      <c r="B180" s="26" t="n">
        <v>40</v>
      </c>
      <c r="C180" s="26" t="n">
        <v>283</v>
      </c>
      <c r="D180" s="27" t="inlineStr">
        <is>
          <t>仕宦家不得與商工通婚</t>
        </is>
      </c>
      <c r="E180" s="28" t="inlineStr">
        <is>
          <t>以淸仕路</t>
        </is>
      </c>
      <c r="F180" s="27" t="inlineStr">
        <is>
          <t>所以貴道賤利</t>
        </is>
      </c>
      <c r="G180" s="26" t="n"/>
      <c r="H180" s="29" t="n"/>
      <c r="I180" s="30" t="n"/>
      <c r="J180" s="30" t="n"/>
      <c r="K180" s="30" t="n"/>
      <c r="L180" s="30" t="n"/>
      <c r="M180" s="31" t="n"/>
      <c r="N180" s="29" t="n"/>
      <c r="O180" s="31" t="n"/>
    </row>
    <row r="181" ht="15" customHeight="1" s="16">
      <c r="A181" s="26" t="n">
        <v>180</v>
      </c>
      <c r="B181" s="26" t="n">
        <v>40</v>
      </c>
      <c r="C181" s="26" t="n">
        <v>284</v>
      </c>
      <c r="D181" s="27" t="inlineStr">
        <is>
          <t>以淸仕路</t>
        </is>
      </c>
      <c r="E181" s="32" t="inlineStr">
        <is>
          <t>所以貴道賤利</t>
        </is>
      </c>
      <c r="F181" s="27" t="inlineStr">
        <is>
          <t>崇本抑末</t>
        </is>
      </c>
      <c r="G181" s="26" t="inlineStr">
        <is>
          <t>●</t>
        </is>
      </c>
      <c r="H181" s="29" t="n"/>
      <c r="I181" s="30" t="n"/>
      <c r="J181" s="30" t="n"/>
      <c r="K181" s="30" t="n"/>
      <c r="L181" s="30" t="n"/>
      <c r="M181" s="31" t="n"/>
      <c r="N181" s="29" t="n"/>
      <c r="O181" s="31" t="n"/>
    </row>
    <row r="182" ht="15" customHeight="1" s="16">
      <c r="A182" s="26" t="n">
        <v>181</v>
      </c>
      <c r="B182" s="26" t="n">
        <v>40</v>
      </c>
      <c r="C182" s="26" t="n">
        <v>285</v>
      </c>
      <c r="D182" s="27" t="inlineStr">
        <is>
          <t>所以貴道賤利</t>
        </is>
      </c>
      <c r="E182" s="28" t="inlineStr">
        <is>
          <t>崇本抑末</t>
        </is>
      </c>
      <c r="F182" s="27" t="inlineStr">
        <is>
          <t>吾輩俱是家世做賣買的</t>
        </is>
      </c>
      <c r="G182" s="26" t="n"/>
      <c r="H182" s="29" t="n"/>
      <c r="I182" s="30" t="n"/>
      <c r="J182" s="30" t="n"/>
      <c r="K182" s="30" t="n"/>
      <c r="L182" s="30" t="n"/>
      <c r="M182" s="31" t="n"/>
      <c r="N182" s="29" t="n"/>
      <c r="O182" s="31" t="n"/>
    </row>
    <row r="183" ht="15" customHeight="1" s="16">
      <c r="A183" s="26" t="n">
        <v>182</v>
      </c>
      <c r="B183" s="26" t="n">
        <v>40</v>
      </c>
      <c r="C183" s="26" t="n">
        <v>286</v>
      </c>
      <c r="D183" s="27" t="inlineStr">
        <is>
          <t>崇本抑末</t>
        </is>
      </c>
      <c r="E183" s="32" t="inlineStr">
        <is>
          <t>吾輩俱是家世做賣買的</t>
        </is>
      </c>
      <c r="F183" s="27" t="inlineStr">
        <is>
          <t>未得士家爲婚</t>
        </is>
      </c>
      <c r="G183" s="26" t="inlineStr">
        <is>
          <t>●</t>
        </is>
      </c>
      <c r="H183" s="29" t="n"/>
      <c r="I183" s="30" t="n"/>
      <c r="J183" s="30" t="n"/>
      <c r="K183" s="30" t="n"/>
      <c r="L183" s="30" t="n"/>
      <c r="M183" s="31" t="n"/>
      <c r="N183" s="29" t="n"/>
      <c r="O183" s="31" t="n"/>
    </row>
    <row r="184" ht="15" customHeight="1" s="16">
      <c r="A184" s="26" t="n">
        <v>183</v>
      </c>
      <c r="B184" s="26" t="n">
        <v>40</v>
      </c>
      <c r="C184" s="26" t="n">
        <v>287</v>
      </c>
      <c r="D184" s="27" t="inlineStr">
        <is>
          <t>吾輩俱是家世做賣買的</t>
        </is>
      </c>
      <c r="E184" s="28" t="inlineStr">
        <is>
          <t>未得士家爲婚</t>
        </is>
      </c>
      <c r="F184" s="27" t="inlineStr">
        <is>
          <t>雖納貲輸米權補生員</t>
        </is>
      </c>
      <c r="G184" s="26" t="n"/>
      <c r="H184" s="29" t="n"/>
      <c r="I184" s="30" t="n"/>
      <c r="J184" s="30" t="n"/>
      <c r="K184" s="30" t="n"/>
      <c r="L184" s="30" t="n"/>
      <c r="M184" s="31" t="n"/>
      <c r="N184" s="29" t="n"/>
      <c r="O184" s="31" t="n"/>
    </row>
    <row r="185" ht="15" customHeight="1" s="16">
      <c r="A185" s="26" t="n">
        <v>184</v>
      </c>
      <c r="B185" s="26" t="n">
        <v>40</v>
      </c>
      <c r="C185" s="26" t="n">
        <v>288</v>
      </c>
      <c r="D185" s="27" t="inlineStr">
        <is>
          <t>未得士家爲婚</t>
        </is>
      </c>
      <c r="E185" s="28" t="inlineStr">
        <is>
          <t>雖納貲輸米權補生員</t>
        </is>
      </c>
      <c r="F185" s="27" t="inlineStr">
        <is>
          <t>亦不許鄕貢爲擧人</t>
        </is>
      </c>
      <c r="G185" s="26" t="n"/>
      <c r="H185" s="29" t="n"/>
      <c r="I185" s="30" t="n"/>
      <c r="J185" s="30" t="n"/>
      <c r="K185" s="30" t="n"/>
      <c r="L185" s="30" t="n"/>
      <c r="M185" s="31" t="n"/>
      <c r="N185" s="29" t="n"/>
      <c r="O185" s="31" t="n"/>
    </row>
    <row r="186" ht="15" customHeight="1" s="16">
      <c r="A186" s="26" t="n">
        <v>185</v>
      </c>
      <c r="B186" s="26" t="n">
        <v>40</v>
      </c>
      <c r="C186" s="26" t="n">
        <v>289</v>
      </c>
      <c r="D186" s="27" t="inlineStr">
        <is>
          <t>雖納貲輸米權補生員</t>
        </is>
      </c>
      <c r="E186" s="32" t="inlineStr">
        <is>
          <t>亦不許鄕貢爲擧人</t>
        </is>
      </c>
      <c r="F186" s="27" t="inlineStr">
        <is>
          <t>費生曰</t>
        </is>
      </c>
      <c r="G186" s="26" t="inlineStr">
        <is>
          <t>●</t>
        </is>
      </c>
      <c r="H186" s="29" t="n"/>
      <c r="I186" s="30" t="n"/>
      <c r="J186" s="30" t="n"/>
      <c r="K186" s="30" t="n"/>
      <c r="L186" s="30" t="n"/>
      <c r="M186" s="31" t="n"/>
      <c r="N186" s="29" t="n"/>
      <c r="O186" s="31" t="n"/>
    </row>
    <row r="187" ht="15" customHeight="1" s="16">
      <c r="A187" s="26" t="n">
        <v>186</v>
      </c>
      <c r="B187" s="26" t="n">
        <v>40</v>
      </c>
      <c r="C187" s="26" t="n">
        <v>290</v>
      </c>
      <c r="D187" s="27" t="inlineStr">
        <is>
          <t>亦不許鄕貢爲擧人</t>
        </is>
      </c>
      <c r="E187" s="28" t="inlineStr">
        <is>
          <t>費生曰</t>
        </is>
      </c>
      <c r="F187" s="27" t="inlineStr">
        <is>
          <t>此法只施</t>
        </is>
      </c>
      <c r="G187" s="26" t="n"/>
      <c r="H187" s="29" t="n"/>
      <c r="I187" s="30" t="n"/>
      <c r="J187" s="30" t="n"/>
      <c r="K187" s="30" t="n"/>
      <c r="L187" s="30" t="n"/>
      <c r="M187" s="31" t="n"/>
      <c r="N187" s="29" t="n"/>
      <c r="O187" s="31" t="n"/>
    </row>
    <row r="188" ht="15" customHeight="1" s="16">
      <c r="A188" s="26" t="n">
        <v>187</v>
      </c>
      <c r="B188" s="26" t="n">
        <v>40</v>
      </c>
      <c r="C188" s="26" t="n">
        <v>299</v>
      </c>
      <c r="D188" s="27" t="inlineStr">
        <is>
          <t>然</t>
        </is>
      </c>
      <c r="E188" s="28" t="inlineStr">
        <is>
          <t>諸生亦有許多名目</t>
        </is>
      </c>
      <c r="F188" s="27" t="inlineStr">
        <is>
          <t>有廩生監生貢</t>
        </is>
      </c>
      <c r="G188" s="26" t="n"/>
      <c r="H188" s="29" t="n"/>
      <c r="I188" s="30" t="n"/>
      <c r="J188" s="30" t="n"/>
      <c r="K188" s="30" t="n"/>
      <c r="L188" s="30" t="n"/>
      <c r="M188" s="31" t="n"/>
      <c r="N188" s="29" t="n"/>
      <c r="O188" s="31" t="n"/>
    </row>
    <row r="189" ht="15" customHeight="1" s="16">
      <c r="A189" s="26" t="n">
        <v>188</v>
      </c>
      <c r="B189" s="26" t="n">
        <v>40</v>
      </c>
      <c r="C189" s="26" t="n">
        <v>300</v>
      </c>
      <c r="D189" s="27" t="inlineStr">
        <is>
          <t>諸生亦有許多名目</t>
        </is>
      </c>
      <c r="E189" s="32" t="inlineStr">
        <is>
          <t>有廩生監生貢</t>
        </is>
      </c>
      <c r="F189" s="27" t="inlineStr">
        <is>
          <t>生</t>
        </is>
      </c>
      <c r="G189" s="26" t="inlineStr">
        <is>
          <t>●</t>
        </is>
      </c>
      <c r="H189" s="29" t="n"/>
      <c r="I189" s="30" t="n"/>
      <c r="J189" s="30" t="n"/>
      <c r="K189" s="30" t="n"/>
      <c r="L189" s="30" t="n"/>
      <c r="M189" s="31" t="n"/>
      <c r="N189" s="29" t="n"/>
      <c r="O189" s="31" t="n"/>
    </row>
    <row r="190" ht="15" customHeight="1" s="16">
      <c r="A190" s="26" t="n">
        <v>189</v>
      </c>
      <c r="B190" s="26" t="n">
        <v>40</v>
      </c>
      <c r="C190" s="26" t="n">
        <v>301</v>
      </c>
      <c r="D190" s="27" t="inlineStr">
        <is>
          <t>有廩生監生貢</t>
        </is>
      </c>
      <c r="E190" s="28" t="inlineStr">
        <is>
          <t>生</t>
        </is>
      </c>
      <c r="F190" s="27" t="inlineStr">
        <is>
          <t>以生員陞補</t>
        </is>
      </c>
      <c r="G190" s="26" t="n"/>
      <c r="H190" s="29" t="n"/>
      <c r="I190" s="30" t="n"/>
      <c r="J190" s="30" t="n"/>
      <c r="K190" s="30" t="n"/>
      <c r="L190" s="30" t="n"/>
      <c r="M190" s="31" t="n"/>
      <c r="N190" s="29" t="n"/>
      <c r="O190" s="31" t="n"/>
    </row>
    <row r="191" ht="15" customHeight="1" s="16">
      <c r="A191" s="26" t="n">
        <v>190</v>
      </c>
      <c r="B191" s="26" t="n">
        <v>40</v>
      </c>
      <c r="C191" s="26" t="n">
        <v>326</v>
      </c>
      <c r="D191" s="27" t="inlineStr">
        <is>
          <t>求人</t>
        </is>
      </c>
      <c r="E191" s="28" t="inlineStr">
        <is>
          <t>不如求己</t>
        </is>
      </c>
      <c r="F191" s="27" t="inlineStr">
        <is>
          <t>所以做賣買的</t>
        </is>
      </c>
      <c r="G191" s="26" t="n"/>
      <c r="H191" s="29" t="n"/>
      <c r="I191" s="30" t="n"/>
      <c r="J191" s="30" t="n"/>
      <c r="K191" s="30" t="n"/>
      <c r="L191" s="30" t="n"/>
      <c r="M191" s="31" t="n"/>
      <c r="N191" s="29" t="n"/>
      <c r="O191" s="31" t="n"/>
    </row>
    <row r="192" ht="15" customHeight="1" s="16">
      <c r="A192" s="26" t="n">
        <v>191</v>
      </c>
      <c r="B192" s="26" t="n">
        <v>40</v>
      </c>
      <c r="C192" s="26" t="n">
        <v>327</v>
      </c>
      <c r="D192" s="27" t="inlineStr">
        <is>
          <t>不如求己</t>
        </is>
      </c>
      <c r="E192" s="32" t="inlineStr">
        <is>
          <t>所以做賣買的</t>
        </is>
      </c>
      <c r="F192" s="27" t="inlineStr">
        <is>
          <t>自無此惡况苦景也</t>
        </is>
      </c>
      <c r="G192" s="26" t="inlineStr">
        <is>
          <t>●</t>
        </is>
      </c>
      <c r="H192" s="29" t="n"/>
      <c r="I192" s="30" t="n"/>
      <c r="J192" s="30" t="n"/>
      <c r="K192" s="30" t="n"/>
      <c r="L192" s="30" t="n"/>
      <c r="M192" s="31" t="n"/>
      <c r="N192" s="29" t="n"/>
      <c r="O192" s="31" t="n"/>
    </row>
    <row r="193" ht="15" customHeight="1" s="16">
      <c r="A193" s="26" t="n">
        <v>192</v>
      </c>
      <c r="B193" s="26" t="n">
        <v>40</v>
      </c>
      <c r="C193" s="26" t="n">
        <v>328</v>
      </c>
      <c r="D193" s="27" t="inlineStr">
        <is>
          <t>所以做賣買的</t>
        </is>
      </c>
      <c r="E193" s="28" t="inlineStr">
        <is>
          <t>自無此惡况苦景也</t>
        </is>
      </c>
      <c r="F193" s="27" t="inlineStr">
        <is>
          <t>余曰</t>
        </is>
      </c>
      <c r="G193" s="26" t="n"/>
      <c r="H193" s="29" t="n"/>
      <c r="I193" s="30" t="n"/>
      <c r="J193" s="30" t="n"/>
      <c r="K193" s="30" t="n"/>
      <c r="L193" s="30" t="n"/>
      <c r="M193" s="31" t="n"/>
      <c r="N193" s="29" t="n"/>
      <c r="O193" s="31" t="n"/>
    </row>
    <row r="194" ht="15" customHeight="1" s="16">
      <c r="A194" s="26" t="n">
        <v>193</v>
      </c>
      <c r="B194" s="26" t="n">
        <v>41</v>
      </c>
      <c r="C194" s="26" t="n">
        <v>21</v>
      </c>
      <c r="D194" s="27" t="inlineStr">
        <is>
          <t>是日通行八十五里</t>
        </is>
      </c>
      <c r="E194" s="28" t="inlineStr">
        <is>
          <t>宿孤家子</t>
        </is>
      </c>
      <c r="F194" s="27" t="inlineStr">
        <is>
          <t>早發瀋陽至歌商樓</t>
        </is>
      </c>
      <c r="G194" s="26" t="n"/>
      <c r="H194" s="29" t="n"/>
      <c r="I194" s="30" t="n"/>
      <c r="J194" s="30" t="n"/>
      <c r="K194" s="30" t="n"/>
      <c r="L194" s="30" t="n"/>
      <c r="M194" s="31" t="n"/>
      <c r="N194" s="29" t="n"/>
      <c r="O194" s="31" t="n"/>
    </row>
    <row r="195" ht="15" customHeight="1" s="16">
      <c r="A195" s="26" t="n">
        <v>194</v>
      </c>
      <c r="B195" s="26" t="n">
        <v>41</v>
      </c>
      <c r="C195" s="26" t="n">
        <v>22</v>
      </c>
      <c r="D195" s="27" t="inlineStr">
        <is>
          <t>宿孤家子</t>
        </is>
      </c>
      <c r="E195" s="32" t="inlineStr">
        <is>
          <t>早發瀋陽至歌商樓</t>
        </is>
      </c>
      <c r="F195" s="27" t="inlineStr">
        <is>
          <t>獨裴寬出迎</t>
        </is>
      </c>
      <c r="G195" s="26" t="inlineStr">
        <is>
          <t>●</t>
        </is>
      </c>
      <c r="H195" s="29" t="n"/>
      <c r="I195" s="30" t="n"/>
      <c r="J195" s="30" t="n"/>
      <c r="K195" s="30" t="n"/>
      <c r="L195" s="30" t="n"/>
      <c r="M195" s="31" t="n"/>
      <c r="N195" s="29" t="n"/>
      <c r="O195" s="31" t="n"/>
    </row>
    <row r="196" ht="15" customHeight="1" s="16">
      <c r="A196" s="26" t="n">
        <v>195</v>
      </c>
      <c r="B196" s="26" t="n">
        <v>41</v>
      </c>
      <c r="C196" s="26" t="n">
        <v>23</v>
      </c>
      <c r="D196" s="27" t="inlineStr">
        <is>
          <t>早發瀋陽至歌商樓</t>
        </is>
      </c>
      <c r="E196" s="28" t="inlineStr">
        <is>
          <t>獨裴寬出迎</t>
        </is>
      </c>
      <c r="F196" s="27" t="inlineStr">
        <is>
          <t>溫伯</t>
        </is>
      </c>
      <c r="G196" s="26" t="n"/>
      <c r="H196" s="29" t="n"/>
      <c r="I196" s="30" t="n"/>
      <c r="J196" s="30" t="n"/>
      <c r="K196" s="30" t="n"/>
      <c r="L196" s="30" t="n"/>
      <c r="M196" s="31" t="n"/>
      <c r="N196" s="29" t="n"/>
      <c r="O196" s="31" t="n"/>
    </row>
    <row r="197" ht="15" customHeight="1" s="16">
      <c r="A197" s="26" t="n">
        <v>196</v>
      </c>
      <c r="B197" s="26" t="n">
        <v>41</v>
      </c>
      <c r="C197" s="26" t="n">
        <v>87</v>
      </c>
      <c r="D197" s="27" t="inlineStr">
        <is>
          <t>穩睡一頓</t>
        </is>
      </c>
      <c r="E197" s="28" t="inlineStr">
        <is>
          <t>精神始淸</t>
        </is>
      </c>
      <c r="F197" s="27" t="inlineStr">
        <is>
          <t>物色倍新</t>
        </is>
      </c>
      <c r="G197" s="26" t="n"/>
      <c r="H197" s="29" t="n"/>
      <c r="I197" s="30" t="n"/>
      <c r="J197" s="30" t="n"/>
      <c r="K197" s="30" t="n"/>
      <c r="L197" s="30" t="n"/>
      <c r="M197" s="31" t="n"/>
      <c r="N197" s="29" t="n"/>
      <c r="O197" s="31" t="n"/>
    </row>
    <row r="198" ht="15" customHeight="1" s="16">
      <c r="A198" s="26" t="n">
        <v>197</v>
      </c>
      <c r="B198" s="26" t="n">
        <v>41</v>
      </c>
      <c r="C198" s="26" t="n">
        <v>88</v>
      </c>
      <c r="D198" s="27" t="inlineStr">
        <is>
          <t>精神始淸</t>
        </is>
      </c>
      <c r="E198" s="32" t="inlineStr">
        <is>
          <t>物色倍新</t>
        </is>
      </c>
      <c r="F198" s="27" t="inlineStr">
        <is>
          <t>張福曰</t>
        </is>
      </c>
      <c r="G198" s="26" t="inlineStr">
        <is>
          <t>●</t>
        </is>
      </c>
      <c r="H198" s="29" t="n"/>
      <c r="I198" s="30" t="n"/>
      <c r="J198" s="30" t="n"/>
      <c r="K198" s="30" t="n"/>
      <c r="L198" s="30" t="n"/>
      <c r="M198" s="31" t="n"/>
      <c r="N198" s="29" t="n"/>
      <c r="O198" s="31" t="n"/>
    </row>
    <row r="199" ht="15" customHeight="1" s="16">
      <c r="A199" s="26" t="n">
        <v>198</v>
      </c>
      <c r="B199" s="26" t="n">
        <v>41</v>
      </c>
      <c r="C199" s="26" t="n">
        <v>89</v>
      </c>
      <c r="D199" s="27" t="inlineStr">
        <is>
          <t>物色倍新</t>
        </is>
      </c>
      <c r="E199" s="28" t="inlineStr">
        <is>
          <t>張福曰</t>
        </is>
      </c>
      <c r="F199" s="27" t="inlineStr">
        <is>
          <t>俄</t>
        </is>
      </c>
      <c r="G199" s="26" t="n"/>
      <c r="H199" s="29" t="n"/>
      <c r="I199" s="30" t="n"/>
      <c r="J199" s="30" t="n"/>
      <c r="K199" s="30" t="n"/>
      <c r="L199" s="30" t="n"/>
      <c r="M199" s="31" t="n"/>
      <c r="N199" s="29" t="n"/>
      <c r="O199" s="31" t="n"/>
    </row>
    <row r="200" ht="15" customHeight="1" s="16">
      <c r="A200" s="26" t="n">
        <v>199</v>
      </c>
      <c r="B200" s="26" t="n">
        <v>43</v>
      </c>
      <c r="C200" s="26" t="n">
        <v>3</v>
      </c>
      <c r="D200" s="27" t="inlineStr">
        <is>
          <t>召父鼎</t>
        </is>
      </c>
      <c r="E200" s="28" t="inlineStr">
        <is>
          <t>亞虎父鼎</t>
        </is>
      </c>
      <c r="F200" s="27" t="inlineStr">
        <is>
          <t>此商周上賞</t>
        </is>
      </c>
      <c r="G200" s="26" t="n"/>
      <c r="H200" s="29" t="n"/>
      <c r="I200" s="30" t="n"/>
      <c r="J200" s="30" t="n"/>
      <c r="K200" s="30" t="n"/>
      <c r="L200" s="30" t="n"/>
      <c r="M200" s="31" t="n"/>
      <c r="N200" s="29" t="n"/>
      <c r="O200" s="31" t="n"/>
    </row>
    <row r="201" ht="15" customHeight="1" s="16">
      <c r="A201" s="26" t="n">
        <v>200</v>
      </c>
      <c r="B201" s="26" t="n">
        <v>43</v>
      </c>
      <c r="C201" s="26" t="n">
        <v>4</v>
      </c>
      <c r="D201" s="27" t="inlineStr">
        <is>
          <t>亞虎父鼎</t>
        </is>
      </c>
      <c r="E201" s="32" t="inlineStr">
        <is>
          <t>此商周上賞</t>
        </is>
      </c>
      <c r="F201" s="27" t="inlineStr">
        <is>
          <t>周王伯鼎</t>
        </is>
      </c>
      <c r="G201" s="26" t="inlineStr">
        <is>
          <t>●</t>
        </is>
      </c>
      <c r="H201" s="29" t="n"/>
      <c r="I201" s="30" t="n"/>
      <c r="J201" s="30" t="n"/>
      <c r="K201" s="30" t="n"/>
      <c r="L201" s="30" t="n"/>
      <c r="M201" s="31" t="n"/>
      <c r="N201" s="29" t="n"/>
      <c r="O201" s="31" t="n"/>
    </row>
    <row r="202" ht="15" customHeight="1" s="16">
      <c r="A202" s="26" t="n">
        <v>201</v>
      </c>
      <c r="B202" s="26" t="n">
        <v>43</v>
      </c>
      <c r="C202" s="26" t="n">
        <v>5</v>
      </c>
      <c r="D202" s="27" t="inlineStr">
        <is>
          <t>此商周上賞</t>
        </is>
      </c>
      <c r="E202" s="28" t="inlineStr">
        <is>
          <t>周王伯鼎</t>
        </is>
      </c>
      <c r="F202" s="27" t="inlineStr">
        <is>
          <t>單徒鼎</t>
        </is>
      </c>
      <c r="G202" s="26" t="n"/>
      <c r="H202" s="29" t="n"/>
      <c r="I202" s="30" t="n"/>
      <c r="J202" s="30" t="n"/>
      <c r="K202" s="30" t="n"/>
      <c r="L202" s="30" t="n"/>
      <c r="M202" s="31" t="n"/>
      <c r="N202" s="29" t="n"/>
      <c r="O202" s="31" t="n"/>
    </row>
    <row r="203" ht="15" customHeight="1" s="16">
      <c r="A203" s="26" t="n">
        <v>202</v>
      </c>
      <c r="B203" s="26" t="n">
        <v>43</v>
      </c>
      <c r="C203" s="26" t="n">
        <v>11</v>
      </c>
      <c r="D203" s="27" t="inlineStr">
        <is>
          <t>最宜書齋</t>
        </is>
      </c>
      <c r="E203" s="28" t="inlineStr">
        <is>
          <t>薰燎</t>
        </is>
      </c>
      <c r="F203" s="27" t="inlineStr">
        <is>
          <t>商父乙鼎</t>
        </is>
      </c>
      <c r="G203" s="26" t="n"/>
      <c r="H203" s="29" t="n"/>
      <c r="I203" s="30" t="n"/>
      <c r="J203" s="30" t="n"/>
      <c r="K203" s="30" t="n"/>
      <c r="L203" s="30" t="n"/>
      <c r="M203" s="31" t="n"/>
      <c r="N203" s="29" t="n"/>
      <c r="O203" s="31" t="n"/>
    </row>
    <row r="204" ht="15" customHeight="1" s="16">
      <c r="A204" s="26" t="n">
        <v>203</v>
      </c>
      <c r="B204" s="26" t="n">
        <v>43</v>
      </c>
      <c r="C204" s="26" t="n">
        <v>12</v>
      </c>
      <c r="D204" s="27" t="inlineStr">
        <is>
          <t>薰燎</t>
        </is>
      </c>
      <c r="E204" s="32" t="inlineStr">
        <is>
          <t>商父乙鼎</t>
        </is>
      </c>
      <c r="F204" s="27" t="inlineStr">
        <is>
          <t>父已鼎</t>
        </is>
      </c>
      <c r="G204" s="26" t="inlineStr">
        <is>
          <t>●</t>
        </is>
      </c>
      <c r="H204" s="29" t="n"/>
      <c r="I204" s="30" t="n"/>
      <c r="J204" s="30" t="n"/>
      <c r="K204" s="30" t="n"/>
      <c r="L204" s="30" t="n"/>
      <c r="M204" s="31" t="n"/>
      <c r="N204" s="29" t="n"/>
      <c r="O204" s="31" t="n"/>
    </row>
    <row r="205" ht="15" customHeight="1" s="16">
      <c r="A205" s="26" t="n">
        <v>204</v>
      </c>
      <c r="B205" s="26" t="n">
        <v>43</v>
      </c>
      <c r="C205" s="26" t="n">
        <v>13</v>
      </c>
      <c r="D205" s="27" t="inlineStr">
        <is>
          <t>商父乙鼎</t>
        </is>
      </c>
      <c r="E205" s="28" t="inlineStr">
        <is>
          <t>父已鼎</t>
        </is>
      </c>
      <c r="F205" s="27" t="inlineStr">
        <is>
          <t>父癸鼎</t>
        </is>
      </c>
      <c r="G205" s="26" t="n"/>
      <c r="H205" s="29" t="n"/>
      <c r="I205" s="30" t="n"/>
      <c r="J205" s="30" t="n"/>
      <c r="K205" s="30" t="n"/>
      <c r="L205" s="30" t="n"/>
      <c r="M205" s="31" t="n"/>
      <c r="N205" s="29" t="n"/>
      <c r="O205" s="31" t="n"/>
    </row>
    <row r="206" ht="15" customHeight="1" s="16">
      <c r="A206" s="26" t="n">
        <v>205</v>
      </c>
      <c r="B206" s="26" t="n">
        <v>43</v>
      </c>
      <c r="C206" s="26" t="n">
        <v>14</v>
      </c>
      <c r="D206" s="27" t="inlineStr">
        <is>
          <t>父已鼎</t>
        </is>
      </c>
      <c r="E206" s="28" t="inlineStr">
        <is>
          <t>父癸鼎</t>
        </is>
      </c>
      <c r="F206" s="27" t="inlineStr">
        <is>
          <t>商子鼎</t>
        </is>
      </c>
      <c r="G206" s="26" t="n"/>
      <c r="H206" s="29" t="n"/>
      <c r="I206" s="30" t="n"/>
      <c r="J206" s="30" t="n"/>
      <c r="K206" s="30" t="n"/>
      <c r="L206" s="30" t="n"/>
      <c r="M206" s="31" t="n"/>
      <c r="N206" s="29" t="n"/>
      <c r="O206" s="31" t="n"/>
    </row>
    <row r="207" ht="15" customHeight="1" s="16">
      <c r="A207" s="26" t="n">
        <v>206</v>
      </c>
      <c r="B207" s="26" t="n">
        <v>43</v>
      </c>
      <c r="C207" s="26" t="n">
        <v>15</v>
      </c>
      <c r="D207" s="27" t="inlineStr">
        <is>
          <t>父癸鼎</t>
        </is>
      </c>
      <c r="E207" s="32" t="inlineStr">
        <is>
          <t>商子鼎</t>
        </is>
      </c>
      <c r="F207" s="27" t="inlineStr">
        <is>
          <t>秉仲鼎</t>
        </is>
      </c>
      <c r="G207" s="26" t="inlineStr">
        <is>
          <t>●</t>
        </is>
      </c>
      <c r="H207" s="29" t="n"/>
      <c r="I207" s="30" t="n"/>
      <c r="J207" s="30" t="n"/>
      <c r="K207" s="30" t="n"/>
      <c r="L207" s="30" t="n"/>
      <c r="M207" s="31" t="n"/>
      <c r="N207" s="29" t="n"/>
      <c r="O207" s="31" t="n"/>
    </row>
    <row r="208" ht="15" customHeight="1" s="16">
      <c r="A208" s="26" t="n">
        <v>207</v>
      </c>
      <c r="B208" s="26" t="n">
        <v>43</v>
      </c>
      <c r="C208" s="26" t="n">
        <v>16</v>
      </c>
      <c r="D208" s="27" t="inlineStr">
        <is>
          <t>商子鼎</t>
        </is>
      </c>
      <c r="E208" s="28" t="inlineStr">
        <is>
          <t>秉仲鼎</t>
        </is>
      </c>
      <c r="F208" s="27" t="inlineStr">
        <is>
          <t>饕餮鼎</t>
        </is>
      </c>
      <c r="G208" s="26" t="n"/>
      <c r="H208" s="29" t="n"/>
      <c r="I208" s="30" t="n"/>
      <c r="J208" s="30" t="n"/>
      <c r="K208" s="30" t="n"/>
      <c r="L208" s="30" t="n"/>
      <c r="M208" s="31" t="n"/>
      <c r="N208" s="29" t="n"/>
      <c r="O208" s="31" t="n"/>
    </row>
    <row r="209" ht="15" customHeight="1" s="16">
      <c r="A209" s="26" t="n">
        <v>208</v>
      </c>
      <c r="B209" s="26" t="n">
        <v>43</v>
      </c>
      <c r="C209" s="26" t="n">
        <v>18</v>
      </c>
      <c r="D209" s="27" t="inlineStr">
        <is>
          <t>饕餮鼎</t>
        </is>
      </c>
      <c r="E209" s="28" t="inlineStr">
        <is>
          <t>李婦鼎</t>
        </is>
      </c>
      <c r="F209" s="27" t="inlineStr">
        <is>
          <t>商魚鼎</t>
        </is>
      </c>
      <c r="G209" s="26" t="n"/>
      <c r="H209" s="29" t="n"/>
      <c r="I209" s="30" t="n"/>
      <c r="J209" s="30" t="n"/>
      <c r="K209" s="30" t="n"/>
      <c r="L209" s="30" t="n"/>
      <c r="M209" s="31" t="n"/>
      <c r="N209" s="29" t="n"/>
      <c r="O209" s="31" t="n"/>
    </row>
    <row r="210" ht="15" customHeight="1" s="16">
      <c r="A210" s="26" t="n">
        <v>209</v>
      </c>
      <c r="B210" s="26" t="n">
        <v>43</v>
      </c>
      <c r="C210" s="26" t="n">
        <v>19</v>
      </c>
      <c r="D210" s="27" t="inlineStr">
        <is>
          <t>李婦鼎</t>
        </is>
      </c>
      <c r="E210" s="32" t="inlineStr">
        <is>
          <t>商魚鼎</t>
        </is>
      </c>
      <c r="F210" s="27" t="inlineStr">
        <is>
          <t>周益鼎</t>
        </is>
      </c>
      <c r="G210" s="26" t="inlineStr">
        <is>
          <t>●</t>
        </is>
      </c>
      <c r="H210" s="29" t="n"/>
      <c r="I210" s="30" t="n"/>
      <c r="J210" s="30" t="n"/>
      <c r="K210" s="30" t="n"/>
      <c r="L210" s="30" t="n"/>
      <c r="M210" s="31" t="n"/>
      <c r="N210" s="29" t="n"/>
      <c r="O210" s="31" t="n"/>
    </row>
    <row r="211" ht="15" customHeight="1" s="16">
      <c r="A211" s="26" t="n">
        <v>210</v>
      </c>
      <c r="B211" s="26" t="n">
        <v>43</v>
      </c>
      <c r="C211" s="26" t="n">
        <v>20</v>
      </c>
      <c r="D211" s="27" t="inlineStr">
        <is>
          <t>商魚鼎</t>
        </is>
      </c>
      <c r="E211" s="28" t="inlineStr">
        <is>
          <t>周益鼎</t>
        </is>
      </c>
      <c r="F211" s="27" t="inlineStr">
        <is>
          <t>商乙毛鼎</t>
        </is>
      </c>
      <c r="G211" s="26" t="n"/>
      <c r="H211" s="29" t="n"/>
      <c r="I211" s="30" t="n"/>
      <c r="J211" s="30" t="n"/>
      <c r="K211" s="30" t="n"/>
      <c r="L211" s="30" t="n"/>
      <c r="M211" s="31" t="n"/>
      <c r="N211" s="29" t="n"/>
      <c r="O211" s="31" t="n"/>
    </row>
    <row r="212" ht="15" customHeight="1" s="16">
      <c r="A212" s="26" t="n">
        <v>211</v>
      </c>
      <c r="B212" s="26" t="n">
        <v>43</v>
      </c>
      <c r="C212" s="26" t="n">
        <v>21</v>
      </c>
      <c r="D212" s="27" t="inlineStr">
        <is>
          <t>周益鼎</t>
        </is>
      </c>
      <c r="E212" s="32" t="inlineStr">
        <is>
          <t>商乙毛鼎</t>
        </is>
      </c>
      <c r="F212" s="27" t="inlineStr">
        <is>
          <t>父甲鼎</t>
        </is>
      </c>
      <c r="G212" s="26" t="inlineStr">
        <is>
          <t>●</t>
        </is>
      </c>
      <c r="H212" s="29" t="n"/>
      <c r="I212" s="30" t="n"/>
      <c r="J212" s="30" t="n"/>
      <c r="K212" s="30" t="n"/>
      <c r="L212" s="30" t="n"/>
      <c r="M212" s="31" t="n"/>
      <c r="N212" s="29" t="n"/>
      <c r="O212" s="31" t="n"/>
    </row>
    <row r="213" ht="15" customHeight="1" s="16">
      <c r="A213" s="26" t="n">
        <v>212</v>
      </c>
      <c r="B213" s="26" t="n">
        <v>43</v>
      </c>
      <c r="C213" s="26" t="n">
        <v>22</v>
      </c>
      <c r="D213" s="27" t="inlineStr">
        <is>
          <t>商乙毛鼎</t>
        </is>
      </c>
      <c r="E213" s="28" t="inlineStr">
        <is>
          <t>父甲鼎</t>
        </is>
      </c>
      <c r="F213" s="27" t="inlineStr">
        <is>
          <t>此皆元時姜娘子倣鑄</t>
        </is>
      </c>
      <c r="G213" s="26" t="n"/>
      <c r="H213" s="29" t="n"/>
      <c r="I213" s="30" t="n"/>
      <c r="J213" s="30" t="n"/>
      <c r="K213" s="30" t="n"/>
      <c r="L213" s="30" t="n"/>
      <c r="M213" s="31" t="n"/>
      <c r="N213" s="29" t="n"/>
      <c r="O213" s="31" t="n"/>
    </row>
    <row r="214" ht="15" customHeight="1" s="16">
      <c r="A214" s="26" t="n">
        <v>213</v>
      </c>
      <c r="B214" s="26" t="n">
        <v>43</v>
      </c>
      <c r="C214" s="26" t="n">
        <v>35</v>
      </c>
      <c r="D214" s="27" t="inlineStr">
        <is>
          <t>兕敦</t>
        </is>
      </c>
      <c r="E214" s="28" t="inlineStr">
        <is>
          <t>翼敦</t>
        </is>
      </c>
      <c r="F214" s="27" t="inlineStr">
        <is>
          <t>商母乙鬲</t>
        </is>
      </c>
      <c r="G214" s="26" t="n"/>
      <c r="H214" s="29" t="n"/>
      <c r="I214" s="30" t="n"/>
      <c r="J214" s="30" t="n"/>
      <c r="K214" s="30" t="n"/>
      <c r="L214" s="30" t="n"/>
      <c r="M214" s="31" t="n"/>
      <c r="N214" s="29" t="n"/>
      <c r="O214" s="31" t="n"/>
    </row>
    <row r="215" ht="15" customHeight="1" s="16">
      <c r="A215" s="26" t="n">
        <v>214</v>
      </c>
      <c r="B215" s="26" t="n">
        <v>43</v>
      </c>
      <c r="C215" s="26" t="n">
        <v>36</v>
      </c>
      <c r="D215" s="27" t="inlineStr">
        <is>
          <t>翼敦</t>
        </is>
      </c>
      <c r="E215" s="32" t="inlineStr">
        <is>
          <t>商母乙鬲</t>
        </is>
      </c>
      <c r="F215" s="27" t="inlineStr">
        <is>
          <t>周蔑敖鬲</t>
        </is>
      </c>
      <c r="G215" s="26" t="inlineStr">
        <is>
          <t>●</t>
        </is>
      </c>
      <c r="H215" s="29" t="n"/>
      <c r="I215" s="30" t="n"/>
      <c r="J215" s="30" t="n"/>
      <c r="K215" s="30" t="n"/>
      <c r="L215" s="30" t="n"/>
      <c r="M215" s="31" t="n"/>
      <c r="N215" s="29" t="n"/>
      <c r="O215" s="31" t="n"/>
    </row>
    <row r="216" ht="15" customHeight="1" s="16">
      <c r="A216" s="26" t="n">
        <v>215</v>
      </c>
      <c r="B216" s="26" t="n">
        <v>43</v>
      </c>
      <c r="C216" s="26" t="n">
        <v>37</v>
      </c>
      <c r="D216" s="27" t="inlineStr">
        <is>
          <t>商母乙鬲</t>
        </is>
      </c>
      <c r="E216" s="28" t="inlineStr">
        <is>
          <t>周蔑敖鬲</t>
        </is>
      </c>
      <c r="F216" s="27" t="inlineStr">
        <is>
          <t>商虎首彛</t>
        </is>
      </c>
      <c r="G216" s="26" t="n"/>
      <c r="H216" s="29" t="n"/>
      <c r="I216" s="30" t="n"/>
      <c r="J216" s="30" t="n"/>
      <c r="K216" s="30" t="n"/>
      <c r="L216" s="30" t="n"/>
      <c r="M216" s="31" t="n"/>
      <c r="N216" s="29" t="n"/>
      <c r="O216" s="31" t="n"/>
    </row>
    <row r="217" ht="15" customHeight="1" s="16">
      <c r="A217" s="26" t="n">
        <v>216</v>
      </c>
      <c r="B217" s="26" t="n">
        <v>43</v>
      </c>
      <c r="C217" s="26" t="n">
        <v>38</v>
      </c>
      <c r="D217" s="27" t="inlineStr">
        <is>
          <t>周蔑敖鬲</t>
        </is>
      </c>
      <c r="E217" s="32" t="inlineStr">
        <is>
          <t>商虎首彛</t>
        </is>
      </c>
      <c r="F217" s="27" t="inlineStr">
        <is>
          <t>周辛彛</t>
        </is>
      </c>
      <c r="G217" s="26" t="inlineStr">
        <is>
          <t>●</t>
        </is>
      </c>
      <c r="H217" s="29" t="n"/>
      <c r="I217" s="30" t="n"/>
      <c r="J217" s="30" t="n"/>
      <c r="K217" s="30" t="n"/>
      <c r="L217" s="30" t="n"/>
      <c r="M217" s="31" t="n"/>
      <c r="N217" s="29" t="n"/>
      <c r="O217" s="31" t="n"/>
    </row>
    <row r="218" ht="15" customHeight="1" s="16">
      <c r="A218" s="26" t="n">
        <v>217</v>
      </c>
      <c r="B218" s="26" t="n">
        <v>43</v>
      </c>
      <c r="C218" s="26" t="n">
        <v>39</v>
      </c>
      <c r="D218" s="27" t="inlineStr">
        <is>
          <t>商虎首彛</t>
        </is>
      </c>
      <c r="E218" s="28" t="inlineStr">
        <is>
          <t>周辛彛</t>
        </is>
      </c>
      <c r="F218" s="27" t="inlineStr">
        <is>
          <t>已上俱載博古圖中</t>
        </is>
      </c>
      <c r="G218" s="26" t="n"/>
      <c r="H218" s="29" t="n"/>
      <c r="I218" s="30" t="n"/>
      <c r="J218" s="30" t="n"/>
      <c r="K218" s="30" t="n"/>
      <c r="L218" s="30" t="n"/>
      <c r="M218" s="31" t="n"/>
      <c r="N218" s="29" t="n"/>
      <c r="O218" s="31" t="n"/>
    </row>
    <row r="219" ht="15" customHeight="1" s="16">
      <c r="A219" s="26" t="n">
        <v>218</v>
      </c>
      <c r="B219" s="26" t="n">
        <v>44</v>
      </c>
      <c r="C219" s="26" t="n">
        <v>12</v>
      </c>
      <c r="D219" s="27" t="inlineStr">
        <is>
          <t>蝨緣蚤跳</t>
        </is>
      </c>
      <c r="E219" s="28" t="inlineStr">
        <is>
          <t>闖處廠間</t>
        </is>
      </c>
      <c r="F219" s="27" t="inlineStr">
        <is>
          <t>濫呼湧價</t>
        </is>
      </c>
      <c r="G219" s="26" t="n"/>
      <c r="H219" s="29" t="n"/>
      <c r="I219" s="30" t="n"/>
      <c r="J219" s="30" t="n"/>
      <c r="K219" s="30" t="n"/>
      <c r="L219" s="30" t="n"/>
      <c r="M219" s="31" t="n"/>
      <c r="N219" s="29" t="n"/>
      <c r="O219" s="31" t="n"/>
    </row>
    <row r="220" ht="15" customHeight="1" s="16">
      <c r="A220" s="26" t="n">
        <v>219</v>
      </c>
      <c r="B220" s="26" t="n">
        <v>44</v>
      </c>
      <c r="C220" s="26" t="n">
        <v>13</v>
      </c>
      <c r="D220" s="27" t="inlineStr">
        <is>
          <t>闖處廠間</t>
        </is>
      </c>
      <c r="E220" s="32" t="inlineStr">
        <is>
          <t>濫呼湧價</t>
        </is>
      </c>
      <c r="F220" s="27" t="inlineStr">
        <is>
          <t>不翅十倍</t>
        </is>
      </c>
      <c r="G220" s="26" t="inlineStr">
        <is>
          <t>●</t>
        </is>
      </c>
      <c r="H220" s="29" t="n"/>
      <c r="I220" s="30" t="n"/>
      <c r="J220" s="30" t="n"/>
      <c r="K220" s="30" t="n"/>
      <c r="L220" s="30" t="n"/>
      <c r="M220" s="31" t="n"/>
      <c r="N220" s="29" t="n"/>
      <c r="O220" s="31" t="n"/>
    </row>
    <row r="221" ht="15" customHeight="1" s="16">
      <c r="A221" s="26" t="n">
        <v>220</v>
      </c>
      <c r="B221" s="26" t="n">
        <v>44</v>
      </c>
      <c r="C221" s="26" t="n">
        <v>14</v>
      </c>
      <c r="D221" s="27" t="inlineStr">
        <is>
          <t>濫呼湧價</t>
        </is>
      </c>
      <c r="E221" s="32" t="inlineStr">
        <is>
          <t>不翅十倍</t>
        </is>
      </c>
      <c r="F221" s="27" t="inlineStr">
        <is>
          <t>甘言利口</t>
        </is>
      </c>
      <c r="G221" s="26" t="inlineStr">
        <is>
          <t>●</t>
        </is>
      </c>
      <c r="H221" s="29" t="n"/>
      <c r="I221" s="30" t="n"/>
      <c r="J221" s="30" t="n"/>
      <c r="K221" s="30" t="n"/>
      <c r="L221" s="30" t="n"/>
      <c r="M221" s="31" t="n"/>
      <c r="N221" s="29" t="n"/>
      <c r="O221" s="31" t="n"/>
    </row>
    <row r="222" ht="15" customHeight="1" s="16">
      <c r="A222" s="26" t="n">
        <v>221</v>
      </c>
      <c r="B222" s="26" t="n">
        <v>44</v>
      </c>
      <c r="C222" s="26" t="n">
        <v>15</v>
      </c>
      <c r="D222" s="27" t="inlineStr">
        <is>
          <t>不翅十倍</t>
        </is>
      </c>
      <c r="E222" s="32" t="inlineStr">
        <is>
          <t>甘言利口</t>
        </is>
      </c>
      <c r="F222" s="27" t="inlineStr">
        <is>
          <t>鎔人鐵膓</t>
        </is>
      </c>
      <c r="G222" s="26" t="inlineStr">
        <is>
          <t>●</t>
        </is>
      </c>
      <c r="H222" s="29" t="n"/>
      <c r="I222" s="30" t="n"/>
      <c r="J222" s="30" t="n"/>
      <c r="K222" s="30" t="n"/>
      <c r="L222" s="30" t="n"/>
      <c r="M222" s="31" t="n"/>
      <c r="N222" s="29" t="n"/>
      <c r="O222" s="31" t="n"/>
    </row>
    <row r="223" ht="15" customHeight="1" s="16">
      <c r="A223" s="26" t="n">
        <v>222</v>
      </c>
      <c r="B223" s="26" t="n">
        <v>44</v>
      </c>
      <c r="C223" s="26" t="n">
        <v>16</v>
      </c>
      <c r="D223" s="27" t="inlineStr">
        <is>
          <t>甘言利口</t>
        </is>
      </c>
      <c r="E223" s="28" t="inlineStr">
        <is>
          <t>鎔人鐵膓</t>
        </is>
      </c>
      <c r="F223" s="27" t="inlineStr">
        <is>
          <t>僕這一路</t>
        </is>
      </c>
      <c r="G223" s="26" t="n"/>
      <c r="H223" s="29" t="n"/>
      <c r="I223" s="30" t="n"/>
      <c r="J223" s="30" t="n"/>
      <c r="K223" s="30" t="n"/>
      <c r="L223" s="30" t="n"/>
      <c r="M223" s="31" t="n"/>
      <c r="N223" s="29" t="n"/>
      <c r="O223" s="31" t="n"/>
    </row>
    <row r="224" ht="15" customHeight="1" s="16">
      <c r="A224" s="26" t="n">
        <v>223</v>
      </c>
      <c r="B224" s="26" t="n">
        <v>44</v>
      </c>
      <c r="C224" s="26" t="n">
        <v>35</v>
      </c>
      <c r="D224" s="27" t="inlineStr">
        <is>
          <t>其勢則然</t>
        </is>
      </c>
      <c r="E224" s="28" t="inlineStr">
        <is>
          <t>所可恨者</t>
        </is>
      </c>
      <c r="F224" s="27" t="inlineStr">
        <is>
          <t>兼輸買笑之直</t>
        </is>
      </c>
      <c r="G224" s="26" t="n"/>
      <c r="H224" s="29" t="n"/>
      <c r="I224" s="30" t="n"/>
      <c r="J224" s="30" t="n"/>
      <c r="K224" s="30" t="n"/>
      <c r="L224" s="30" t="n"/>
      <c r="M224" s="31" t="n"/>
      <c r="N224" s="29" t="n"/>
      <c r="O224" s="31" t="n"/>
    </row>
    <row r="225" ht="15" customHeight="1" s="16">
      <c r="A225" s="26" t="n">
        <v>224</v>
      </c>
      <c r="B225" s="26" t="n">
        <v>44</v>
      </c>
      <c r="C225" s="26" t="n">
        <v>36</v>
      </c>
      <c r="D225" s="27" t="inlineStr">
        <is>
          <t>所可恨者</t>
        </is>
      </c>
      <c r="E225" s="32" t="inlineStr">
        <is>
          <t>兼輸買笑之直</t>
        </is>
      </c>
      <c r="F225" s="27" t="inlineStr">
        <is>
          <t>是所謂重利盜跖也</t>
        </is>
      </c>
      <c r="G225" s="26" t="inlineStr">
        <is>
          <t>●</t>
        </is>
      </c>
      <c r="H225" s="29" t="n"/>
      <c r="I225" s="30" t="n"/>
      <c r="J225" s="30" t="n"/>
      <c r="K225" s="30" t="n"/>
      <c r="L225" s="30" t="n"/>
      <c r="M225" s="31" t="n"/>
      <c r="N225" s="29" t="n"/>
      <c r="O225" s="31" t="n"/>
    </row>
    <row r="226" ht="15" customHeight="1" s="16">
      <c r="A226" s="26" t="n">
        <v>225</v>
      </c>
      <c r="B226" s="26" t="n">
        <v>44</v>
      </c>
      <c r="C226" s="26" t="n">
        <v>37</v>
      </c>
      <c r="D226" s="27" t="inlineStr">
        <is>
          <t>兼輸買笑之直</t>
        </is>
      </c>
      <c r="E226" s="32" t="inlineStr">
        <is>
          <t>是所謂重利盜跖也</t>
        </is>
      </c>
      <c r="F226" s="27" t="inlineStr">
        <is>
          <t>今送足下入都</t>
        </is>
      </c>
      <c r="G226" s="26" t="inlineStr">
        <is>
          <t>●</t>
        </is>
      </c>
      <c r="H226" s="29" t="n"/>
      <c r="I226" s="30" t="n"/>
      <c r="J226" s="30" t="n"/>
      <c r="K226" s="30" t="n"/>
      <c r="L226" s="30" t="n"/>
      <c r="M226" s="31" t="n"/>
      <c r="N226" s="29" t="n"/>
      <c r="O226" s="31" t="n"/>
    </row>
    <row r="227" ht="15" customHeight="1" s="16">
      <c r="A227" s="26" t="n">
        <v>226</v>
      </c>
      <c r="B227" s="26" t="n">
        <v>44</v>
      </c>
      <c r="C227" s="26" t="n">
        <v>38</v>
      </c>
      <c r="D227" s="27" t="inlineStr">
        <is>
          <t>是所謂重利盜跖也</t>
        </is>
      </c>
      <c r="E227" s="28" t="inlineStr">
        <is>
          <t>今送足下入都</t>
        </is>
      </c>
      <c r="F227" s="27" t="inlineStr">
        <is>
          <t>所以眷眷貢愚者</t>
        </is>
      </c>
      <c r="G227" s="26" t="n"/>
      <c r="H227" s="29" t="n"/>
      <c r="I227" s="30" t="n"/>
      <c r="J227" s="30" t="n"/>
      <c r="K227" s="30" t="n"/>
      <c r="L227" s="30" t="n"/>
      <c r="M227" s="31" t="n"/>
      <c r="N227" s="29" t="n"/>
      <c r="O227" s="31" t="n"/>
    </row>
    <row r="228" ht="15" customHeight="1" s="16">
      <c r="A228" s="26" t="n">
        <v>227</v>
      </c>
      <c r="B228" s="26" t="n">
        <v>44</v>
      </c>
      <c r="C228" s="26" t="n">
        <v>39</v>
      </c>
      <c r="D228" s="27" t="inlineStr">
        <is>
          <t>今送足下入都</t>
        </is>
      </c>
      <c r="E228" s="32" t="inlineStr">
        <is>
          <t>所以眷眷貢愚者</t>
        </is>
      </c>
      <c r="F228" s="27" t="inlineStr">
        <is>
          <t>誠爲異邦君子</t>
        </is>
      </c>
      <c r="G228" s="26" t="inlineStr">
        <is>
          <t>●</t>
        </is>
      </c>
      <c r="H228" s="29" t="n"/>
      <c r="I228" s="30" t="n"/>
      <c r="J228" s="30" t="n"/>
      <c r="K228" s="30" t="n"/>
      <c r="L228" s="30" t="n"/>
      <c r="M228" s="31" t="n"/>
      <c r="N228" s="29" t="n"/>
      <c r="O228" s="31" t="n"/>
    </row>
    <row r="229" ht="15" customHeight="1" s="16">
      <c r="A229" s="26" t="n">
        <v>228</v>
      </c>
      <c r="B229" s="26" t="n">
        <v>44</v>
      </c>
      <c r="C229" s="26" t="n">
        <v>40</v>
      </c>
      <c r="D229" s="27" t="inlineStr">
        <is>
          <t>所以眷眷貢愚者</t>
        </is>
      </c>
      <c r="E229" s="28" t="inlineStr">
        <is>
          <t>誠爲異邦君子</t>
        </is>
      </c>
      <c r="F229" s="27" t="inlineStr">
        <is>
          <t>他日東還</t>
        </is>
      </c>
      <c r="G229" s="26" t="n"/>
      <c r="H229" s="29" t="n"/>
      <c r="I229" s="30" t="n"/>
      <c r="J229" s="30" t="n"/>
      <c r="K229" s="30" t="n"/>
      <c r="L229" s="30" t="n"/>
      <c r="M229" s="31" t="n"/>
      <c r="N229" s="29" t="n"/>
      <c r="O229" s="31" t="n"/>
    </row>
    <row r="230" ht="15" customHeight="1" s="16">
      <c r="A230" s="26" t="n">
        <v>229</v>
      </c>
      <c r="B230" s="26" t="n">
        <v>44</v>
      </c>
      <c r="C230" s="26" t="n">
        <v>79</v>
      </c>
      <c r="D230" s="27" t="inlineStr">
        <is>
          <t>時必不見外</t>
        </is>
      </c>
      <c r="E230" s="28" t="inlineStr">
        <is>
          <t>並囑台村爲人磊落</t>
        </is>
      </c>
      <c r="F230" s="27" t="inlineStr">
        <is>
          <t>一見可契</t>
        </is>
      </c>
      <c r="G230" s="26" t="n"/>
      <c r="H230" s="29" t="n"/>
      <c r="I230" s="30" t="n"/>
      <c r="J230" s="30" t="n"/>
      <c r="K230" s="30" t="n"/>
      <c r="L230" s="30" t="n"/>
      <c r="M230" s="31" t="n"/>
      <c r="N230" s="29" t="n"/>
      <c r="O230" s="31" t="n"/>
    </row>
    <row r="231" ht="15" customHeight="1" s="16">
      <c r="A231" s="26" t="n">
        <v>230</v>
      </c>
      <c r="B231" s="26" t="n">
        <v>44</v>
      </c>
      <c r="C231" s="26" t="n">
        <v>80</v>
      </c>
      <c r="D231" s="27" t="inlineStr">
        <is>
          <t>並囑台村爲人磊落</t>
        </is>
      </c>
      <c r="E231" s="32" t="inlineStr">
        <is>
          <t>一見可契</t>
        </is>
      </c>
      <c r="F231" s="27" t="inlineStr">
        <is>
          <t>庶無誤薦之辜</t>
        </is>
      </c>
      <c r="G231" s="26" t="inlineStr">
        <is>
          <t>●</t>
        </is>
      </c>
      <c r="H231" s="29" t="n"/>
      <c r="I231" s="30" t="n"/>
      <c r="J231" s="30" t="n"/>
      <c r="K231" s="30" t="n"/>
      <c r="L231" s="30" t="n"/>
      <c r="M231" s="31" t="n"/>
      <c r="N231" s="29" t="n"/>
      <c r="O231" s="31" t="n"/>
    </row>
    <row r="232" ht="15" customHeight="1" s="16">
      <c r="A232" s="26" t="n">
        <v>231</v>
      </c>
      <c r="B232" s="26" t="n">
        <v>44</v>
      </c>
      <c r="C232" s="26" t="n">
        <v>81</v>
      </c>
      <c r="D232" s="27" t="inlineStr">
        <is>
          <t>一見可契</t>
        </is>
      </c>
      <c r="E232" s="28" t="inlineStr">
        <is>
          <t>庶無誤薦之辜</t>
        </is>
      </c>
      <c r="F232" s="27" t="inlineStr">
        <is>
          <t>並希朴公老爺</t>
        </is>
      </c>
      <c r="G232" s="26" t="n"/>
      <c r="H232" s="29" t="n"/>
      <c r="I232" s="30" t="n"/>
      <c r="J232" s="30" t="n"/>
      <c r="K232" s="30" t="n"/>
      <c r="L232" s="30" t="n"/>
      <c r="M232" s="31" t="n"/>
      <c r="N232" s="29" t="n"/>
      <c r="O232" s="31" t="n"/>
    </row>
    <row r="233" ht="15" customHeight="1" s="16">
      <c r="A233" s="26" t="n">
        <v>232</v>
      </c>
      <c r="B233" s="26" t="n">
        <v>45</v>
      </c>
      <c r="C233" s="26" t="n">
        <v>32</v>
      </c>
      <c r="D233" s="27" t="inlineStr">
        <is>
          <t>行不數里</t>
        </is>
      </c>
      <c r="E233" s="28" t="inlineStr">
        <is>
          <t>白霧漫漫</t>
        </is>
      </c>
      <c r="F233" s="27" t="inlineStr">
        <is>
          <t>大野浸成水銀</t>
        </is>
      </c>
      <c r="G233" s="26" t="n"/>
      <c r="H233" s="29" t="n"/>
      <c r="I233" s="30" t="n"/>
      <c r="J233" s="30" t="n"/>
      <c r="K233" s="30" t="n"/>
      <c r="L233" s="30" t="n"/>
      <c r="M233" s="31" t="n"/>
      <c r="N233" s="29" t="n"/>
      <c r="O233" s="31" t="n"/>
    </row>
    <row r="234" ht="15" customHeight="1" s="16">
      <c r="A234" s="26" t="n">
        <v>233</v>
      </c>
      <c r="B234" s="26" t="n">
        <v>45</v>
      </c>
      <c r="C234" s="26" t="n">
        <v>33</v>
      </c>
      <c r="D234" s="27" t="inlineStr">
        <is>
          <t>白霧漫漫</t>
        </is>
      </c>
      <c r="E234" s="32" t="inlineStr">
        <is>
          <t>大野浸成水銀</t>
        </is>
      </c>
      <c r="F234" s="27" t="inlineStr">
        <is>
          <t>海</t>
        </is>
      </c>
      <c r="G234" s="26" t="inlineStr">
        <is>
          <t>●</t>
        </is>
      </c>
      <c r="H234" s="29" t="n"/>
      <c r="I234" s="30" t="n"/>
      <c r="J234" s="30" t="n"/>
      <c r="K234" s="30" t="n"/>
      <c r="L234" s="30" t="n"/>
      <c r="M234" s="31" t="n"/>
      <c r="N234" s="29" t="n"/>
      <c r="O234" s="31" t="n"/>
    </row>
    <row r="235" ht="15" customHeight="1" s="16">
      <c r="A235" s="26" t="n">
        <v>234</v>
      </c>
      <c r="B235" s="26" t="n">
        <v>45</v>
      </c>
      <c r="C235" s="26" t="n">
        <v>34</v>
      </c>
      <c r="D235" s="27" t="inlineStr">
        <is>
          <t>大野浸成水銀</t>
        </is>
      </c>
      <c r="E235" s="28" t="inlineStr">
        <is>
          <t>海</t>
        </is>
      </c>
      <c r="F235" s="27" t="inlineStr">
        <is>
          <t>一隊灣商相語而行</t>
        </is>
      </c>
      <c r="G235" s="26" t="n"/>
      <c r="H235" s="29" t="n"/>
      <c r="I235" s="30" t="n"/>
      <c r="J235" s="30" t="n"/>
      <c r="K235" s="30" t="n"/>
      <c r="L235" s="30" t="n"/>
      <c r="M235" s="31" t="n"/>
      <c r="N235" s="29" t="n"/>
      <c r="O235" s="31" t="n"/>
    </row>
    <row r="236" ht="15" customHeight="1" s="16">
      <c r="A236" s="26" t="n">
        <v>235</v>
      </c>
      <c r="B236" s="26" t="n">
        <v>45</v>
      </c>
      <c r="C236" s="26" t="n">
        <v>35</v>
      </c>
      <c r="D236" s="27" t="inlineStr">
        <is>
          <t>海</t>
        </is>
      </c>
      <c r="E236" s="32" t="inlineStr">
        <is>
          <t>一隊灣商相語而行</t>
        </is>
      </c>
      <c r="F236" s="27" t="inlineStr">
        <is>
          <t>矇矓如夢中讀奇書</t>
        </is>
      </c>
      <c r="G236" s="26" t="inlineStr">
        <is>
          <t>●</t>
        </is>
      </c>
      <c r="H236" s="29" t="n"/>
      <c r="I236" s="30" t="n"/>
      <c r="J236" s="30" t="n"/>
      <c r="K236" s="30" t="n"/>
      <c r="L236" s="30" t="n"/>
      <c r="M236" s="31" t="n"/>
      <c r="N236" s="29" t="n"/>
      <c r="O236" s="31" t="n"/>
    </row>
    <row r="237" ht="15" customHeight="1" s="16">
      <c r="A237" s="26" t="n">
        <v>236</v>
      </c>
      <c r="B237" s="26" t="n">
        <v>45</v>
      </c>
      <c r="C237" s="26" t="n">
        <v>36</v>
      </c>
      <c r="D237" s="27" t="inlineStr">
        <is>
          <t>一隊灣商相語而行</t>
        </is>
      </c>
      <c r="E237" s="28" t="inlineStr">
        <is>
          <t>矇矓如夢中讀奇書</t>
        </is>
      </c>
      <c r="F237" s="27" t="inlineStr">
        <is>
          <t>不甚了了</t>
        </is>
      </c>
      <c r="G237" s="26" t="n"/>
      <c r="H237" s="29" t="n"/>
      <c r="I237" s="30" t="n"/>
      <c r="J237" s="30" t="n"/>
      <c r="K237" s="30" t="n"/>
      <c r="L237" s="30" t="n"/>
      <c r="M237" s="31" t="n"/>
      <c r="N237" s="29" t="n"/>
      <c r="O237" s="31" t="n"/>
    </row>
    <row r="238" ht="15" customHeight="1" s="16">
      <c r="A238" s="26" t="n">
        <v>237</v>
      </c>
      <c r="B238" s="26" t="n">
        <v>45</v>
      </c>
      <c r="C238" s="26" t="n">
        <v>64</v>
      </c>
      <c r="D238" s="27" t="inlineStr">
        <is>
          <t>市肆閭閻</t>
        </is>
      </c>
      <c r="E238" s="28" t="inlineStr">
        <is>
          <t>不减遼東</t>
        </is>
      </c>
      <c r="F238" s="27" t="inlineStr">
        <is>
          <t>入一典當舖</t>
        </is>
      </c>
      <c r="G238" s="26" t="n"/>
      <c r="H238" s="29" t="n"/>
      <c r="I238" s="30" t="n"/>
      <c r="J238" s="30" t="n"/>
      <c r="K238" s="30" t="n"/>
      <c r="L238" s="30" t="n"/>
      <c r="M238" s="31" t="n"/>
      <c r="N238" s="29" t="n"/>
      <c r="O238" s="31" t="n"/>
    </row>
    <row r="239" ht="15" customHeight="1" s="16">
      <c r="A239" s="26" t="n">
        <v>238</v>
      </c>
      <c r="B239" s="26" t="n">
        <v>45</v>
      </c>
      <c r="C239" s="26" t="n">
        <v>65</v>
      </c>
      <c r="D239" s="27" t="inlineStr">
        <is>
          <t>不减遼東</t>
        </is>
      </c>
      <c r="E239" s="32" t="inlineStr">
        <is>
          <t>入一典當舖</t>
        </is>
      </c>
      <c r="F239" s="27" t="inlineStr">
        <is>
          <t>滿庭葡萄架</t>
        </is>
      </c>
      <c r="G239" s="26" t="inlineStr">
        <is>
          <t>●</t>
        </is>
      </c>
      <c r="H239" s="29" t="n"/>
      <c r="I239" s="30" t="n"/>
      <c r="J239" s="30" t="n"/>
      <c r="K239" s="30" t="n"/>
      <c r="L239" s="30" t="n"/>
      <c r="M239" s="31" t="n"/>
      <c r="N239" s="29" t="n"/>
      <c r="O239" s="31" t="n"/>
    </row>
    <row r="240" ht="15" customHeight="1" s="16">
      <c r="A240" s="26" t="n">
        <v>239</v>
      </c>
      <c r="B240" s="26" t="n">
        <v>45</v>
      </c>
      <c r="C240" s="26" t="n">
        <v>66</v>
      </c>
      <c r="D240" s="27" t="inlineStr">
        <is>
          <t>入一典當舖</t>
        </is>
      </c>
      <c r="E240" s="28" t="inlineStr">
        <is>
          <t>滿庭葡萄架</t>
        </is>
      </c>
      <c r="F240" s="27" t="inlineStr">
        <is>
          <t>綠陰玲瓏</t>
        </is>
      </c>
      <c r="G240" s="26" t="n"/>
      <c r="H240" s="29" t="n"/>
      <c r="I240" s="30" t="n"/>
      <c r="J240" s="30" t="n"/>
      <c r="K240" s="30" t="n"/>
      <c r="L240" s="30" t="n"/>
      <c r="M240" s="31" t="n"/>
      <c r="N240" s="29" t="n"/>
      <c r="O240" s="31" t="n"/>
    </row>
    <row r="241" ht="29.85" customHeight="1" s="16">
      <c r="A241" s="26" t="n">
        <v>240</v>
      </c>
      <c r="B241" s="26" t="n">
        <v>45</v>
      </c>
      <c r="C241" s="26" t="n">
        <v>100</v>
      </c>
      <c r="D241" s="27" t="inlineStr">
        <is>
          <t>每見欺霜賽雪四個字揭在門楣上</t>
        </is>
      </c>
      <c r="E241" s="28" t="inlineStr">
        <is>
          <t>意內以爲</t>
        </is>
      </c>
      <c r="F241" s="27" t="inlineStr">
        <is>
          <t>做個賣買的</t>
        </is>
      </c>
      <c r="G241" s="26" t="n"/>
      <c r="H241" s="29" t="n"/>
      <c r="I241" s="30" t="n"/>
      <c r="J241" s="30" t="n"/>
      <c r="K241" s="30" t="n"/>
      <c r="L241" s="30" t="n"/>
      <c r="M241" s="31" t="n"/>
      <c r="N241" s="29" t="n"/>
      <c r="O241" s="31" t="n"/>
    </row>
    <row r="242" ht="15" customHeight="1" s="16">
      <c r="A242" s="26" t="n">
        <v>241</v>
      </c>
      <c r="B242" s="26" t="n">
        <v>45</v>
      </c>
      <c r="C242" s="26" t="n">
        <v>101</v>
      </c>
      <c r="D242" s="27" t="inlineStr">
        <is>
          <t>意內以爲</t>
        </is>
      </c>
      <c r="E242" s="32" t="inlineStr">
        <is>
          <t>做個賣買的</t>
        </is>
      </c>
      <c r="F242" s="27" t="inlineStr">
        <is>
          <t>自衒其本分心地皎潔</t>
        </is>
      </c>
      <c r="G242" s="26" t="inlineStr">
        <is>
          <t>●</t>
        </is>
      </c>
      <c r="H242" s="29" t="n"/>
      <c r="I242" s="30" t="n"/>
      <c r="J242" s="30" t="n"/>
      <c r="K242" s="30" t="n"/>
      <c r="L242" s="30" t="n"/>
      <c r="M242" s="31" t="n"/>
      <c r="N242" s="29" t="n"/>
      <c r="O242" s="31" t="n"/>
    </row>
    <row r="243" ht="15" customHeight="1" s="16">
      <c r="A243" s="26" t="n">
        <v>242</v>
      </c>
      <c r="B243" s="26" t="n">
        <v>45</v>
      </c>
      <c r="C243" s="26" t="n">
        <v>102</v>
      </c>
      <c r="D243" s="27" t="inlineStr">
        <is>
          <t>做個賣買的</t>
        </is>
      </c>
      <c r="E243" s="28" t="inlineStr">
        <is>
          <t>自衒其本分心地皎潔</t>
        </is>
      </c>
      <c r="F243" s="27" t="inlineStr">
        <is>
          <t>與秋霜一般</t>
        </is>
      </c>
      <c r="G243" s="26" t="n"/>
      <c r="H243" s="29" t="n"/>
      <c r="I243" s="30" t="n"/>
      <c r="J243" s="30" t="n"/>
      <c r="K243" s="30" t="n"/>
      <c r="L243" s="30" t="n"/>
      <c r="M243" s="31" t="n"/>
      <c r="N243" s="29" t="n"/>
      <c r="O243" s="31" t="n"/>
    </row>
    <row r="244" ht="15" customHeight="1" s="16">
      <c r="A244" s="26" t="n">
        <v>243</v>
      </c>
      <c r="B244" s="26" t="n">
        <v>45</v>
      </c>
      <c r="C244" s="26" t="n">
        <v>146</v>
      </c>
      <c r="D244" s="27" t="inlineStr">
        <is>
          <t>余遂道再看兒</t>
        </is>
      </c>
      <c r="E244" s="28" t="inlineStr">
        <is>
          <t>起身出</t>
        </is>
      </c>
      <c r="F244" s="27" t="inlineStr">
        <is>
          <t>默罵道小去處做賣買的</t>
        </is>
      </c>
      <c r="G244" s="26" t="n"/>
      <c r="H244" s="29" t="n"/>
      <c r="I244" s="30" t="n"/>
      <c r="J244" s="30" t="n"/>
      <c r="K244" s="30" t="n"/>
      <c r="L244" s="30" t="n"/>
      <c r="M244" s="31" t="n"/>
      <c r="N244" s="29" t="n"/>
      <c r="O244" s="31" t="n"/>
    </row>
    <row r="245" ht="15" customHeight="1" s="16">
      <c r="A245" s="26" t="n">
        <v>244</v>
      </c>
      <c r="B245" s="26" t="n">
        <v>45</v>
      </c>
      <c r="C245" s="26" t="n">
        <v>147</v>
      </c>
      <c r="D245" s="27" t="inlineStr">
        <is>
          <t>起身出</t>
        </is>
      </c>
      <c r="E245" s="32" t="inlineStr">
        <is>
          <t>默罵道小去處做賣買的</t>
        </is>
      </c>
      <c r="F245" s="27" t="inlineStr">
        <is>
          <t>惡能及瀋陽諸人</t>
        </is>
      </c>
      <c r="G245" s="26" t="inlineStr">
        <is>
          <t>●</t>
        </is>
      </c>
      <c r="H245" s="29" t="n"/>
      <c r="I245" s="30" t="n"/>
      <c r="J245" s="30" t="n"/>
      <c r="K245" s="30" t="n"/>
      <c r="L245" s="30" t="n"/>
      <c r="M245" s="31" t="n"/>
      <c r="N245" s="29" t="n"/>
      <c r="O245" s="31" t="n"/>
    </row>
    <row r="246" ht="15" customHeight="1" s="16">
      <c r="A246" s="26" t="n">
        <v>245</v>
      </c>
      <c r="B246" s="26" t="n">
        <v>45</v>
      </c>
      <c r="C246" s="26" t="n">
        <v>148</v>
      </c>
      <c r="D246" s="27" t="inlineStr">
        <is>
          <t>默罵道小去處做賣買的</t>
        </is>
      </c>
      <c r="E246" s="28" t="inlineStr">
        <is>
          <t>惡能及瀋陽諸人</t>
        </is>
      </c>
      <c r="F246" s="27" t="inlineStr">
        <is>
          <t>這個麤莽漢</t>
        </is>
      </c>
      <c r="G246" s="26" t="n"/>
      <c r="H246" s="29" t="n"/>
      <c r="I246" s="30" t="n"/>
      <c r="J246" s="30" t="n"/>
      <c r="K246" s="30" t="n"/>
      <c r="L246" s="30" t="n"/>
      <c r="M246" s="31" t="n"/>
      <c r="N246" s="29" t="n"/>
      <c r="O246" s="31" t="n"/>
    </row>
    <row r="247" ht="15" customHeight="1" s="16">
      <c r="A247" s="26" t="n">
        <v>246</v>
      </c>
      <c r="B247" s="26" t="n">
        <v>45</v>
      </c>
      <c r="C247" s="26" t="n">
        <v>194</v>
      </c>
      <c r="D247" s="27" t="inlineStr">
        <is>
          <t>而自鳳城以來</t>
        </is>
      </c>
      <c r="E247" s="28" t="inlineStr">
        <is>
          <t>雖</t>
        </is>
      </c>
      <c r="F247" s="27" t="inlineStr">
        <is>
          <t>奢儉不同</t>
        </is>
      </c>
      <c r="G247" s="26" t="n"/>
      <c r="H247" s="29" t="n"/>
      <c r="I247" s="30" t="n"/>
      <c r="J247" s="30" t="n"/>
      <c r="K247" s="30" t="n"/>
      <c r="L247" s="30" t="n"/>
      <c r="M247" s="31" t="n"/>
      <c r="N247" s="29" t="n"/>
      <c r="O247" s="31" t="n"/>
    </row>
    <row r="248" ht="15" customHeight="1" s="16">
      <c r="A248" s="26" t="n">
        <v>247</v>
      </c>
      <c r="B248" s="26" t="n">
        <v>45</v>
      </c>
      <c r="C248" s="26" t="n">
        <v>195</v>
      </c>
      <c r="D248" s="27" t="inlineStr">
        <is>
          <t>雖</t>
        </is>
      </c>
      <c r="E248" s="32" t="inlineStr">
        <is>
          <t>奢儉不同</t>
        </is>
      </c>
      <c r="F248" s="27" t="inlineStr">
        <is>
          <t>摠是一樣規模</t>
        </is>
      </c>
      <c r="G248" s="26" t="inlineStr">
        <is>
          <t>●</t>
        </is>
      </c>
      <c r="H248" s="29" t="n"/>
      <c r="I248" s="30" t="n"/>
      <c r="J248" s="30" t="n"/>
      <c r="K248" s="30" t="n"/>
      <c r="L248" s="30" t="n"/>
      <c r="M248" s="31" t="n"/>
      <c r="N248" s="29" t="n"/>
      <c r="O248" s="31" t="n"/>
    </row>
    <row r="249" ht="15" customHeight="1" s="16">
      <c r="A249" s="26" t="n">
        <v>248</v>
      </c>
      <c r="B249" s="26" t="n">
        <v>45</v>
      </c>
      <c r="C249" s="26" t="n">
        <v>196</v>
      </c>
      <c r="D249" s="27" t="inlineStr">
        <is>
          <t>奢儉不同</t>
        </is>
      </c>
      <c r="E249" s="28" t="inlineStr">
        <is>
          <t>摠是一樣規模</t>
        </is>
      </c>
      <c r="F249" s="27" t="inlineStr">
        <is>
          <t>有時瞢騰過眼者</t>
        </is>
      </c>
      <c r="G249" s="26" t="n"/>
      <c r="H249" s="29" t="n"/>
      <c r="I249" s="30" t="n"/>
      <c r="J249" s="30" t="n"/>
      <c r="K249" s="30" t="n"/>
      <c r="L249" s="30" t="n"/>
      <c r="M249" s="31" t="n"/>
      <c r="N249" s="29" t="n"/>
      <c r="O249" s="31" t="n"/>
    </row>
    <row r="250" ht="15" customHeight="1" s="16">
      <c r="A250" s="26" t="n">
        <v>249</v>
      </c>
      <c r="B250" s="26" t="n">
        <v>45</v>
      </c>
      <c r="C250" s="26" t="n">
        <v>206</v>
      </c>
      <c r="D250" s="27" t="inlineStr">
        <is>
          <t>指着三五間獨戶老屋</t>
        </is>
      </c>
      <c r="E250" s="28" t="inlineStr">
        <is>
          <t>道俺老身一口兒</t>
        </is>
      </c>
      <c r="F250" s="27" t="inlineStr">
        <is>
          <t>路傍賣些甛瓜資生</t>
        </is>
      </c>
      <c r="G250" s="26" t="n"/>
      <c r="H250" s="29" t="n"/>
      <c r="I250" s="30" t="n"/>
      <c r="J250" s="30" t="n"/>
      <c r="K250" s="30" t="n"/>
      <c r="L250" s="30" t="n"/>
      <c r="M250" s="31" t="n"/>
      <c r="N250" s="29" t="n"/>
      <c r="O250" s="31" t="n"/>
    </row>
    <row r="251" ht="15" customHeight="1" s="16">
      <c r="A251" s="26" t="n">
        <v>250</v>
      </c>
      <c r="B251" s="26" t="n">
        <v>45</v>
      </c>
      <c r="C251" s="26" t="n">
        <v>207</v>
      </c>
      <c r="D251" s="27" t="inlineStr">
        <is>
          <t>道俺老身一口兒</t>
        </is>
      </c>
      <c r="E251" s="32" t="inlineStr">
        <is>
          <t>路傍賣些甛瓜資生</t>
        </is>
      </c>
      <c r="F251" s="27" t="inlineStr">
        <is>
          <t>你們高麗人三</t>
        </is>
      </c>
      <c r="G251" s="26" t="inlineStr">
        <is>
          <t>●</t>
        </is>
      </c>
      <c r="H251" s="29" t="n"/>
      <c r="I251" s="30" t="n"/>
      <c r="J251" s="30" t="n"/>
      <c r="K251" s="30" t="n"/>
      <c r="L251" s="30" t="n"/>
      <c r="M251" s="31" t="n"/>
      <c r="N251" s="29" t="n"/>
      <c r="O251" s="31" t="n"/>
    </row>
    <row r="252" ht="15" customHeight="1" s="16">
      <c r="A252" s="26" t="n">
        <v>251</v>
      </c>
      <c r="B252" s="26" t="n">
        <v>45</v>
      </c>
      <c r="C252" s="26" t="n">
        <v>208</v>
      </c>
      <c r="D252" s="27" t="inlineStr">
        <is>
          <t>路傍賣些甛瓜資生</t>
        </is>
      </c>
      <c r="E252" s="28" t="inlineStr">
        <is>
          <t>你們高麗人三</t>
        </is>
      </c>
      <c r="F252" s="27" t="inlineStr">
        <is>
          <t>五十</t>
        </is>
      </c>
      <c r="G252" s="26" t="n"/>
      <c r="H252" s="29" t="n"/>
      <c r="I252" s="30" t="n"/>
      <c r="J252" s="30" t="n"/>
      <c r="K252" s="30" t="n"/>
      <c r="L252" s="30" t="n"/>
      <c r="M252" s="31" t="n"/>
      <c r="N252" s="29" t="n"/>
      <c r="O252" s="31" t="n"/>
    </row>
    <row r="253" ht="15" customHeight="1" s="16">
      <c r="A253" s="26" t="n">
        <v>252</v>
      </c>
      <c r="B253" s="26" t="n">
        <v>45</v>
      </c>
      <c r="C253" s="26" t="n">
        <v>211</v>
      </c>
      <c r="D253" s="27" t="inlineStr">
        <is>
          <t>俄刻過去時</t>
        </is>
      </c>
      <c r="E253" s="28" t="inlineStr">
        <is>
          <t>暫停此中</t>
        </is>
      </c>
      <c r="F253" s="27" t="inlineStr">
        <is>
          <t>初則出價賣喫</t>
        </is>
      </c>
      <c r="G253" s="26" t="n"/>
      <c r="H253" s="29" t="n"/>
      <c r="I253" s="30" t="n"/>
      <c r="J253" s="30" t="n"/>
      <c r="K253" s="30" t="n"/>
      <c r="L253" s="30" t="n"/>
      <c r="M253" s="31" t="n"/>
      <c r="N253" s="29" t="n"/>
      <c r="O253" s="31" t="n"/>
    </row>
    <row r="254" ht="15" customHeight="1" s="16">
      <c r="A254" s="26" t="n">
        <v>253</v>
      </c>
      <c r="B254" s="26" t="n">
        <v>45</v>
      </c>
      <c r="C254" s="26" t="n">
        <v>212</v>
      </c>
      <c r="D254" s="27" t="inlineStr">
        <is>
          <t>暫停此中</t>
        </is>
      </c>
      <c r="E254" s="32" t="inlineStr">
        <is>
          <t>初則出價賣喫</t>
        </is>
      </c>
      <c r="F254" s="27" t="inlineStr">
        <is>
          <t>臨起一個個各手執蓏</t>
        </is>
      </c>
      <c r="G254" s="26" t="inlineStr">
        <is>
          <t>●</t>
        </is>
      </c>
      <c r="H254" s="29" t="n"/>
      <c r="I254" s="30" t="n"/>
      <c r="J254" s="30" t="n"/>
      <c r="K254" s="30" t="n"/>
      <c r="L254" s="30" t="n"/>
      <c r="M254" s="31" t="n"/>
      <c r="N254" s="29" t="n"/>
      <c r="O254" s="31" t="n"/>
    </row>
    <row r="255" ht="15" customHeight="1" s="16">
      <c r="A255" s="26" t="n">
        <v>254</v>
      </c>
      <c r="B255" s="26" t="n">
        <v>45</v>
      </c>
      <c r="C255" s="26" t="n">
        <v>213</v>
      </c>
      <c r="D255" s="27" t="inlineStr">
        <is>
          <t>初則出價賣喫</t>
        </is>
      </c>
      <c r="E255" s="28" t="inlineStr">
        <is>
          <t>臨起一個個各手執蓏</t>
        </is>
      </c>
      <c r="F255" s="27" t="inlineStr">
        <is>
          <t>鬨堂都走了</t>
        </is>
      </c>
      <c r="G255" s="26" t="n"/>
      <c r="H255" s="29" t="n"/>
      <c r="I255" s="30" t="n"/>
      <c r="J255" s="30" t="n"/>
      <c r="K255" s="30" t="n"/>
      <c r="L255" s="30" t="n"/>
      <c r="M255" s="31" t="n"/>
      <c r="N255" s="29" t="n"/>
      <c r="O255" s="31" t="n"/>
    </row>
    <row r="256" ht="15" customHeight="1" s="16">
      <c r="A256" s="26" t="n">
        <v>255</v>
      </c>
      <c r="B256" s="26" t="n">
        <v>45</v>
      </c>
      <c r="C256" s="26" t="n">
        <v>233</v>
      </c>
      <c r="D256" s="27" t="inlineStr">
        <is>
          <t>以無爲答</t>
        </is>
      </c>
      <c r="E256" s="28" t="inlineStr">
        <is>
          <t>則緊抱昌大之腰</t>
        </is>
      </c>
      <c r="F256" s="27" t="inlineStr">
        <is>
          <t>强要買蓏</t>
        </is>
      </c>
      <c r="G256" s="26" t="n"/>
      <c r="H256" s="29" t="n"/>
      <c r="I256" s="30" t="n"/>
      <c r="J256" s="30" t="n"/>
      <c r="K256" s="30" t="n"/>
      <c r="L256" s="30" t="n"/>
      <c r="M256" s="31" t="n"/>
      <c r="N256" s="29" t="n"/>
      <c r="O256" s="31" t="n"/>
    </row>
    <row r="257" ht="15" customHeight="1" s="16">
      <c r="A257" s="26" t="n">
        <v>256</v>
      </c>
      <c r="B257" s="26" t="n">
        <v>45</v>
      </c>
      <c r="C257" s="26" t="n">
        <v>234</v>
      </c>
      <c r="D257" s="27" t="inlineStr">
        <is>
          <t>則緊抱昌大之腰</t>
        </is>
      </c>
      <c r="E257" s="32" t="inlineStr">
        <is>
          <t>强要買蓏</t>
        </is>
      </c>
      <c r="F257" s="27" t="inlineStr">
        <is>
          <t>因將五顆甘蓏來置面前</t>
        </is>
      </c>
      <c r="G257" s="26" t="inlineStr">
        <is>
          <t>●</t>
        </is>
      </c>
      <c r="H257" s="29" t="n"/>
      <c r="I257" s="30" t="n"/>
      <c r="J257" s="30" t="n"/>
      <c r="K257" s="30" t="n"/>
      <c r="L257" s="30" t="n"/>
      <c r="M257" s="31" t="n"/>
      <c r="N257" s="29" t="n"/>
      <c r="O257" s="31" t="n"/>
    </row>
    <row r="258" ht="15" customHeight="1" s="16">
      <c r="A258" s="26" t="n">
        <v>257</v>
      </c>
      <c r="B258" s="26" t="n">
        <v>45</v>
      </c>
      <c r="C258" s="26" t="n">
        <v>235</v>
      </c>
      <c r="D258" s="27" t="inlineStr">
        <is>
          <t>强要買蓏</t>
        </is>
      </c>
      <c r="E258" s="28" t="inlineStr">
        <is>
          <t>因將五顆甘蓏來置面前</t>
        </is>
      </c>
      <c r="F258" s="27" t="inlineStr">
        <is>
          <t>余亦欲解渴</t>
        </is>
      </c>
      <c r="G258" s="26" t="n"/>
      <c r="H258" s="29" t="n"/>
      <c r="I258" s="30" t="n"/>
      <c r="J258" s="30" t="n"/>
      <c r="K258" s="30" t="n"/>
      <c r="L258" s="30" t="n"/>
      <c r="M258" s="31" t="n"/>
      <c r="N258" s="29" t="n"/>
      <c r="O258" s="31" t="n"/>
    </row>
    <row r="259" ht="15" customHeight="1" s="16">
      <c r="A259" s="26" t="n">
        <v>258</v>
      </c>
      <c r="B259" s="26" t="n">
        <v>45</v>
      </c>
      <c r="C259" s="26" t="n">
        <v>253</v>
      </c>
      <c r="D259" s="27" t="inlineStr">
        <is>
          <t>始見其垂淚而哀之</t>
        </is>
      </c>
      <c r="E259" s="28" t="inlineStr">
        <is>
          <t>末乃勒</t>
        </is>
      </c>
      <c r="F259" s="27" t="inlineStr">
        <is>
          <t>賣九蓏</t>
        </is>
      </c>
      <c r="G259" s="26" t="n"/>
      <c r="H259" s="29" t="n"/>
      <c r="I259" s="30" t="n"/>
      <c r="J259" s="30" t="n"/>
      <c r="K259" s="30" t="n"/>
      <c r="L259" s="30" t="n"/>
      <c r="M259" s="31" t="n"/>
      <c r="N259" s="29" t="n"/>
      <c r="O259" s="31" t="n"/>
    </row>
    <row r="260" ht="15" customHeight="1" s="16">
      <c r="A260" s="26" t="n">
        <v>259</v>
      </c>
      <c r="B260" s="26" t="n">
        <v>45</v>
      </c>
      <c r="C260" s="26" t="n">
        <v>254</v>
      </c>
      <c r="D260" s="27" t="inlineStr">
        <is>
          <t>末乃勒</t>
        </is>
      </c>
      <c r="E260" s="32" t="inlineStr">
        <is>
          <t>賣九蓏</t>
        </is>
      </c>
      <c r="F260" s="27" t="inlineStr">
        <is>
          <t>堅討近百高價</t>
        </is>
      </c>
      <c r="G260" s="26" t="inlineStr">
        <is>
          <t>●</t>
        </is>
      </c>
      <c r="H260" s="29" t="n"/>
      <c r="I260" s="30" t="n"/>
      <c r="J260" s="30" t="n"/>
      <c r="K260" s="30" t="n"/>
      <c r="L260" s="30" t="n"/>
      <c r="M260" s="31" t="n"/>
      <c r="N260" s="29" t="n"/>
      <c r="O260" s="31" t="n"/>
    </row>
    <row r="261" ht="15" customHeight="1" s="16">
      <c r="A261" s="26" t="n">
        <v>260</v>
      </c>
      <c r="B261" s="26" t="n">
        <v>45</v>
      </c>
      <c r="C261" s="26" t="n">
        <v>255</v>
      </c>
      <c r="D261" s="27" t="inlineStr">
        <is>
          <t>賣九蓏</t>
        </is>
      </c>
      <c r="E261" s="32" t="inlineStr">
        <is>
          <t>堅討近百高價</t>
        </is>
      </c>
      <c r="F261" s="27" t="inlineStr">
        <is>
          <t>殊可痛歎</t>
        </is>
      </c>
      <c r="G261" s="26" t="inlineStr">
        <is>
          <t>●</t>
        </is>
      </c>
      <c r="H261" s="29" t="n"/>
      <c r="I261" s="30" t="n"/>
      <c r="J261" s="30" t="n"/>
      <c r="K261" s="30" t="n"/>
      <c r="L261" s="30" t="n"/>
      <c r="M261" s="31" t="n"/>
      <c r="N261" s="29" t="n"/>
      <c r="O261" s="31" t="n"/>
    </row>
    <row r="262" ht="15" customHeight="1" s="16">
      <c r="A262" s="26" t="n">
        <v>261</v>
      </c>
      <c r="B262" s="26" t="n">
        <v>45</v>
      </c>
      <c r="C262" s="26" t="n">
        <v>256</v>
      </c>
      <c r="D262" s="27" t="inlineStr">
        <is>
          <t>堅討近百高價</t>
        </is>
      </c>
      <c r="E262" s="28" t="inlineStr">
        <is>
          <t>殊可痛歎</t>
        </is>
      </c>
      <c r="F262" s="27" t="inlineStr">
        <is>
          <t>然我隷沿路行刦</t>
        </is>
      </c>
      <c r="G262" s="26" t="n"/>
      <c r="H262" s="29" t="n"/>
      <c r="I262" s="30" t="n"/>
      <c r="J262" s="30" t="n"/>
      <c r="K262" s="30" t="n"/>
      <c r="L262" s="30" t="n"/>
      <c r="M262" s="31" t="n"/>
      <c r="N262" s="29" t="n"/>
      <c r="O262" s="31" t="n"/>
    </row>
    <row r="263" ht="15" customHeight="1" s="16">
      <c r="A263" s="26" t="n">
        <v>262</v>
      </c>
      <c r="B263" s="26" t="n">
        <v>45</v>
      </c>
      <c r="C263" s="26" t="n">
        <v>265</v>
      </c>
      <c r="D263" s="27" t="inlineStr">
        <is>
          <t>下隷刦蓏事</t>
        </is>
      </c>
      <c r="E263" s="28" t="inlineStr">
        <is>
          <t>諸馬頭皆言元無是事</t>
        </is>
      </c>
      <c r="F263" s="27" t="inlineStr">
        <is>
          <t>獨戶賣蓏的老漢</t>
        </is>
      </c>
      <c r="G263" s="26" t="n"/>
      <c r="H263" s="29" t="n"/>
      <c r="I263" s="30" t="n"/>
      <c r="J263" s="30" t="n"/>
      <c r="K263" s="30" t="n"/>
      <c r="L263" s="30" t="n"/>
      <c r="M263" s="31" t="n"/>
      <c r="N263" s="29" t="n"/>
      <c r="O263" s="31" t="n"/>
    </row>
    <row r="264" ht="15" customHeight="1" s="16">
      <c r="A264" s="26" t="n">
        <v>263</v>
      </c>
      <c r="B264" s="26" t="n">
        <v>45</v>
      </c>
      <c r="C264" s="26" t="n">
        <v>266</v>
      </c>
      <c r="D264" s="27" t="inlineStr">
        <is>
          <t>諸馬頭皆言元無是事</t>
        </is>
      </c>
      <c r="E264" s="32" t="inlineStr">
        <is>
          <t>獨戶賣蓏的老漢</t>
        </is>
      </c>
      <c r="F264" s="27" t="inlineStr">
        <is>
          <t>元來姦巧無雙</t>
        </is>
      </c>
      <c r="G264" s="26" t="inlineStr">
        <is>
          <t>●</t>
        </is>
      </c>
      <c r="H264" s="29" t="n"/>
      <c r="I264" s="30" t="n"/>
      <c r="J264" s="30" t="n"/>
      <c r="K264" s="30" t="n"/>
      <c r="L264" s="30" t="n"/>
      <c r="M264" s="31" t="n"/>
      <c r="N264" s="29" t="n"/>
      <c r="O264" s="31" t="n"/>
    </row>
    <row r="265" ht="15" customHeight="1" s="16">
      <c r="A265" s="26" t="n">
        <v>264</v>
      </c>
      <c r="B265" s="26" t="n">
        <v>45</v>
      </c>
      <c r="C265" s="26" t="n">
        <v>267</v>
      </c>
      <c r="D265" s="27" t="inlineStr">
        <is>
          <t>獨戶賣蓏的老漢</t>
        </is>
      </c>
      <c r="E265" s="28" t="inlineStr">
        <is>
          <t>元來姦巧無雙</t>
        </is>
      </c>
      <c r="F265" s="27" t="inlineStr">
        <is>
          <t>見書房主落</t>
        </is>
      </c>
      <c r="G265" s="26" t="n"/>
      <c r="H265" s="29" t="n"/>
      <c r="I265" s="30" t="n"/>
      <c r="J265" s="30" t="n"/>
      <c r="K265" s="30" t="n"/>
      <c r="L265" s="30" t="n"/>
      <c r="M265" s="31" t="n"/>
      <c r="N265" s="29" t="n"/>
      <c r="O265" s="31" t="n"/>
    </row>
    <row r="266" ht="15" customHeight="1" s="16">
      <c r="A266" s="26" t="n">
        <v>265</v>
      </c>
      <c r="B266" s="26" t="n">
        <v>45</v>
      </c>
      <c r="C266" s="26" t="n">
        <v>272</v>
      </c>
      <c r="D266" s="27" t="inlineStr">
        <is>
          <t>故作可憐之態</t>
        </is>
      </c>
      <c r="E266" s="28" t="inlineStr">
        <is>
          <t>要得淸心丸也</t>
        </is>
      </c>
      <c r="F266" s="27" t="inlineStr">
        <is>
          <t>余始覺其見賣</t>
        </is>
      </c>
      <c r="G266" s="26" t="n"/>
      <c r="H266" s="29" t="n"/>
      <c r="I266" s="30" t="n"/>
      <c r="J266" s="30" t="n"/>
      <c r="K266" s="30" t="n"/>
      <c r="L266" s="30" t="n"/>
      <c r="M266" s="31" t="n"/>
      <c r="N266" s="29" t="n"/>
      <c r="O266" s="31" t="n"/>
    </row>
    <row r="267" ht="15" customHeight="1" s="16">
      <c r="A267" s="26" t="n">
        <v>266</v>
      </c>
      <c r="B267" s="26" t="n">
        <v>45</v>
      </c>
      <c r="C267" s="26" t="n">
        <v>273</v>
      </c>
      <c r="D267" s="27" t="inlineStr">
        <is>
          <t>要得淸心丸也</t>
        </is>
      </c>
      <c r="E267" s="32" t="inlineStr">
        <is>
          <t>余始覺其見賣</t>
        </is>
      </c>
      <c r="F267" s="27" t="inlineStr">
        <is>
          <t>念其賣蓏事</t>
        </is>
      </c>
      <c r="G267" s="26" t="inlineStr">
        <is>
          <t>●</t>
        </is>
      </c>
      <c r="H267" s="29" t="n"/>
      <c r="I267" s="30" t="n"/>
      <c r="J267" s="30" t="n"/>
      <c r="K267" s="30" t="n"/>
      <c r="L267" s="30" t="n"/>
      <c r="M267" s="31" t="n"/>
      <c r="N267" s="29" t="n"/>
      <c r="O267" s="31" t="n"/>
    </row>
    <row r="268" ht="15" customHeight="1" s="16">
      <c r="A268" s="26" t="n">
        <v>267</v>
      </c>
      <c r="B268" s="26" t="n">
        <v>45</v>
      </c>
      <c r="C268" s="26" t="n">
        <v>274</v>
      </c>
      <c r="D268" s="27" t="inlineStr">
        <is>
          <t>余始覺其見賣</t>
        </is>
      </c>
      <c r="E268" s="32" t="inlineStr">
        <is>
          <t>念其賣蓏事</t>
        </is>
      </c>
      <c r="F268" s="27" t="inlineStr">
        <is>
          <t>尤可切痛</t>
        </is>
      </c>
      <c r="G268" s="26" t="inlineStr">
        <is>
          <t>●</t>
        </is>
      </c>
      <c r="H268" s="29" t="n"/>
      <c r="I268" s="30" t="n"/>
      <c r="J268" s="30" t="n"/>
      <c r="K268" s="30" t="n"/>
      <c r="L268" s="30" t="n"/>
      <c r="M268" s="31" t="n"/>
      <c r="N268" s="29" t="n"/>
      <c r="O268" s="31" t="n"/>
    </row>
    <row r="269" ht="15" customHeight="1" s="16">
      <c r="A269" s="26" t="n">
        <v>268</v>
      </c>
      <c r="B269" s="26" t="n">
        <v>45</v>
      </c>
      <c r="C269" s="26" t="n">
        <v>275</v>
      </c>
      <c r="D269" s="27" t="inlineStr">
        <is>
          <t>念其賣蓏事</t>
        </is>
      </c>
      <c r="E269" s="28" t="inlineStr">
        <is>
          <t>尤可切痛</t>
        </is>
      </c>
      <c r="F269" s="27" t="inlineStr">
        <is>
          <t>况其副急淚</t>
        </is>
      </c>
      <c r="G269" s="26" t="n"/>
      <c r="H269" s="29" t="n"/>
      <c r="I269" s="30" t="n"/>
      <c r="J269" s="30" t="n"/>
      <c r="K269" s="30" t="n"/>
      <c r="L269" s="30" t="n"/>
      <c r="M269" s="31" t="n"/>
      <c r="N269" s="29" t="n"/>
      <c r="O269" s="31" t="n"/>
    </row>
    <row r="270" ht="15" customHeight="1" s="16">
      <c r="A270" s="26" t="n">
        <v>269</v>
      </c>
      <c r="B270" s="26" t="n">
        <v>46</v>
      </c>
      <c r="C270" s="26" t="n">
        <v>58</v>
      </c>
      <c r="D270" s="27" t="inlineStr">
        <is>
          <t>咫尺難救</t>
        </is>
      </c>
      <c r="E270" s="28" t="inlineStr">
        <is>
          <t>昨年春</t>
        </is>
      </c>
      <c r="F270" s="27" t="inlineStr">
        <is>
          <t>山西賈客二十餘人</t>
        </is>
      </c>
      <c r="G270" s="26" t="n"/>
      <c r="H270" s="29" t="n"/>
      <c r="I270" s="30" t="n"/>
      <c r="J270" s="30" t="n"/>
      <c r="K270" s="30" t="n"/>
      <c r="L270" s="30" t="n"/>
      <c r="M270" s="31" t="n"/>
      <c r="N270" s="29" t="n"/>
      <c r="O270" s="31" t="n"/>
    </row>
    <row r="271" ht="15" customHeight="1" s="16">
      <c r="A271" s="26" t="n">
        <v>270</v>
      </c>
      <c r="B271" s="26" t="n">
        <v>46</v>
      </c>
      <c r="C271" s="26" t="n">
        <v>59</v>
      </c>
      <c r="D271" s="27" t="inlineStr">
        <is>
          <t>昨年春</t>
        </is>
      </c>
      <c r="E271" s="32" t="inlineStr">
        <is>
          <t>山西賈客二十餘人</t>
        </is>
      </c>
      <c r="F271" s="27" t="inlineStr">
        <is>
          <t>皆乘健</t>
        </is>
      </c>
      <c r="G271" s="26" t="inlineStr">
        <is>
          <t>●</t>
        </is>
      </c>
      <c r="H271" s="29" t="n"/>
      <c r="I271" s="30" t="n"/>
      <c r="J271" s="30" t="n"/>
      <c r="K271" s="30" t="n"/>
      <c r="L271" s="30" t="n"/>
      <c r="M271" s="31" t="n"/>
      <c r="N271" s="29" t="n"/>
      <c r="O271" s="31" t="n"/>
    </row>
    <row r="272" ht="15" customHeight="1" s="16">
      <c r="A272" s="26" t="n">
        <v>271</v>
      </c>
      <c r="B272" s="26" t="n">
        <v>46</v>
      </c>
      <c r="C272" s="26" t="n">
        <v>60</v>
      </c>
      <c r="D272" s="27" t="inlineStr">
        <is>
          <t>山西賈客二十餘人</t>
        </is>
      </c>
      <c r="E272" s="28" t="inlineStr">
        <is>
          <t>皆乘健</t>
        </is>
      </c>
      <c r="F272" s="27" t="inlineStr">
        <is>
          <t>騾至一板門</t>
        </is>
      </c>
      <c r="G272" s="26" t="n"/>
      <c r="H272" s="29" t="n"/>
      <c r="I272" s="30" t="n"/>
      <c r="J272" s="30" t="n"/>
      <c r="K272" s="30" t="n"/>
      <c r="L272" s="30" t="n"/>
      <c r="M272" s="31" t="n"/>
      <c r="N272" s="29" t="n"/>
      <c r="O272" s="31" t="n"/>
    </row>
    <row r="273" ht="15" customHeight="1" s="16">
      <c r="A273" s="26" t="n">
        <v>272</v>
      </c>
      <c r="B273" s="26" t="n">
        <v>46</v>
      </c>
      <c r="C273" s="26" t="n">
        <v>98</v>
      </c>
      <c r="D273" s="27" t="inlineStr">
        <is>
          <t>二百餘里之間</t>
        </is>
      </c>
      <c r="E273" s="28" t="inlineStr">
        <is>
          <t>一梁爲路</t>
        </is>
      </c>
      <c r="F273" s="27" t="inlineStr">
        <is>
          <t>非但物力之富壯</t>
        </is>
      </c>
      <c r="G273" s="26" t="n"/>
      <c r="H273" s="29" t="n"/>
      <c r="I273" s="30" t="n"/>
      <c r="J273" s="30" t="n"/>
      <c r="K273" s="30" t="n"/>
      <c r="L273" s="30" t="n"/>
      <c r="M273" s="31" t="n"/>
      <c r="N273" s="29" t="n"/>
      <c r="O273" s="31" t="n"/>
    </row>
    <row r="274" ht="15" customHeight="1" s="16">
      <c r="A274" s="26" t="n">
        <v>273</v>
      </c>
      <c r="B274" s="26" t="n">
        <v>46</v>
      </c>
      <c r="C274" s="26" t="n">
        <v>99</v>
      </c>
      <c r="D274" s="27" t="inlineStr">
        <is>
          <t>一梁爲路</t>
        </is>
      </c>
      <c r="E274" s="32" t="inlineStr">
        <is>
          <t>非但物力之富壯</t>
        </is>
      </c>
      <c r="F274" s="27" t="inlineStr">
        <is>
          <t>木頭無一參</t>
        </is>
      </c>
      <c r="G274" s="26" t="inlineStr">
        <is>
          <t>●</t>
        </is>
      </c>
      <c r="H274" s="29" t="n"/>
      <c r="I274" s="30" t="n"/>
      <c r="J274" s="30" t="n"/>
      <c r="K274" s="30" t="n"/>
      <c r="L274" s="30" t="n"/>
      <c r="M274" s="31" t="n"/>
      <c r="N274" s="29" t="n"/>
      <c r="O274" s="31" t="n"/>
    </row>
    <row r="275" ht="15" customHeight="1" s="16">
      <c r="A275" s="26" t="n">
        <v>274</v>
      </c>
      <c r="B275" s="26" t="n">
        <v>46</v>
      </c>
      <c r="C275" s="26" t="n">
        <v>100</v>
      </c>
      <c r="D275" s="27" t="inlineStr">
        <is>
          <t>非但物力之富壯</t>
        </is>
      </c>
      <c r="E275" s="28" t="inlineStr">
        <is>
          <t>木頭無一參</t>
        </is>
      </c>
      <c r="F275" s="27" t="inlineStr">
        <is>
          <t>差</t>
        </is>
      </c>
      <c r="G275" s="26" t="n"/>
      <c r="H275" s="29" t="n"/>
      <c r="I275" s="30" t="n"/>
      <c r="J275" s="30" t="n"/>
      <c r="K275" s="30" t="n"/>
      <c r="L275" s="30" t="n"/>
      <c r="M275" s="31" t="n"/>
      <c r="N275" s="29" t="n"/>
      <c r="O275" s="31" t="n"/>
    </row>
    <row r="276" ht="15" customHeight="1" s="16">
      <c r="A276" s="26" t="n">
        <v>275</v>
      </c>
      <c r="B276" s="26" t="n">
        <v>46</v>
      </c>
      <c r="C276" s="26" t="n">
        <v>218</v>
      </c>
      <c r="D276" s="27" t="inlineStr">
        <is>
          <t>此亡</t>
        </is>
      </c>
      <c r="E276" s="28" t="inlineStr">
        <is>
          <t>者之少女</t>
        </is>
      </c>
      <c r="F276" s="27" t="inlineStr">
        <is>
          <t>嫁爲山海關富商之妻</t>
        </is>
      </c>
      <c r="G276" s="26" t="n"/>
      <c r="H276" s="29" t="n"/>
      <c r="I276" s="30" t="n"/>
      <c r="J276" s="30" t="n"/>
      <c r="K276" s="30" t="n"/>
      <c r="L276" s="30" t="n"/>
      <c r="M276" s="31" t="n"/>
      <c r="N276" s="29" t="n"/>
      <c r="O276" s="31" t="n"/>
    </row>
    <row r="277" ht="15" customHeight="1" s="16">
      <c r="A277" s="26" t="n">
        <v>276</v>
      </c>
      <c r="B277" s="26" t="n">
        <v>46</v>
      </c>
      <c r="C277" s="26" t="n">
        <v>219</v>
      </c>
      <c r="D277" s="27" t="inlineStr">
        <is>
          <t>者之少女</t>
        </is>
      </c>
      <c r="E277" s="32" t="inlineStr">
        <is>
          <t>嫁爲山海關富商之妻</t>
        </is>
      </c>
      <c r="F277" s="27" t="inlineStr">
        <is>
          <t>良久</t>
        </is>
      </c>
      <c r="G277" s="26" t="inlineStr">
        <is>
          <t>●</t>
        </is>
      </c>
      <c r="H277" s="29" t="n"/>
      <c r="I277" s="30" t="n"/>
      <c r="J277" s="30" t="n"/>
      <c r="K277" s="30" t="n"/>
      <c r="L277" s="30" t="n"/>
      <c r="M277" s="31" t="n"/>
      <c r="N277" s="29" t="n"/>
      <c r="O277" s="31" t="n"/>
    </row>
    <row r="278" ht="15" customHeight="1" s="16">
      <c r="A278" s="26" t="n">
        <v>277</v>
      </c>
      <c r="B278" s="26" t="n">
        <v>46</v>
      </c>
      <c r="C278" s="26" t="n">
        <v>220</v>
      </c>
      <c r="D278" s="27" t="inlineStr">
        <is>
          <t>嫁爲山海關富商之妻</t>
        </is>
      </c>
      <c r="E278" s="28" t="inlineStr">
        <is>
          <t>良久</t>
        </is>
      </c>
      <c r="F278" s="27" t="inlineStr">
        <is>
          <t>喪人自簟屋出坐椅上</t>
        </is>
      </c>
      <c r="G278" s="26" t="n"/>
      <c r="H278" s="29" t="n"/>
      <c r="I278" s="30" t="n"/>
      <c r="J278" s="30" t="n"/>
      <c r="K278" s="30" t="n"/>
      <c r="L278" s="30" t="n"/>
      <c r="M278" s="31" t="n"/>
      <c r="N278" s="29" t="n"/>
      <c r="O278" s="31" t="n"/>
    </row>
    <row r="279" ht="29.85" customHeight="1" s="16">
      <c r="A279" s="26" t="n">
        <v>278</v>
      </c>
      <c r="B279" s="26" t="n">
        <v>46</v>
      </c>
      <c r="C279" s="26" t="n">
        <v>239</v>
      </c>
      <c r="D279" s="27" t="inlineStr">
        <is>
          <t>不敢對頭坐</t>
        </is>
      </c>
      <c r="E279" s="28" t="inlineStr">
        <is>
          <t>著</t>
        </is>
      </c>
      <c r="F279" s="27" t="inlineStr">
        <is>
          <t>因出外持白紙一卷錢一鈔而來</t>
        </is>
      </c>
      <c r="G279" s="26" t="n"/>
      <c r="H279" s="29" t="n"/>
      <c r="I279" s="30" t="n"/>
      <c r="J279" s="30" t="n"/>
      <c r="K279" s="30" t="n"/>
      <c r="L279" s="30" t="n"/>
      <c r="M279" s="31" t="n"/>
      <c r="N279" s="29" t="n"/>
      <c r="O279" s="31" t="n"/>
    </row>
    <row r="280" ht="15" customHeight="1" s="16">
      <c r="A280" s="26" t="n">
        <v>279</v>
      </c>
      <c r="B280" s="26" t="n">
        <v>46</v>
      </c>
      <c r="C280" s="26" t="n">
        <v>240</v>
      </c>
      <c r="D280" s="27" t="inlineStr">
        <is>
          <t>著</t>
        </is>
      </c>
      <c r="E280" s="32" t="inlineStr">
        <is>
          <t>因出外持白紙一卷錢一鈔而來</t>
        </is>
      </c>
      <c r="F280" s="27" t="inlineStr">
        <is>
          <t>置主人面前</t>
        </is>
      </c>
      <c r="G280" s="26" t="inlineStr">
        <is>
          <t>●</t>
        </is>
      </c>
      <c r="H280" s="29" t="n"/>
      <c r="I280" s="30" t="n"/>
      <c r="J280" s="30" t="n"/>
      <c r="K280" s="30" t="n"/>
      <c r="L280" s="30" t="n"/>
      <c r="M280" s="31" t="n"/>
      <c r="N280" s="29" t="n"/>
      <c r="O280" s="31" t="n"/>
    </row>
    <row r="281" ht="29.85" customHeight="1" s="16">
      <c r="A281" s="26" t="n">
        <v>280</v>
      </c>
      <c r="B281" s="26" t="n">
        <v>46</v>
      </c>
      <c r="C281" s="26" t="n">
        <v>241</v>
      </c>
      <c r="D281" s="27" t="inlineStr">
        <is>
          <t>因出外持白紙一卷錢一鈔而來</t>
        </is>
      </c>
      <c r="E281" s="28" t="inlineStr">
        <is>
          <t>置主人面前</t>
        </is>
      </c>
      <c r="F281" s="27" t="inlineStr">
        <is>
          <t>爲道余致賻</t>
        </is>
      </c>
      <c r="G281" s="26" t="n"/>
      <c r="H281" s="29" t="n"/>
      <c r="I281" s="30" t="n"/>
      <c r="J281" s="30" t="n"/>
      <c r="K281" s="30" t="n"/>
      <c r="L281" s="30" t="n"/>
      <c r="M281" s="31" t="n"/>
      <c r="N281" s="29" t="n"/>
      <c r="O281" s="31" t="n"/>
    </row>
    <row r="282" ht="15" customHeight="1" s="16">
      <c r="A282" s="26" t="n">
        <v>281</v>
      </c>
      <c r="B282" s="26" t="n">
        <v>46</v>
      </c>
      <c r="C282" s="26" t="n">
        <v>261</v>
      </c>
      <c r="D282" s="27" t="inlineStr">
        <is>
          <t>大而頗破敗</t>
        </is>
      </c>
      <c r="E282" s="28" t="inlineStr">
        <is>
          <t>碑有朝鮮人施主姓名</t>
        </is>
      </c>
      <c r="F282" s="27" t="inlineStr">
        <is>
          <t>似皆灣商也</t>
        </is>
      </c>
      <c r="G282" s="26" t="n"/>
      <c r="H282" s="29" t="n"/>
      <c r="I282" s="30" t="n"/>
      <c r="J282" s="30" t="n"/>
      <c r="K282" s="30" t="n"/>
      <c r="L282" s="30" t="n"/>
      <c r="M282" s="31" t="n"/>
      <c r="N282" s="29" t="n"/>
      <c r="O282" s="31" t="n"/>
    </row>
    <row r="283" ht="15" customHeight="1" s="16">
      <c r="A283" s="26" t="n">
        <v>282</v>
      </c>
      <c r="B283" s="26" t="n">
        <v>46</v>
      </c>
      <c r="C283" s="26" t="n">
        <v>262</v>
      </c>
      <c r="D283" s="27" t="inlineStr">
        <is>
          <t>碑有朝鮮人施主姓名</t>
        </is>
      </c>
      <c r="E283" s="32" t="inlineStr">
        <is>
          <t>似皆灣商也</t>
        </is>
      </c>
      <c r="F283" s="27" t="inlineStr">
        <is>
          <t>自此始見醫巫閭山</t>
        </is>
      </c>
      <c r="G283" s="26" t="inlineStr">
        <is>
          <t>●</t>
        </is>
      </c>
      <c r="H283" s="29" t="n"/>
      <c r="I283" s="30" t="n"/>
      <c r="J283" s="30" t="n"/>
      <c r="K283" s="30" t="n"/>
      <c r="L283" s="30" t="n"/>
      <c r="M283" s="31" t="n"/>
      <c r="N283" s="29" t="n"/>
      <c r="O283" s="31" t="n"/>
    </row>
    <row r="284" ht="15" customHeight="1" s="16">
      <c r="A284" s="26" t="n">
        <v>283</v>
      </c>
      <c r="B284" s="26" t="n">
        <v>46</v>
      </c>
      <c r="C284" s="26" t="n">
        <v>263</v>
      </c>
      <c r="D284" s="27" t="inlineStr">
        <is>
          <t>似皆灣商也</t>
        </is>
      </c>
      <c r="E284" s="28" t="inlineStr">
        <is>
          <t>自此始見醫巫閭山</t>
        </is>
      </c>
      <c r="F284" s="27" t="inlineStr">
        <is>
          <t>橫障西北天際</t>
        </is>
      </c>
      <c r="G284" s="26" t="n"/>
      <c r="H284" s="29" t="n"/>
      <c r="I284" s="30" t="n"/>
      <c r="J284" s="30" t="n"/>
      <c r="K284" s="30" t="n"/>
      <c r="L284" s="30" t="n"/>
      <c r="M284" s="31" t="n"/>
      <c r="N284" s="29" t="n"/>
      <c r="O284" s="31" t="n"/>
    </row>
    <row r="285" ht="15" customHeight="1" s="16">
      <c r="A285" s="26" t="n">
        <v>284</v>
      </c>
      <c r="B285" s="26" t="n">
        <v>46</v>
      </c>
      <c r="C285" s="26" t="n">
        <v>369</v>
      </c>
      <c r="D285" s="27" t="inlineStr">
        <is>
          <t>去歲來此</t>
        </is>
      </c>
      <c r="E285" s="28" t="inlineStr">
        <is>
          <t>新開首飾舖</t>
        </is>
      </c>
      <c r="F285" s="27" t="inlineStr">
        <is>
          <t>收買釵釧簪珥彄環等物</t>
        </is>
      </c>
      <c r="G285" s="26" t="n"/>
      <c r="H285" s="29" t="n"/>
      <c r="I285" s="30" t="n"/>
      <c r="J285" s="30" t="n"/>
      <c r="K285" s="30" t="n"/>
      <c r="L285" s="30" t="n"/>
      <c r="M285" s="31" t="n"/>
      <c r="N285" s="29" t="n"/>
      <c r="O285" s="31" t="n"/>
    </row>
    <row r="286" ht="15" customHeight="1" s="16">
      <c r="A286" s="26" t="n">
        <v>285</v>
      </c>
      <c r="B286" s="26" t="n">
        <v>46</v>
      </c>
      <c r="C286" s="26" t="n">
        <v>370</v>
      </c>
      <c r="D286" s="27" t="inlineStr">
        <is>
          <t>新開首飾舖</t>
        </is>
      </c>
      <c r="E286" s="32" t="inlineStr">
        <is>
          <t>收買釵釧簪珥彄環等物</t>
        </is>
      </c>
      <c r="F286" s="27" t="inlineStr">
        <is>
          <t>起號晩翠堂</t>
        </is>
      </c>
      <c r="G286" s="26" t="inlineStr">
        <is>
          <t>●</t>
        </is>
      </c>
      <c r="H286" s="29" t="n"/>
      <c r="I286" s="30" t="n"/>
      <c r="J286" s="30" t="n"/>
      <c r="K286" s="30" t="n"/>
      <c r="L286" s="30" t="n"/>
      <c r="M286" s="31" t="n"/>
      <c r="N286" s="29" t="n"/>
      <c r="O286" s="31" t="n"/>
    </row>
    <row r="287" ht="15" customHeight="1" s="16">
      <c r="A287" s="26" t="n">
        <v>286</v>
      </c>
      <c r="B287" s="26" t="n">
        <v>46</v>
      </c>
      <c r="C287" s="26" t="n">
        <v>371</v>
      </c>
      <c r="D287" s="27" t="inlineStr">
        <is>
          <t>收買釵釧簪珥彄環等物</t>
        </is>
      </c>
      <c r="E287" s="28" t="inlineStr">
        <is>
          <t>起號晩翠堂</t>
        </is>
      </c>
      <c r="F287" s="27" t="inlineStr">
        <is>
          <t>三人俱姓崔</t>
        </is>
      </c>
      <c r="G287" s="26" t="n"/>
      <c r="H287" s="29" t="n"/>
      <c r="I287" s="30" t="n"/>
      <c r="J287" s="30" t="n"/>
      <c r="K287" s="30" t="n"/>
      <c r="L287" s="30" t="n"/>
      <c r="M287" s="31" t="n"/>
      <c r="N287" s="29" t="n"/>
      <c r="O287" s="31" t="n"/>
    </row>
    <row r="288" ht="29.85" customHeight="1" s="16">
      <c r="A288" s="26" t="n">
        <v>287</v>
      </c>
      <c r="B288" s="26" t="n">
        <v>46</v>
      </c>
      <c r="C288" s="26" t="n">
        <v>475</v>
      </c>
      <c r="D288" s="27" t="inlineStr">
        <is>
          <t>舖主道是也</t>
        </is>
      </c>
      <c r="E288" s="28" t="inlineStr">
        <is>
          <t>霍生曰</t>
        </is>
      </c>
      <c r="F288" s="27" t="inlineStr">
        <is>
          <t>俺舖專一收賣婦人的首飾</t>
        </is>
      </c>
      <c r="G288" s="26" t="n"/>
      <c r="H288" s="29" t="n"/>
      <c r="I288" s="30" t="n"/>
      <c r="J288" s="30" t="n"/>
      <c r="K288" s="30" t="n"/>
      <c r="L288" s="30" t="n"/>
      <c r="M288" s="31" t="n"/>
      <c r="N288" s="29" t="n"/>
      <c r="O288" s="31" t="n"/>
    </row>
    <row r="289" ht="15" customHeight="1" s="16">
      <c r="A289" s="26" t="n">
        <v>288</v>
      </c>
      <c r="B289" s="26" t="n">
        <v>46</v>
      </c>
      <c r="C289" s="26" t="n">
        <v>476</v>
      </c>
      <c r="D289" s="27" t="inlineStr">
        <is>
          <t>霍生曰</t>
        </is>
      </c>
      <c r="E289" s="32" t="inlineStr">
        <is>
          <t>俺舖專一收賣婦人的首飾</t>
        </is>
      </c>
      <c r="F289" s="27" t="inlineStr">
        <is>
          <t>不是麪家</t>
        </is>
      </c>
      <c r="G289" s="26" t="inlineStr">
        <is>
          <t>●</t>
        </is>
      </c>
      <c r="H289" s="29" t="n"/>
      <c r="I289" s="30" t="n"/>
      <c r="J289" s="30" t="n"/>
      <c r="K289" s="30" t="n"/>
      <c r="L289" s="30" t="n"/>
      <c r="M289" s="31" t="n"/>
      <c r="N289" s="29" t="n"/>
      <c r="O289" s="31" t="n"/>
    </row>
    <row r="290" ht="29.85" customHeight="1" s="16">
      <c r="A290" s="26" t="n">
        <v>289</v>
      </c>
      <c r="B290" s="26" t="n">
        <v>46</v>
      </c>
      <c r="C290" s="26" t="n">
        <v>477</v>
      </c>
      <c r="D290" s="27" t="inlineStr">
        <is>
          <t>俺舖專一收賣婦人的首飾</t>
        </is>
      </c>
      <c r="E290" s="28" t="inlineStr">
        <is>
          <t>不是麪家</t>
        </is>
      </c>
      <c r="F290" s="27" t="inlineStr">
        <is>
          <t>余始覺其誤</t>
        </is>
      </c>
      <c r="G290" s="26" t="n"/>
      <c r="H290" s="29" t="n"/>
      <c r="I290" s="30" t="n"/>
      <c r="J290" s="30" t="n"/>
      <c r="K290" s="30" t="n"/>
      <c r="L290" s="30" t="n"/>
      <c r="M290" s="31" t="n"/>
      <c r="N290" s="29" t="n"/>
      <c r="O290" s="31" t="n"/>
    </row>
    <row r="291" ht="29.85" customHeight="1" s="16">
      <c r="A291" s="26" t="n">
        <v>290</v>
      </c>
      <c r="B291" s="26" t="n">
        <v>46</v>
      </c>
      <c r="C291" s="26" t="n">
        <v>491</v>
      </c>
      <c r="D291" s="27" t="inlineStr">
        <is>
          <t>霍生問此號何義</t>
        </is>
      </c>
      <c r="E291" s="28" t="inlineStr">
        <is>
          <t>余曰</t>
        </is>
      </c>
      <c r="F291" s="27" t="inlineStr">
        <is>
          <t>今貴舖是收賣婦人的首飾</t>
        </is>
      </c>
      <c r="G291" s="26" t="n"/>
      <c r="H291" s="29" t="n"/>
      <c r="I291" s="30" t="n"/>
      <c r="J291" s="30" t="n"/>
      <c r="K291" s="30" t="n"/>
      <c r="L291" s="30" t="n"/>
      <c r="M291" s="31" t="n"/>
      <c r="N291" s="29" t="n"/>
      <c r="O291" s="31" t="n"/>
    </row>
    <row r="292" ht="15" customHeight="1" s="16">
      <c r="A292" s="26" t="n">
        <v>291</v>
      </c>
      <c r="B292" s="26" t="n">
        <v>46</v>
      </c>
      <c r="C292" s="26" t="n">
        <v>492</v>
      </c>
      <c r="D292" s="27" t="inlineStr">
        <is>
          <t>余曰</t>
        </is>
      </c>
      <c r="E292" s="32" t="inlineStr">
        <is>
          <t>今貴舖是收賣婦人的首飾</t>
        </is>
      </c>
      <c r="F292" s="27" t="inlineStr">
        <is>
          <t>詩所稱副笄六珈者是也</t>
        </is>
      </c>
      <c r="G292" s="26" t="inlineStr">
        <is>
          <t>●</t>
        </is>
      </c>
      <c r="H292" s="29" t="n"/>
      <c r="I292" s="30" t="n"/>
      <c r="J292" s="30" t="n"/>
      <c r="K292" s="30" t="n"/>
      <c r="L292" s="30" t="n"/>
      <c r="M292" s="31" t="n"/>
      <c r="N292" s="29" t="n"/>
      <c r="O292" s="31" t="n"/>
    </row>
    <row r="293" ht="29.85" customHeight="1" s="16">
      <c r="A293" s="26" t="n">
        <v>292</v>
      </c>
      <c r="B293" s="26" t="n">
        <v>46</v>
      </c>
      <c r="C293" s="26" t="n">
        <v>493</v>
      </c>
      <c r="D293" s="27" t="inlineStr">
        <is>
          <t>今貴舖是收賣婦人的首飾</t>
        </is>
      </c>
      <c r="E293" s="28" t="inlineStr">
        <is>
          <t>詩所稱副笄六珈者是也</t>
        </is>
      </c>
      <c r="F293" s="27" t="inlineStr">
        <is>
          <t>霍生謝曰</t>
        </is>
      </c>
      <c r="G293" s="26" t="n"/>
      <c r="H293" s="29" t="n"/>
      <c r="I293" s="30" t="n"/>
      <c r="J293" s="30" t="n"/>
      <c r="K293" s="30" t="n"/>
      <c r="L293" s="30" t="n"/>
      <c r="M293" s="31" t="n"/>
      <c r="N293" s="29" t="n"/>
      <c r="O293" s="31" t="n"/>
    </row>
    <row r="294" ht="15" customHeight="1" s="16">
      <c r="A294" s="26" t="n">
        <v>293</v>
      </c>
      <c r="B294" s="26" t="n">
        <v>59</v>
      </c>
      <c r="C294" s="26" t="n">
        <v>3</v>
      </c>
      <c r="D294" s="27" t="inlineStr">
        <is>
          <t>在承德南</t>
        </is>
      </c>
      <c r="E294" s="28" t="inlineStr">
        <is>
          <t>一名小遼水</t>
        </is>
      </c>
      <c r="F294" s="27" t="inlineStr">
        <is>
          <t>一名阿利江</t>
        </is>
      </c>
      <c r="G294" s="26" t="n"/>
      <c r="H294" s="29" t="n"/>
      <c r="I294" s="30" t="n"/>
      <c r="J294" s="30" t="n"/>
      <c r="K294" s="30" t="n"/>
      <c r="L294" s="30" t="n"/>
      <c r="M294" s="31" t="n"/>
      <c r="N294" s="29" t="n"/>
      <c r="O294" s="31" t="n"/>
    </row>
    <row r="295" ht="15" customHeight="1" s="16">
      <c r="A295" s="26" t="n">
        <v>294</v>
      </c>
      <c r="B295" s="26" t="n">
        <v>59</v>
      </c>
      <c r="C295" s="26" t="n">
        <v>4</v>
      </c>
      <c r="D295" s="27" t="inlineStr">
        <is>
          <t>一名小遼水</t>
        </is>
      </c>
      <c r="E295" s="32" t="inlineStr">
        <is>
          <t>一名阿利江</t>
        </is>
      </c>
      <c r="F295" s="27" t="inlineStr">
        <is>
          <t>一名蓒芋濼水</t>
        </is>
      </c>
      <c r="G295" s="26" t="inlineStr">
        <is>
          <t>●</t>
        </is>
      </c>
      <c r="H295" s="29" t="n"/>
      <c r="I295" s="30" t="n"/>
      <c r="J295" s="30" t="n"/>
      <c r="K295" s="30" t="n"/>
      <c r="L295" s="30" t="n"/>
      <c r="M295" s="31" t="n"/>
      <c r="N295" s="29" t="n"/>
      <c r="O295" s="31" t="n"/>
    </row>
    <row r="296" ht="15" customHeight="1" s="16">
      <c r="A296" s="26" t="n">
        <v>295</v>
      </c>
      <c r="B296" s="26" t="n">
        <v>59</v>
      </c>
      <c r="C296" s="26" t="n">
        <v>5</v>
      </c>
      <c r="D296" s="27" t="inlineStr">
        <is>
          <t>一名阿利江</t>
        </is>
      </c>
      <c r="E296" s="28" t="inlineStr">
        <is>
          <t>一名蓒芋濼水</t>
        </is>
      </c>
      <c r="F296" s="27" t="inlineStr">
        <is>
          <t>發源長白山</t>
        </is>
      </c>
      <c r="G296" s="26" t="n"/>
      <c r="H296" s="29" t="n"/>
      <c r="I296" s="30" t="n"/>
      <c r="J296" s="30" t="n"/>
      <c r="K296" s="30" t="n"/>
      <c r="L296" s="30" t="n"/>
      <c r="M296" s="31" t="n"/>
      <c r="N296" s="29" t="n"/>
      <c r="O296" s="31" t="n"/>
    </row>
  </sheetData>
  <dataValidations count="4">
    <dataValidation sqref="H2:H296" showDropDown="0" showInputMessage="0" showErrorMessage="0" allowBlank="1" type="list" errorStyle="stop" operator="between">
      <formula1>"Y,N"</formula1>
      <formula2>0</formula2>
    </dataValidation>
    <dataValidation sqref="I2:I296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296" showDropDown="0" showInputMessage="0" showErrorMessage="0" allowBlank="1" type="list" errorStyle="stop" operator="between">
      <formula1>"높음,보통,낮음"</formula1>
      <formula2>0</formula2>
    </dataValidation>
    <dataValidation sqref="J2:J296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2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3</v>
      </c>
      <c r="C2" s="26" t="n">
        <v>20</v>
      </c>
      <c r="D2" s="27" t="inlineStr">
        <is>
          <t>吾今疾書至此</t>
        </is>
      </c>
      <c r="E2" s="28" t="inlineStr">
        <is>
          <t>而一墨之頃</t>
        </is>
      </c>
      <c r="F2" s="27" t="inlineStr">
        <is>
          <t>不過瞬息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3</v>
      </c>
      <c r="C3" s="26" t="n">
        <v>21</v>
      </c>
      <c r="D3" s="27" t="inlineStr">
        <is>
          <t>而一墨之頃</t>
        </is>
      </c>
      <c r="E3" s="32" t="inlineStr">
        <is>
          <t>不過瞬息</t>
        </is>
      </c>
      <c r="F3" s="27" t="inlineStr">
        <is>
          <t>一瞬一息之頃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3</v>
      </c>
      <c r="C4" s="26" t="n">
        <v>22</v>
      </c>
      <c r="D4" s="27" t="inlineStr">
        <is>
          <t>不過瞬息</t>
        </is>
      </c>
      <c r="E4" s="32" t="inlineStr">
        <is>
          <t>一瞬一息之頃</t>
        </is>
      </c>
      <c r="F4" s="27" t="inlineStr">
        <is>
          <t>奄成小古小今</t>
        </is>
      </c>
      <c r="G4" s="26" t="inlineStr">
        <is>
          <t>●</t>
        </is>
      </c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3</v>
      </c>
      <c r="C5" s="26" t="n">
        <v>23</v>
      </c>
      <c r="D5" s="27" t="inlineStr">
        <is>
          <t>一瞬一息之頃</t>
        </is>
      </c>
      <c r="E5" s="28" t="inlineStr">
        <is>
          <t>奄成小古小今</t>
        </is>
      </c>
      <c r="F5" s="27" t="inlineStr">
        <is>
          <t>則一古一今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15" customHeight="1" s="16">
      <c r="A6" s="26" t="n">
        <v>5</v>
      </c>
      <c r="B6" s="26" t="n">
        <v>3</v>
      </c>
      <c r="C6" s="26" t="n">
        <v>25</v>
      </c>
      <c r="D6" s="27" t="inlineStr">
        <is>
          <t>則一古一今</t>
        </is>
      </c>
      <c r="E6" s="28" t="inlineStr">
        <is>
          <t>亦可謂大瞬</t>
        </is>
      </c>
      <c r="F6" s="27" t="inlineStr">
        <is>
          <t>大息矣</t>
        </is>
      </c>
      <c r="G6" s="26" t="n"/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3</v>
      </c>
      <c r="C7" s="26" t="n">
        <v>26</v>
      </c>
      <c r="D7" s="27" t="inlineStr">
        <is>
          <t>亦可謂大瞬</t>
        </is>
      </c>
      <c r="E7" s="32" t="inlineStr">
        <is>
          <t>大息矣</t>
        </is>
      </c>
      <c r="F7" s="27" t="inlineStr">
        <is>
          <t>乃欲立名立事於其間</t>
        </is>
      </c>
      <c r="G7" s="26" t="inlineStr">
        <is>
          <t>●</t>
        </is>
      </c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3</v>
      </c>
      <c r="C8" s="26" t="n">
        <v>27</v>
      </c>
      <c r="D8" s="27" t="inlineStr">
        <is>
          <t>大息矣</t>
        </is>
      </c>
      <c r="E8" s="28" t="inlineStr">
        <is>
          <t>乃欲立名立事於其間</t>
        </is>
      </c>
      <c r="F8" s="27" t="inlineStr">
        <is>
          <t>豈不哀哉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3</v>
      </c>
      <c r="C9" s="26" t="n">
        <v>35</v>
      </c>
      <c r="D9" s="27" t="inlineStr">
        <is>
          <t>霧漫漫</t>
        </is>
      </c>
      <c r="E9" s="28" t="inlineStr">
        <is>
          <t>上承月光</t>
        </is>
      </c>
      <c r="F9" s="27" t="inlineStr">
        <is>
          <t>如水銀海</t>
        </is>
      </c>
      <c r="G9" s="26" t="n"/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3</v>
      </c>
      <c r="C10" s="26" t="n">
        <v>36</v>
      </c>
      <c r="D10" s="27" t="inlineStr">
        <is>
          <t>上承月光</t>
        </is>
      </c>
      <c r="E10" s="32" t="inlineStr">
        <is>
          <t>如水銀海</t>
        </is>
      </c>
      <c r="F10" s="27" t="inlineStr">
        <is>
          <t>海底殷殷有聲如鼾鼻</t>
        </is>
      </c>
      <c r="G10" s="26" t="inlineStr">
        <is>
          <t>●</t>
        </is>
      </c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3</v>
      </c>
      <c r="C11" s="26" t="n">
        <v>37</v>
      </c>
      <c r="D11" s="27" t="inlineStr">
        <is>
          <t>如水銀海</t>
        </is>
      </c>
      <c r="E11" s="28" t="inlineStr">
        <is>
          <t>海底殷殷有聲如鼾鼻</t>
        </is>
      </c>
      <c r="F11" s="27" t="inlineStr">
        <is>
          <t>寺僧相語曰</t>
        </is>
      </c>
      <c r="G11" s="26" t="n"/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15" customHeight="1" s="16">
      <c r="A12" s="26" t="n">
        <v>11</v>
      </c>
      <c r="B12" s="26" t="n">
        <v>4</v>
      </c>
      <c r="C12" s="26" t="n">
        <v>60</v>
      </c>
      <c r="D12" s="27" t="inlineStr">
        <is>
          <t>士庶人也薙髮</t>
        </is>
      </c>
      <c r="E12" s="28" t="inlineStr">
        <is>
          <t>雖功德侔殷周</t>
        </is>
      </c>
      <c r="F12" s="27" t="inlineStr">
        <is>
          <t>富强邁秦漢</t>
        </is>
      </c>
      <c r="G12" s="26" t="n"/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4</v>
      </c>
      <c r="C13" s="26" t="n">
        <v>61</v>
      </c>
      <c r="D13" s="27" t="inlineStr">
        <is>
          <t>雖功德侔殷周</t>
        </is>
      </c>
      <c r="E13" s="32" t="inlineStr">
        <is>
          <t>富强邁秦漢</t>
        </is>
      </c>
      <c r="F13" s="27" t="inlineStr">
        <is>
          <t>自生民以來</t>
        </is>
      </c>
      <c r="G13" s="26" t="inlineStr">
        <is>
          <t>●</t>
        </is>
      </c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4</v>
      </c>
      <c r="C14" s="26" t="n">
        <v>62</v>
      </c>
      <c r="D14" s="27" t="inlineStr">
        <is>
          <t>富强邁秦漢</t>
        </is>
      </c>
      <c r="E14" s="28" t="inlineStr">
        <is>
          <t>自生民以來</t>
        </is>
      </c>
      <c r="F14" s="27" t="inlineStr">
        <is>
          <t>未有薙髮之天子也</t>
        </is>
      </c>
      <c r="G14" s="26" t="n"/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4</v>
      </c>
      <c r="C15" s="26" t="n">
        <v>136</v>
      </c>
      <c r="D15" s="27" t="inlineStr">
        <is>
          <t>固自</t>
        </is>
      </c>
      <c r="E15" s="28" t="inlineStr">
        <is>
          <t>在也</t>
        </is>
      </c>
      <c r="F15" s="27" t="inlineStr">
        <is>
          <t>正德利用厚生之具</t>
        </is>
      </c>
      <c r="G15" s="26" t="n"/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15" customHeight="1" s="16">
      <c r="A16" s="26" t="n">
        <v>15</v>
      </c>
      <c r="B16" s="26" t="n">
        <v>4</v>
      </c>
      <c r="C16" s="26" t="n">
        <v>137</v>
      </c>
      <c r="D16" s="27" t="inlineStr">
        <is>
          <t>在也</t>
        </is>
      </c>
      <c r="E16" s="32" t="inlineStr">
        <is>
          <t>正德利用厚生之具</t>
        </is>
      </c>
      <c r="F16" s="27" t="inlineStr">
        <is>
          <t>固自如也</t>
        </is>
      </c>
      <c r="G16" s="26" t="inlineStr">
        <is>
          <t>●</t>
        </is>
      </c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29.85" customHeight="1" s="16">
      <c r="A17" s="26" t="n">
        <v>16</v>
      </c>
      <c r="B17" s="26" t="n">
        <v>4</v>
      </c>
      <c r="C17" s="26" t="n">
        <v>138</v>
      </c>
      <c r="D17" s="27" t="inlineStr">
        <is>
          <t>正德利用厚生之具</t>
        </is>
      </c>
      <c r="E17" s="28" t="inlineStr">
        <is>
          <t>固自如也</t>
        </is>
      </c>
      <c r="F17" s="27" t="inlineStr">
        <is>
          <t>崔盧王謝之氏族固不廢也</t>
        </is>
      </c>
      <c r="G17" s="26" t="n"/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15" customHeight="1" s="16">
      <c r="A18" s="26" t="n">
        <v>17</v>
      </c>
      <c r="B18" s="26" t="n">
        <v>4</v>
      </c>
      <c r="C18" s="26" t="n">
        <v>145</v>
      </c>
      <c r="D18" s="27" t="inlineStr">
        <is>
          <t>固不變也</t>
        </is>
      </c>
      <c r="E18" s="28" t="inlineStr">
        <is>
          <t>彼胡虜者</t>
        </is>
      </c>
      <c r="F18" s="27" t="inlineStr">
        <is>
          <t>誠知中國之可利</t>
        </is>
      </c>
      <c r="G18" s="26" t="n"/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4</v>
      </c>
      <c r="C19" s="26" t="n">
        <v>146</v>
      </c>
      <c r="D19" s="27" t="inlineStr">
        <is>
          <t>彼胡虜者</t>
        </is>
      </c>
      <c r="E19" s="32" t="inlineStr">
        <is>
          <t>誠知中國之可利</t>
        </is>
      </c>
      <c r="F19" s="27" t="inlineStr">
        <is>
          <t>而足以久享</t>
        </is>
      </c>
      <c r="G19" s="26" t="inlineStr">
        <is>
          <t>●</t>
        </is>
      </c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15" customHeight="1" s="16">
      <c r="A20" s="26" t="n">
        <v>19</v>
      </c>
      <c r="B20" s="26" t="n">
        <v>4</v>
      </c>
      <c r="C20" s="26" t="n">
        <v>147</v>
      </c>
      <c r="D20" s="27" t="inlineStr">
        <is>
          <t>誠知中國之可利</t>
        </is>
      </c>
      <c r="E20" s="28" t="inlineStr">
        <is>
          <t>而足以久享</t>
        </is>
      </c>
      <c r="F20" s="27" t="inlineStr">
        <is>
          <t>則至於奪而據</t>
        </is>
      </c>
      <c r="G20" s="26" t="n"/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15" customHeight="1" s="16">
      <c r="A21" s="26" t="n">
        <v>20</v>
      </c>
      <c r="B21" s="26" t="n">
        <v>4</v>
      </c>
      <c r="C21" s="26" t="n">
        <v>151</v>
      </c>
      <c r="D21" s="27" t="inlineStr">
        <is>
          <t>若固有之</t>
        </is>
      </c>
      <c r="E21" s="28" t="inlineStr">
        <is>
          <t>爲天下者</t>
        </is>
      </c>
      <c r="F21" s="27" t="inlineStr">
        <is>
          <t>苟利於民而厚於國</t>
        </is>
      </c>
      <c r="G21" s="26" t="n"/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15" customHeight="1" s="16">
      <c r="A22" s="26" t="n">
        <v>21</v>
      </c>
      <c r="B22" s="26" t="n">
        <v>4</v>
      </c>
      <c r="C22" s="26" t="n">
        <v>152</v>
      </c>
      <c r="D22" s="27" t="inlineStr">
        <is>
          <t>爲天下者</t>
        </is>
      </c>
      <c r="E22" s="32" t="inlineStr">
        <is>
          <t>苟利於民而厚於國</t>
        </is>
      </c>
      <c r="F22" s="27" t="inlineStr">
        <is>
          <t>雖其法之或出於夷狄</t>
        </is>
      </c>
      <c r="G22" s="26" t="inlineStr">
        <is>
          <t>●</t>
        </is>
      </c>
      <c r="H22" s="29" t="n"/>
      <c r="I22" s="30" t="n"/>
      <c r="J22" s="30" t="n"/>
      <c r="K22" s="30" t="n"/>
      <c r="L22" s="30" t="n"/>
      <c r="M22" s="31" t="n"/>
      <c r="N22" s="29" t="n"/>
      <c r="O22" s="31" t="n"/>
    </row>
    <row r="23" ht="15" customHeight="1" s="16">
      <c r="A23" s="26" t="n">
        <v>22</v>
      </c>
      <c r="B23" s="26" t="n">
        <v>4</v>
      </c>
      <c r="C23" s="26" t="n">
        <v>153</v>
      </c>
      <c r="D23" s="27" t="inlineStr">
        <is>
          <t>苟利於民而厚於國</t>
        </is>
      </c>
      <c r="E23" s="28" t="inlineStr">
        <is>
          <t>雖其法之或出於夷狄</t>
        </is>
      </c>
      <c r="F23" s="27" t="inlineStr">
        <is>
          <t>固將取而則之</t>
        </is>
      </c>
      <c r="G23" s="26" t="n"/>
      <c r="H23" s="29" t="n"/>
      <c r="I23" s="30" t="n"/>
      <c r="J23" s="30" t="n"/>
      <c r="K23" s="30" t="n"/>
      <c r="L23" s="30" t="n"/>
      <c r="M23" s="31" t="n"/>
      <c r="N23" s="29" t="n"/>
      <c r="O23" s="31" t="n"/>
    </row>
    <row r="24" ht="15" customHeight="1" s="16">
      <c r="A24" s="26" t="n">
        <v>23</v>
      </c>
      <c r="B24" s="26" t="n">
        <v>4</v>
      </c>
      <c r="C24" s="26" t="n">
        <v>166</v>
      </c>
      <c r="D24" s="27" t="inlineStr">
        <is>
          <t>自耕蠶陶冶</t>
        </is>
      </c>
      <c r="E24" s="28" t="inlineStr">
        <is>
          <t>以至通</t>
        </is>
      </c>
      <c r="F24" s="27" t="inlineStr">
        <is>
          <t>工惠商</t>
        </is>
      </c>
      <c r="G24" s="26" t="n"/>
      <c r="H24" s="29" t="n"/>
      <c r="I24" s="30" t="n"/>
      <c r="J24" s="30" t="n"/>
      <c r="K24" s="30" t="n"/>
      <c r="L24" s="30" t="n"/>
      <c r="M24" s="31" t="n"/>
      <c r="N24" s="29" t="n"/>
      <c r="O24" s="31" t="n"/>
    </row>
    <row r="25" ht="15" customHeight="1" s="16">
      <c r="A25" s="26" t="n">
        <v>24</v>
      </c>
      <c r="B25" s="26" t="n">
        <v>4</v>
      </c>
      <c r="C25" s="26" t="n">
        <v>167</v>
      </c>
      <c r="D25" s="27" t="inlineStr">
        <is>
          <t>以至通</t>
        </is>
      </c>
      <c r="E25" s="32" t="inlineStr">
        <is>
          <t>工惠商</t>
        </is>
      </c>
      <c r="F25" s="27" t="inlineStr">
        <is>
          <t>莫不學焉</t>
        </is>
      </c>
      <c r="G25" s="26" t="inlineStr">
        <is>
          <t>●</t>
        </is>
      </c>
      <c r="H25" s="29" t="n"/>
      <c r="I25" s="30" t="n"/>
      <c r="J25" s="30" t="n"/>
      <c r="K25" s="30" t="n"/>
      <c r="L25" s="30" t="n"/>
      <c r="M25" s="31" t="n"/>
      <c r="N25" s="29" t="n"/>
      <c r="O25" s="31" t="n"/>
    </row>
    <row r="26" ht="15" customHeight="1" s="16">
      <c r="A26" s="26" t="n">
        <v>25</v>
      </c>
      <c r="B26" s="26" t="n">
        <v>4</v>
      </c>
      <c r="C26" s="26" t="n">
        <v>168</v>
      </c>
      <c r="D26" s="27" t="inlineStr">
        <is>
          <t>工惠商</t>
        </is>
      </c>
      <c r="E26" s="28" t="inlineStr">
        <is>
          <t>莫不學焉</t>
        </is>
      </c>
      <c r="F26" s="27" t="inlineStr">
        <is>
          <t>人十己百</t>
        </is>
      </c>
      <c r="G26" s="26" t="n"/>
      <c r="H26" s="29" t="n"/>
      <c r="I26" s="30" t="n"/>
      <c r="J26" s="30" t="n"/>
      <c r="K26" s="30" t="n"/>
      <c r="L26" s="30" t="n"/>
      <c r="M26" s="31" t="n"/>
      <c r="N26" s="29" t="n"/>
      <c r="O26" s="31" t="n"/>
    </row>
    <row r="27" ht="15" customHeight="1" s="16">
      <c r="A27" s="26" t="n">
        <v>26</v>
      </c>
      <c r="B27" s="26" t="n">
        <v>4</v>
      </c>
      <c r="C27" s="26" t="n">
        <v>169</v>
      </c>
      <c r="D27" s="27" t="inlineStr">
        <is>
          <t>莫不學焉</t>
        </is>
      </c>
      <c r="E27" s="28" t="inlineStr">
        <is>
          <t>人十己百</t>
        </is>
      </c>
      <c r="F27" s="27" t="inlineStr">
        <is>
          <t>先利吾民</t>
        </is>
      </c>
      <c r="G27" s="26" t="n"/>
      <c r="H27" s="29" t="n"/>
      <c r="I27" s="30" t="n"/>
      <c r="J27" s="30" t="n"/>
      <c r="K27" s="30" t="n"/>
      <c r="L27" s="30" t="n"/>
      <c r="M27" s="31" t="n"/>
      <c r="N27" s="29" t="n"/>
      <c r="O27" s="31" t="n"/>
    </row>
    <row r="28" ht="15" customHeight="1" s="16">
      <c r="A28" s="26" t="n">
        <v>27</v>
      </c>
      <c r="B28" s="26" t="n">
        <v>4</v>
      </c>
      <c r="C28" s="26" t="n">
        <v>170</v>
      </c>
      <c r="D28" s="27" t="inlineStr">
        <is>
          <t>人十己百</t>
        </is>
      </c>
      <c r="E28" s="32" t="inlineStr">
        <is>
          <t>先利吾民</t>
        </is>
      </c>
      <c r="F28" s="27" t="inlineStr">
        <is>
          <t>使吾民制梃</t>
        </is>
      </c>
      <c r="G28" s="26" t="inlineStr">
        <is>
          <t>●</t>
        </is>
      </c>
      <c r="H28" s="29" t="n"/>
      <c r="I28" s="30" t="n"/>
      <c r="J28" s="30" t="n"/>
      <c r="K28" s="30" t="n"/>
      <c r="L28" s="30" t="n"/>
      <c r="M28" s="31" t="n"/>
      <c r="N28" s="29" t="n"/>
      <c r="O28" s="31" t="n"/>
    </row>
    <row r="29" ht="15" customHeight="1" s="16">
      <c r="A29" s="26" t="n">
        <v>28</v>
      </c>
      <c r="B29" s="26" t="n">
        <v>4</v>
      </c>
      <c r="C29" s="26" t="n">
        <v>171</v>
      </c>
      <c r="D29" s="27" t="inlineStr">
        <is>
          <t>先利吾民</t>
        </is>
      </c>
      <c r="E29" s="28" t="inlineStr">
        <is>
          <t>使吾民制梃</t>
        </is>
      </c>
      <c r="F29" s="27" t="inlineStr">
        <is>
          <t>而足以撻彼之堅甲利兵</t>
        </is>
      </c>
      <c r="G29" s="26" t="n"/>
      <c r="H29" s="29" t="n"/>
      <c r="I29" s="30" t="n"/>
      <c r="J29" s="30" t="n"/>
      <c r="K29" s="30" t="n"/>
      <c r="L29" s="30" t="n"/>
      <c r="M29" s="31" t="n"/>
      <c r="N29" s="29" t="n"/>
      <c r="O29" s="31" t="n"/>
    </row>
    <row r="30" ht="15" customHeight="1" s="16">
      <c r="A30" s="26" t="n">
        <v>29</v>
      </c>
      <c r="B30" s="26" t="n">
        <v>4</v>
      </c>
      <c r="C30" s="26" t="n">
        <v>172</v>
      </c>
      <c r="D30" s="27" t="inlineStr">
        <is>
          <t>使吾民制梃</t>
        </is>
      </c>
      <c r="E30" s="32" t="inlineStr">
        <is>
          <t>而足以撻彼之堅甲利兵</t>
        </is>
      </c>
      <c r="F30" s="27" t="inlineStr">
        <is>
          <t>然後謂中國無可觀可</t>
        </is>
      </c>
      <c r="G30" s="26" t="inlineStr">
        <is>
          <t>●</t>
        </is>
      </c>
      <c r="H30" s="29" t="n"/>
      <c r="I30" s="30" t="n"/>
      <c r="J30" s="30" t="n"/>
      <c r="K30" s="30" t="n"/>
      <c r="L30" s="30" t="n"/>
      <c r="M30" s="31" t="n"/>
      <c r="N30" s="29" t="n"/>
      <c r="O30" s="31" t="n"/>
    </row>
    <row r="31" ht="15" customHeight="1" s="16">
      <c r="A31" s="26" t="n">
        <v>30</v>
      </c>
      <c r="B31" s="26" t="n">
        <v>4</v>
      </c>
      <c r="C31" s="26" t="n">
        <v>173</v>
      </c>
      <c r="D31" s="27" t="inlineStr">
        <is>
          <t>而足以撻彼之堅甲利兵</t>
        </is>
      </c>
      <c r="E31" s="28" t="inlineStr">
        <is>
          <t>然後謂中國無可觀可</t>
        </is>
      </c>
      <c r="F31" s="27" t="inlineStr">
        <is>
          <t>也</t>
        </is>
      </c>
      <c r="G31" s="26" t="n"/>
      <c r="H31" s="29" t="n"/>
      <c r="I31" s="30" t="n"/>
      <c r="J31" s="30" t="n"/>
      <c r="K31" s="30" t="n"/>
      <c r="L31" s="30" t="n"/>
      <c r="M31" s="31" t="n"/>
      <c r="N31" s="29" t="n"/>
      <c r="O31" s="31" t="n"/>
    </row>
    <row r="32" ht="15" customHeight="1" s="16">
      <c r="A32" s="26" t="n">
        <v>31</v>
      </c>
      <c r="B32" s="26" t="n">
        <v>4</v>
      </c>
      <c r="C32" s="26" t="n">
        <v>184</v>
      </c>
      <c r="D32" s="27" t="inlineStr">
        <is>
          <t>爲波濤之紋</t>
        </is>
      </c>
      <c r="E32" s="28" t="inlineStr">
        <is>
          <t>四合而成連環之形</t>
        </is>
      </c>
      <c r="F32" s="27" t="inlineStr">
        <is>
          <t>四背而成古魯錢</t>
        </is>
      </c>
      <c r="G32" s="26" t="n"/>
      <c r="H32" s="29" t="n"/>
      <c r="I32" s="30" t="n"/>
      <c r="J32" s="30" t="n"/>
      <c r="K32" s="30" t="n"/>
      <c r="L32" s="30" t="n"/>
      <c r="M32" s="31" t="n"/>
      <c r="N32" s="29" t="n"/>
      <c r="O32" s="31" t="n"/>
    </row>
    <row r="33" ht="15" customHeight="1" s="16">
      <c r="A33" s="26" t="n">
        <v>32</v>
      </c>
      <c r="B33" s="26" t="n">
        <v>4</v>
      </c>
      <c r="C33" s="26" t="n">
        <v>185</v>
      </c>
      <c r="D33" s="27" t="inlineStr">
        <is>
          <t>四合而成連環之形</t>
        </is>
      </c>
      <c r="E33" s="32" t="inlineStr">
        <is>
          <t>四背而成古魯錢</t>
        </is>
      </c>
      <c r="F33" s="27" t="inlineStr">
        <is>
          <t>嵌空玲瓏</t>
        </is>
      </c>
      <c r="G33" s="26" t="inlineStr">
        <is>
          <t>●</t>
        </is>
      </c>
      <c r="H33" s="29" t="n"/>
      <c r="I33" s="30" t="n"/>
      <c r="J33" s="30" t="n"/>
      <c r="K33" s="30" t="n"/>
      <c r="L33" s="30" t="n"/>
      <c r="M33" s="31" t="n"/>
      <c r="N33" s="29" t="n"/>
      <c r="O33" s="31" t="n"/>
    </row>
    <row r="34" ht="15" customHeight="1" s="16">
      <c r="A34" s="26" t="n">
        <v>33</v>
      </c>
      <c r="B34" s="26" t="n">
        <v>4</v>
      </c>
      <c r="C34" s="26" t="n">
        <v>186</v>
      </c>
      <c r="D34" s="27" t="inlineStr">
        <is>
          <t>四背而成古魯錢</t>
        </is>
      </c>
      <c r="E34" s="28" t="inlineStr">
        <is>
          <t>嵌空玲瓏</t>
        </is>
      </c>
      <c r="F34" s="27" t="inlineStr">
        <is>
          <t>外內交映</t>
        </is>
      </c>
      <c r="G34" s="26" t="n"/>
      <c r="H34" s="29" t="n"/>
      <c r="I34" s="30" t="n"/>
      <c r="J34" s="30" t="n"/>
      <c r="K34" s="30" t="n"/>
      <c r="L34" s="30" t="n"/>
      <c r="M34" s="31" t="n"/>
      <c r="N34" s="29" t="n"/>
      <c r="O34" s="31" t="n"/>
    </row>
    <row r="35" ht="15" customHeight="1" s="16">
      <c r="A35" s="26" t="n">
        <v>34</v>
      </c>
      <c r="B35" s="26" t="n">
        <v>4</v>
      </c>
      <c r="C35" s="26" t="n">
        <v>191</v>
      </c>
      <c r="D35" s="27" t="inlineStr">
        <is>
          <t>之文章斯在矣</t>
        </is>
      </c>
      <c r="E35" s="28" t="inlineStr">
        <is>
          <t>民家門庭</t>
        </is>
      </c>
      <c r="F35" s="27" t="inlineStr">
        <is>
          <t>貧不能鋪甎</t>
        </is>
      </c>
      <c r="G35" s="26" t="n"/>
      <c r="H35" s="29" t="n"/>
      <c r="I35" s="30" t="n"/>
      <c r="J35" s="30" t="n"/>
      <c r="K35" s="30" t="n"/>
      <c r="L35" s="30" t="n"/>
      <c r="M35" s="31" t="n"/>
      <c r="N35" s="29" t="n"/>
      <c r="O35" s="31" t="n"/>
    </row>
    <row r="36" ht="29.85" customHeight="1" s="16">
      <c r="A36" s="26" t="n">
        <v>35</v>
      </c>
      <c r="B36" s="26" t="n">
        <v>4</v>
      </c>
      <c r="C36" s="26" t="n">
        <v>192</v>
      </c>
      <c r="D36" s="27" t="inlineStr">
        <is>
          <t>民家門庭</t>
        </is>
      </c>
      <c r="E36" s="32" t="inlineStr">
        <is>
          <t>貧不能鋪甎</t>
        </is>
      </c>
      <c r="F36" s="27" t="inlineStr">
        <is>
          <t>則聚諸色琉璃碎瓦及水邊小礫之磨圓者</t>
        </is>
      </c>
      <c r="G36" s="26" t="inlineStr">
        <is>
          <t>●</t>
        </is>
      </c>
      <c r="H36" s="29" t="n"/>
      <c r="I36" s="30" t="n"/>
      <c r="J36" s="30" t="n"/>
      <c r="K36" s="30" t="n"/>
      <c r="L36" s="30" t="n"/>
      <c r="M36" s="31" t="n"/>
      <c r="N36" s="29" t="n"/>
      <c r="O36" s="31" t="n"/>
    </row>
    <row r="37" ht="29.85" customHeight="1" s="16">
      <c r="A37" s="26" t="n">
        <v>36</v>
      </c>
      <c r="B37" s="26" t="n">
        <v>4</v>
      </c>
      <c r="C37" s="26" t="n">
        <v>193</v>
      </c>
      <c r="D37" s="27" t="inlineStr">
        <is>
          <t>貧不能鋪甎</t>
        </is>
      </c>
      <c r="E37" s="28" t="inlineStr">
        <is>
          <t>則聚諸色琉璃碎瓦及水邊小礫之磨圓者</t>
        </is>
      </c>
      <c r="F37" s="27" t="inlineStr">
        <is>
          <t>錯成花樹鳥獸之形</t>
        </is>
      </c>
      <c r="G37" s="26" t="n"/>
      <c r="H37" s="29" t="n"/>
      <c r="I37" s="30" t="n"/>
      <c r="J37" s="30" t="n"/>
      <c r="K37" s="30" t="n"/>
      <c r="L37" s="30" t="n"/>
      <c r="M37" s="31" t="n"/>
      <c r="N37" s="29" t="n"/>
      <c r="O37" s="31" t="n"/>
    </row>
    <row r="38" ht="15" customHeight="1" s="16">
      <c r="A38" s="26" t="n">
        <v>37</v>
      </c>
      <c r="B38" s="26" t="n">
        <v>6</v>
      </c>
      <c r="C38" s="26" t="n">
        <v>41</v>
      </c>
      <c r="D38" s="27" t="inlineStr">
        <is>
          <t>舜封十有二山</t>
        </is>
      </c>
      <c r="E38" s="28" t="inlineStr">
        <is>
          <t>以醫巫閭爲幽州之鎭</t>
        </is>
      </c>
      <c r="F38" s="27" t="inlineStr">
        <is>
          <t>夏商周秦皆因之</t>
        </is>
      </c>
      <c r="G38" s="26" t="n"/>
      <c r="H38" s="29" t="n"/>
      <c r="I38" s="30" t="n"/>
      <c r="J38" s="30" t="n"/>
      <c r="K38" s="30" t="n"/>
      <c r="L38" s="30" t="n"/>
      <c r="M38" s="31" t="n"/>
      <c r="N38" s="29" t="n"/>
      <c r="O38" s="31" t="n"/>
    </row>
    <row r="39" ht="15" customHeight="1" s="16">
      <c r="A39" s="26" t="n">
        <v>38</v>
      </c>
      <c r="B39" s="26" t="n">
        <v>6</v>
      </c>
      <c r="C39" s="26" t="n">
        <v>42</v>
      </c>
      <c r="D39" s="27" t="inlineStr">
        <is>
          <t>以醫巫閭爲幽州之鎭</t>
        </is>
      </c>
      <c r="E39" s="32" t="inlineStr">
        <is>
          <t>夏商周秦皆因之</t>
        </is>
      </c>
      <c r="F39" s="27" t="inlineStr">
        <is>
          <t>禮視嶽瀆</t>
        </is>
      </c>
      <c r="G39" s="26" t="inlineStr">
        <is>
          <t>●</t>
        </is>
      </c>
      <c r="H39" s="29" t="n"/>
      <c r="I39" s="30" t="n"/>
      <c r="J39" s="30" t="n"/>
      <c r="K39" s="30" t="n"/>
      <c r="L39" s="30" t="n"/>
      <c r="M39" s="31" t="n"/>
      <c r="N39" s="29" t="n"/>
      <c r="O39" s="31" t="n"/>
    </row>
    <row r="40" ht="15" customHeight="1" s="16">
      <c r="A40" s="26" t="n">
        <v>39</v>
      </c>
      <c r="B40" s="26" t="n">
        <v>6</v>
      </c>
      <c r="C40" s="26" t="n">
        <v>43</v>
      </c>
      <c r="D40" s="27" t="inlineStr">
        <is>
          <t>夏商周秦皆因之</t>
        </is>
      </c>
      <c r="E40" s="28" t="inlineStr">
        <is>
          <t>禮視嶽瀆</t>
        </is>
      </c>
      <c r="F40" s="27" t="inlineStr">
        <is>
          <t>雖未知廟刱何代</t>
        </is>
      </c>
      <c r="G40" s="26" t="n"/>
      <c r="H40" s="29" t="n"/>
      <c r="I40" s="30" t="n"/>
      <c r="J40" s="30" t="n"/>
      <c r="K40" s="30" t="n"/>
      <c r="L40" s="30" t="n"/>
      <c r="M40" s="31" t="n"/>
      <c r="N40" s="29" t="n"/>
      <c r="O40" s="31" t="n"/>
    </row>
    <row r="41" ht="15" customHeight="1" s="16">
      <c r="A41" s="26" t="n">
        <v>40</v>
      </c>
      <c r="B41" s="26" t="n">
        <v>6</v>
      </c>
      <c r="C41" s="26" t="n">
        <v>73</v>
      </c>
      <c r="D41" s="27" t="inlineStr">
        <is>
          <t>純石架</t>
        </is>
      </c>
      <c r="E41" s="28" t="inlineStr">
        <is>
          <t>起棟椽甍檐</t>
        </is>
      </c>
      <c r="F41" s="27" t="inlineStr">
        <is>
          <t>不資一</t>
        </is>
      </c>
      <c r="G41" s="26" t="n"/>
      <c r="H41" s="29" t="n"/>
      <c r="I41" s="30" t="n"/>
      <c r="J41" s="30" t="n"/>
      <c r="K41" s="30" t="n"/>
      <c r="L41" s="30" t="n"/>
      <c r="M41" s="31" t="n"/>
      <c r="N41" s="29" t="n"/>
      <c r="O41" s="31" t="n"/>
    </row>
    <row r="42" ht="15" customHeight="1" s="16">
      <c r="A42" s="26" t="n">
        <v>41</v>
      </c>
      <c r="B42" s="26" t="n">
        <v>6</v>
      </c>
      <c r="C42" s="26" t="n">
        <v>74</v>
      </c>
      <c r="D42" s="27" t="inlineStr">
        <is>
          <t>起棟椽甍檐</t>
        </is>
      </c>
      <c r="E42" s="32" t="inlineStr">
        <is>
          <t>不資一</t>
        </is>
      </c>
      <c r="F42" s="27" t="inlineStr">
        <is>
          <t>木</t>
        </is>
      </c>
      <c r="G42" s="26" t="inlineStr">
        <is>
          <t>●</t>
        </is>
      </c>
      <c r="H42" s="29" t="n"/>
      <c r="I42" s="30" t="n"/>
      <c r="J42" s="30" t="n"/>
      <c r="K42" s="30" t="n"/>
      <c r="L42" s="30" t="n"/>
      <c r="M42" s="31" t="n"/>
      <c r="N42" s="29" t="n"/>
      <c r="O42" s="31" t="n"/>
    </row>
    <row r="43" ht="15" customHeight="1" s="16">
      <c r="A43" s="26" t="n">
        <v>42</v>
      </c>
      <c r="B43" s="26" t="n">
        <v>6</v>
      </c>
      <c r="C43" s="26" t="n">
        <v>75</v>
      </c>
      <c r="D43" s="27" t="inlineStr">
        <is>
          <t>不資一</t>
        </is>
      </c>
      <c r="E43" s="28" t="inlineStr">
        <is>
          <t>木</t>
        </is>
      </c>
      <c r="F43" s="27" t="inlineStr">
        <is>
          <t>高四五丈</t>
        </is>
      </c>
      <c r="G43" s="26" t="n"/>
      <c r="H43" s="29" t="n"/>
      <c r="I43" s="30" t="n"/>
      <c r="J43" s="30" t="n"/>
      <c r="K43" s="30" t="n"/>
      <c r="L43" s="30" t="n"/>
      <c r="M43" s="31" t="n"/>
      <c r="N43" s="29" t="n"/>
      <c r="O43" s="31" t="n"/>
    </row>
    <row r="44" ht="15" customHeight="1" s="16">
      <c r="A44" s="26" t="n">
        <v>43</v>
      </c>
      <c r="B44" s="26" t="n">
        <v>8</v>
      </c>
      <c r="C44" s="26" t="n">
        <v>12</v>
      </c>
      <c r="D44" s="27" t="inlineStr">
        <is>
          <t>或綾緞或羽緞爲帳</t>
        </is>
      </c>
      <c r="E44" s="28" t="inlineStr">
        <is>
          <t>或垂緗</t>
        </is>
      </c>
      <c r="F44" s="27" t="inlineStr">
        <is>
          <t>簾用銀鈕</t>
        </is>
      </c>
      <c r="G44" s="26" t="n"/>
      <c r="H44" s="29" t="n"/>
      <c r="I44" s="30" t="n"/>
      <c r="J44" s="30" t="n"/>
      <c r="K44" s="30" t="n"/>
      <c r="L44" s="30" t="n"/>
      <c r="M44" s="31" t="n"/>
      <c r="N44" s="29" t="n"/>
      <c r="O44" s="31" t="n"/>
    </row>
    <row r="45" ht="15" customHeight="1" s="16">
      <c r="A45" s="26" t="n">
        <v>44</v>
      </c>
      <c r="B45" s="26" t="n">
        <v>8</v>
      </c>
      <c r="C45" s="26" t="n">
        <v>13</v>
      </c>
      <c r="D45" s="27" t="inlineStr">
        <is>
          <t>或垂緗</t>
        </is>
      </c>
      <c r="E45" s="32" t="inlineStr">
        <is>
          <t>簾用銀鈕</t>
        </is>
      </c>
      <c r="F45" s="27" t="inlineStr">
        <is>
          <t>開閉左右</t>
        </is>
      </c>
      <c r="G45" s="26" t="inlineStr">
        <is>
          <t>●</t>
        </is>
      </c>
      <c r="H45" s="29" t="n"/>
      <c r="I45" s="30" t="n"/>
      <c r="J45" s="30" t="n"/>
      <c r="K45" s="30" t="n"/>
      <c r="L45" s="30" t="n"/>
      <c r="M45" s="31" t="n"/>
      <c r="N45" s="29" t="n"/>
      <c r="O45" s="31" t="n"/>
    </row>
    <row r="46" ht="15" customHeight="1" s="16">
      <c r="A46" s="26" t="n">
        <v>45</v>
      </c>
      <c r="B46" s="26" t="n">
        <v>8</v>
      </c>
      <c r="C46" s="26" t="n">
        <v>14</v>
      </c>
      <c r="D46" s="27" t="inlineStr">
        <is>
          <t>簾用銀鈕</t>
        </is>
      </c>
      <c r="E46" s="28" t="inlineStr">
        <is>
          <t>開閉左右</t>
        </is>
      </c>
      <c r="F46" s="27" t="inlineStr">
        <is>
          <t>傅玻瓈爲窓</t>
        </is>
      </c>
      <c r="G46" s="26" t="n"/>
      <c r="H46" s="29" t="n"/>
      <c r="I46" s="30" t="n"/>
      <c r="J46" s="30" t="n"/>
      <c r="K46" s="30" t="n"/>
      <c r="L46" s="30" t="n"/>
      <c r="M46" s="31" t="n"/>
      <c r="N46" s="29" t="n"/>
      <c r="O46" s="31" t="n"/>
    </row>
    <row r="47" ht="15" customHeight="1" s="16">
      <c r="A47" s="26" t="n">
        <v>46</v>
      </c>
      <c r="B47" s="26" t="n">
        <v>10</v>
      </c>
      <c r="C47" s="26" t="n">
        <v>17</v>
      </c>
      <c r="D47" s="27" t="inlineStr">
        <is>
          <t>撑柱</t>
        </is>
      </c>
      <c r="E47" s="28" t="inlineStr">
        <is>
          <t>使不傾翻也</t>
        </is>
      </c>
      <c r="F47" s="27" t="inlineStr">
        <is>
          <t>沿路賣餠餌菓蓏者</t>
        </is>
      </c>
      <c r="G47" s="26" t="n"/>
      <c r="H47" s="29" t="n"/>
      <c r="I47" s="30" t="n"/>
      <c r="J47" s="30" t="n"/>
      <c r="K47" s="30" t="n"/>
      <c r="L47" s="30" t="n"/>
      <c r="M47" s="31" t="n"/>
      <c r="N47" s="29" t="n"/>
      <c r="O47" s="31" t="n"/>
    </row>
    <row r="48" ht="15" customHeight="1" s="16">
      <c r="A48" s="26" t="n">
        <v>47</v>
      </c>
      <c r="B48" s="26" t="n">
        <v>10</v>
      </c>
      <c r="C48" s="26" t="n">
        <v>18</v>
      </c>
      <c r="D48" s="27" t="inlineStr">
        <is>
          <t>使不傾翻也</t>
        </is>
      </c>
      <c r="E48" s="32" t="inlineStr">
        <is>
          <t>沿路賣餠餌菓蓏者</t>
        </is>
      </c>
      <c r="F48" s="27" t="inlineStr">
        <is>
          <t>皆用獨輪車</t>
        </is>
      </c>
      <c r="G48" s="26" t="inlineStr">
        <is>
          <t>●</t>
        </is>
      </c>
      <c r="H48" s="29" t="n"/>
      <c r="I48" s="30" t="n"/>
      <c r="J48" s="30" t="n"/>
      <c r="K48" s="30" t="n"/>
      <c r="L48" s="30" t="n"/>
      <c r="M48" s="31" t="n"/>
      <c r="N48" s="29" t="n"/>
      <c r="O48" s="31" t="n"/>
    </row>
    <row r="49" ht="15" customHeight="1" s="16">
      <c r="A49" s="26" t="n">
        <v>48</v>
      </c>
      <c r="B49" s="26" t="n">
        <v>10</v>
      </c>
      <c r="C49" s="26" t="n">
        <v>19</v>
      </c>
      <c r="D49" s="27" t="inlineStr">
        <is>
          <t>沿路賣餠餌菓蓏者</t>
        </is>
      </c>
      <c r="E49" s="28" t="inlineStr">
        <is>
          <t>皆用獨輪車</t>
        </is>
      </c>
      <c r="F49" s="27" t="inlineStr">
        <is>
          <t>尤便於田中輸糞</t>
        </is>
      </c>
      <c r="G49" s="26" t="n"/>
      <c r="H49" s="29" t="n"/>
      <c r="I49" s="30" t="n"/>
      <c r="J49" s="30" t="n"/>
      <c r="K49" s="30" t="n"/>
      <c r="L49" s="30" t="n"/>
      <c r="M49" s="31" t="n"/>
      <c r="N49" s="29" t="n"/>
      <c r="O49" s="31" t="n"/>
    </row>
    <row r="50" ht="15" customHeight="1" s="16">
      <c r="A50" s="26" t="n">
        <v>49</v>
      </c>
      <c r="B50" s="26" t="n">
        <v>11</v>
      </c>
      <c r="C50" s="26" t="n">
        <v>4</v>
      </c>
      <c r="D50" s="27" t="inlineStr">
        <is>
          <t>用旱之舟而能行之屋也</t>
        </is>
      </c>
      <c r="E50" s="28" t="inlineStr">
        <is>
          <t>有國之大用莫如車</t>
        </is>
      </c>
      <c r="F50" s="27" t="inlineStr">
        <is>
          <t>故周禮問國君之富</t>
        </is>
      </c>
      <c r="G50" s="26" t="n"/>
      <c r="H50" s="29" t="n"/>
      <c r="I50" s="30" t="n"/>
      <c r="J50" s="30" t="n"/>
      <c r="K50" s="30" t="n"/>
      <c r="L50" s="30" t="n"/>
      <c r="M50" s="31" t="n"/>
      <c r="N50" s="29" t="n"/>
      <c r="O50" s="31" t="n"/>
    </row>
    <row r="51" ht="15" customHeight="1" s="16">
      <c r="A51" s="26" t="n">
        <v>50</v>
      </c>
      <c r="B51" s="26" t="n">
        <v>11</v>
      </c>
      <c r="C51" s="26" t="n">
        <v>5</v>
      </c>
      <c r="D51" s="27" t="inlineStr">
        <is>
          <t>有國之大用莫如車</t>
        </is>
      </c>
      <c r="E51" s="32" t="inlineStr">
        <is>
          <t>故周禮問國君之富</t>
        </is>
      </c>
      <c r="F51" s="27" t="inlineStr">
        <is>
          <t>數車以</t>
        </is>
      </c>
      <c r="G51" s="26" t="inlineStr">
        <is>
          <t>●</t>
        </is>
      </c>
      <c r="H51" s="29" t="n"/>
      <c r="I51" s="30" t="n"/>
      <c r="J51" s="30" t="n"/>
      <c r="K51" s="30" t="n"/>
      <c r="L51" s="30" t="n"/>
      <c r="M51" s="31" t="n"/>
      <c r="N51" s="29" t="n"/>
      <c r="O51" s="31" t="n"/>
    </row>
    <row r="52" ht="15" customHeight="1" s="16">
      <c r="A52" s="26" t="n">
        <v>51</v>
      </c>
      <c r="B52" s="26" t="n">
        <v>11</v>
      </c>
      <c r="C52" s="26" t="n">
        <v>6</v>
      </c>
      <c r="D52" s="27" t="inlineStr">
        <is>
          <t>故周禮問國君之富</t>
        </is>
      </c>
      <c r="E52" s="28" t="inlineStr">
        <is>
          <t>數車以</t>
        </is>
      </c>
      <c r="F52" s="27" t="inlineStr">
        <is>
          <t>對</t>
        </is>
      </c>
      <c r="G52" s="26" t="n"/>
      <c r="H52" s="29" t="n"/>
      <c r="I52" s="30" t="n"/>
      <c r="J52" s="30" t="n"/>
      <c r="K52" s="30" t="n"/>
      <c r="L52" s="30" t="n"/>
      <c r="M52" s="31" t="n"/>
      <c r="N52" s="29" t="n"/>
      <c r="O52" s="31" t="n"/>
    </row>
    <row r="53" ht="15" customHeight="1" s="16">
      <c r="A53" s="26" t="n">
        <v>52</v>
      </c>
      <c r="B53" s="26" t="n">
        <v>11</v>
      </c>
      <c r="C53" s="26" t="n">
        <v>61</v>
      </c>
      <c r="D53" s="27" t="inlineStr">
        <is>
          <t>而亦莫不叱馭而過之</t>
        </is>
      </c>
      <c r="E53" s="28" t="inlineStr">
        <is>
          <t>是以關陜川蜀江淛閩廣之遠</t>
        </is>
      </c>
      <c r="F53" s="27" t="inlineStr">
        <is>
          <t>巨商大賈及絜眷赴官</t>
        </is>
      </c>
      <c r="G53" s="26" t="n"/>
      <c r="H53" s="29" t="n"/>
      <c r="I53" s="30" t="n"/>
      <c r="J53" s="30" t="n"/>
      <c r="K53" s="30" t="n"/>
      <c r="L53" s="30" t="n"/>
      <c r="M53" s="31" t="n"/>
      <c r="N53" s="29" t="n"/>
      <c r="O53" s="31" t="n"/>
    </row>
    <row r="54" ht="29.85" customHeight="1" s="16">
      <c r="A54" s="26" t="n">
        <v>53</v>
      </c>
      <c r="B54" s="26" t="n">
        <v>11</v>
      </c>
      <c r="C54" s="26" t="n">
        <v>62</v>
      </c>
      <c r="D54" s="27" t="inlineStr">
        <is>
          <t>是以關陜川蜀江淛閩廣之遠</t>
        </is>
      </c>
      <c r="E54" s="32" t="inlineStr">
        <is>
          <t>巨商大賈及絜眷赴官</t>
        </is>
      </c>
      <c r="F54" s="27" t="inlineStr">
        <is>
          <t>者</t>
        </is>
      </c>
      <c r="G54" s="26" t="inlineStr">
        <is>
          <t>●</t>
        </is>
      </c>
      <c r="H54" s="29" t="n"/>
      <c r="I54" s="30" t="n"/>
      <c r="J54" s="30" t="n"/>
      <c r="K54" s="30" t="n"/>
      <c r="L54" s="30" t="n"/>
      <c r="M54" s="31" t="n"/>
      <c r="N54" s="29" t="n"/>
      <c r="O54" s="31" t="n"/>
    </row>
    <row r="55" ht="15" customHeight="1" s="16">
      <c r="A55" s="26" t="n">
        <v>54</v>
      </c>
      <c r="B55" s="26" t="n">
        <v>11</v>
      </c>
      <c r="C55" s="26" t="n">
        <v>63</v>
      </c>
      <c r="D55" s="27" t="inlineStr">
        <is>
          <t>巨商大賈及絜眷赴官</t>
        </is>
      </c>
      <c r="E55" s="28" t="inlineStr">
        <is>
          <t>者</t>
        </is>
      </c>
      <c r="F55" s="27" t="inlineStr">
        <is>
          <t>車轂相擊</t>
        </is>
      </c>
      <c r="G55" s="26" t="n"/>
      <c r="H55" s="29" t="n"/>
      <c r="I55" s="30" t="n"/>
      <c r="J55" s="30" t="n"/>
      <c r="K55" s="30" t="n"/>
      <c r="L55" s="30" t="n"/>
      <c r="M55" s="31" t="n"/>
      <c r="N55" s="29" t="n"/>
      <c r="O55" s="31" t="n"/>
    </row>
    <row r="56" ht="15" customHeight="1" s="16">
      <c r="A56" s="26" t="n">
        <v>55</v>
      </c>
      <c r="B56" s="26" t="n">
        <v>11</v>
      </c>
      <c r="C56" s="26" t="n">
        <v>74</v>
      </c>
      <c r="D56" s="27" t="inlineStr">
        <is>
          <t>皆我人之所目擊</t>
        </is>
      </c>
      <c r="E56" s="28" t="inlineStr">
        <is>
          <t>亦有廢車而不行者乎</t>
        </is>
      </c>
      <c r="F56" s="27" t="inlineStr">
        <is>
          <t>所以中國之貨財殷富</t>
        </is>
      </c>
      <c r="G56" s="26" t="n"/>
      <c r="H56" s="29" t="n"/>
      <c r="I56" s="30" t="n"/>
      <c r="J56" s="30" t="n"/>
      <c r="K56" s="30" t="n"/>
      <c r="L56" s="30" t="n"/>
      <c r="M56" s="31" t="n"/>
      <c r="N56" s="29" t="n"/>
      <c r="O56" s="31" t="n"/>
    </row>
    <row r="57" ht="15" customHeight="1" s="16">
      <c r="A57" s="26" t="n">
        <v>56</v>
      </c>
      <c r="B57" s="26" t="n">
        <v>11</v>
      </c>
      <c r="C57" s="26" t="n">
        <v>75</v>
      </c>
      <c r="D57" s="27" t="inlineStr">
        <is>
          <t>亦有廢車而不行者乎</t>
        </is>
      </c>
      <c r="E57" s="32" t="inlineStr">
        <is>
          <t>所以中國之貨財殷富</t>
        </is>
      </c>
      <c r="F57" s="27" t="inlineStr">
        <is>
          <t>不滯一方</t>
        </is>
      </c>
      <c r="G57" s="26" t="inlineStr">
        <is>
          <t>●</t>
        </is>
      </c>
      <c r="H57" s="29" t="n"/>
      <c r="I57" s="30" t="n"/>
      <c r="J57" s="30" t="n"/>
      <c r="K57" s="30" t="n"/>
      <c r="L57" s="30" t="n"/>
      <c r="M57" s="31" t="n"/>
      <c r="N57" s="29" t="n"/>
      <c r="O57" s="31" t="n"/>
    </row>
    <row r="58" ht="15" customHeight="1" s="16">
      <c r="A58" s="26" t="n">
        <v>57</v>
      </c>
      <c r="B58" s="26" t="n">
        <v>11</v>
      </c>
      <c r="C58" s="26" t="n">
        <v>76</v>
      </c>
      <c r="D58" s="27" t="inlineStr">
        <is>
          <t>所以中國之貨財殷富</t>
        </is>
      </c>
      <c r="E58" s="28" t="inlineStr">
        <is>
          <t>不滯一方</t>
        </is>
      </c>
      <c r="F58" s="27" t="inlineStr">
        <is>
          <t>流行貿</t>
        </is>
      </c>
      <c r="G58" s="26" t="n"/>
      <c r="H58" s="29" t="n"/>
      <c r="I58" s="30" t="n"/>
      <c r="J58" s="30" t="n"/>
      <c r="K58" s="30" t="n"/>
      <c r="L58" s="30" t="n"/>
      <c r="M58" s="31" t="n"/>
      <c r="N58" s="29" t="n"/>
      <c r="O58" s="31" t="n"/>
    </row>
    <row r="59" ht="15" customHeight="1" s="16">
      <c r="A59" s="26" t="n">
        <v>58</v>
      </c>
      <c r="B59" s="26" t="n">
        <v>11</v>
      </c>
      <c r="C59" s="26" t="n">
        <v>78</v>
      </c>
      <c r="D59" s="27" t="inlineStr">
        <is>
          <t>流行貿</t>
        </is>
      </c>
      <c r="E59" s="28" t="inlineStr">
        <is>
          <t>遷</t>
        </is>
      </c>
      <c r="F59" s="27" t="inlineStr">
        <is>
          <t>皆用車之利也</t>
        </is>
      </c>
      <c r="G59" s="26" t="n"/>
      <c r="H59" s="29" t="n"/>
      <c r="I59" s="30" t="n"/>
      <c r="J59" s="30" t="n"/>
      <c r="K59" s="30" t="n"/>
      <c r="L59" s="30" t="n"/>
      <c r="M59" s="31" t="n"/>
      <c r="N59" s="29" t="n"/>
      <c r="O59" s="31" t="n"/>
    </row>
    <row r="60" ht="15" customHeight="1" s="16">
      <c r="A60" s="26" t="n">
        <v>59</v>
      </c>
      <c r="B60" s="26" t="n">
        <v>11</v>
      </c>
      <c r="C60" s="26" t="n">
        <v>79</v>
      </c>
      <c r="D60" s="27" t="inlineStr">
        <is>
          <t>遷</t>
        </is>
      </c>
      <c r="E60" s="32" t="inlineStr">
        <is>
          <t>皆用車之利也</t>
        </is>
      </c>
      <c r="F60" s="27" t="inlineStr">
        <is>
          <t>今以近效論之</t>
        </is>
      </c>
      <c r="G60" s="26" t="inlineStr">
        <is>
          <t>●</t>
        </is>
      </c>
      <c r="H60" s="29" t="n"/>
      <c r="I60" s="30" t="n"/>
      <c r="J60" s="30" t="n"/>
      <c r="K60" s="30" t="n"/>
      <c r="L60" s="30" t="n"/>
      <c r="M60" s="31" t="n"/>
      <c r="N60" s="29" t="n"/>
      <c r="O60" s="31" t="n"/>
    </row>
    <row r="61" ht="15" customHeight="1" s="16">
      <c r="A61" s="26" t="n">
        <v>60</v>
      </c>
      <c r="B61" s="26" t="n">
        <v>11</v>
      </c>
      <c r="C61" s="26" t="n">
        <v>80</v>
      </c>
      <c r="D61" s="27" t="inlineStr">
        <is>
          <t>皆用車之利也</t>
        </is>
      </c>
      <c r="E61" s="28" t="inlineStr">
        <is>
          <t>今以近效論之</t>
        </is>
      </c>
      <c r="F61" s="27" t="inlineStr">
        <is>
          <t>我使之行</t>
        </is>
      </c>
      <c r="G61" s="26" t="n"/>
      <c r="H61" s="29" t="n"/>
      <c r="I61" s="30" t="n"/>
      <c r="J61" s="30" t="n"/>
      <c r="K61" s="30" t="n"/>
      <c r="L61" s="30" t="n"/>
      <c r="M61" s="31" t="n"/>
      <c r="N61" s="29" t="n"/>
      <c r="O61" s="31" t="n"/>
    </row>
    <row r="62" ht="15" customHeight="1" s="16">
      <c r="A62" s="26" t="n">
        <v>61</v>
      </c>
      <c r="B62" s="26" t="n">
        <v>11</v>
      </c>
      <c r="C62" s="26" t="n">
        <v>112</v>
      </c>
      <c r="D62" s="27" t="inlineStr">
        <is>
          <t>關東之千筒蠭蜜</t>
        </is>
      </c>
      <c r="E62" s="28" t="inlineStr">
        <is>
          <t>爲民生日用</t>
        </is>
      </c>
      <c r="F62" s="27" t="inlineStr">
        <is>
          <t>而莫不欲相資而相生也</t>
        </is>
      </c>
      <c r="G62" s="26" t="n"/>
      <c r="H62" s="29" t="n"/>
      <c r="I62" s="30" t="n"/>
      <c r="J62" s="30" t="n"/>
      <c r="K62" s="30" t="n"/>
      <c r="L62" s="30" t="n"/>
      <c r="M62" s="31" t="n"/>
      <c r="N62" s="29" t="n"/>
      <c r="O62" s="31" t="n"/>
    </row>
    <row r="63" ht="15" customHeight="1" s="16">
      <c r="A63" s="26" t="n">
        <v>62</v>
      </c>
      <c r="B63" s="26" t="n">
        <v>11</v>
      </c>
      <c r="C63" s="26" t="n">
        <v>113</v>
      </c>
      <c r="D63" s="27" t="inlineStr">
        <is>
          <t>爲民生日用</t>
        </is>
      </c>
      <c r="E63" s="32" t="inlineStr">
        <is>
          <t>而莫不欲相資而相生也</t>
        </is>
      </c>
      <c r="F63" s="27" t="inlineStr">
        <is>
          <t>然而此賤而彼貴</t>
        </is>
      </c>
      <c r="G63" s="26" t="inlineStr">
        <is>
          <t>●</t>
        </is>
      </c>
      <c r="H63" s="29" t="n"/>
      <c r="I63" s="30" t="n"/>
      <c r="J63" s="30" t="n"/>
      <c r="K63" s="30" t="n"/>
      <c r="L63" s="30" t="n"/>
      <c r="M63" s="31" t="n"/>
      <c r="N63" s="29" t="n"/>
      <c r="O63" s="31" t="n"/>
    </row>
    <row r="64" ht="15" customHeight="1" s="16">
      <c r="A64" s="26" t="n">
        <v>63</v>
      </c>
      <c r="B64" s="26" t="n">
        <v>11</v>
      </c>
      <c r="C64" s="26" t="n">
        <v>114</v>
      </c>
      <c r="D64" s="27" t="inlineStr">
        <is>
          <t>而莫不欲相資而相生也</t>
        </is>
      </c>
      <c r="E64" s="28" t="inlineStr">
        <is>
          <t>然而此賤而彼貴</t>
        </is>
      </c>
      <c r="F64" s="27" t="inlineStr">
        <is>
          <t>聞名而不見者</t>
        </is>
      </c>
      <c r="G64" s="26" t="n"/>
      <c r="H64" s="29" t="n"/>
      <c r="I64" s="30" t="n"/>
      <c r="J64" s="30" t="n"/>
      <c r="K64" s="30" t="n"/>
      <c r="L64" s="30" t="n"/>
      <c r="M64" s="31" t="n"/>
      <c r="N64" s="29" t="n"/>
      <c r="O64" s="31" t="n"/>
    </row>
    <row r="65" ht="15" customHeight="1" s="16">
      <c r="A65" s="26" t="n">
        <v>64</v>
      </c>
      <c r="B65" s="26" t="n">
        <v>11</v>
      </c>
      <c r="C65" s="26" t="n">
        <v>119</v>
      </c>
      <c r="D65" s="27" t="inlineStr">
        <is>
          <t>由無力而致之耳</t>
        </is>
      </c>
      <c r="E65" s="28" t="inlineStr">
        <is>
          <t>方數千里之國</t>
        </is>
      </c>
      <c r="F65" s="27" t="inlineStr">
        <is>
          <t>民萌產業</t>
        </is>
      </c>
      <c r="G65" s="26" t="n"/>
      <c r="H65" s="29" t="n"/>
      <c r="I65" s="30" t="n"/>
      <c r="J65" s="30" t="n"/>
      <c r="K65" s="30" t="n"/>
      <c r="L65" s="30" t="n"/>
      <c r="M65" s="31" t="n"/>
      <c r="N65" s="29" t="n"/>
      <c r="O65" s="31" t="n"/>
    </row>
    <row r="66" ht="15" customHeight="1" s="16">
      <c r="A66" s="26" t="n">
        <v>65</v>
      </c>
      <c r="B66" s="26" t="n">
        <v>11</v>
      </c>
      <c r="C66" s="26" t="n">
        <v>120</v>
      </c>
      <c r="D66" s="27" t="inlineStr">
        <is>
          <t>方數千里之國</t>
        </is>
      </c>
      <c r="E66" s="32" t="inlineStr">
        <is>
          <t>民萌產業</t>
        </is>
      </c>
      <c r="F66" s="27" t="inlineStr">
        <is>
          <t>若是其貧</t>
        </is>
      </c>
      <c r="G66" s="26" t="inlineStr">
        <is>
          <t>●</t>
        </is>
      </c>
      <c r="H66" s="29" t="n"/>
      <c r="I66" s="30" t="n"/>
      <c r="J66" s="30" t="n"/>
      <c r="K66" s="30" t="n"/>
      <c r="L66" s="30" t="n"/>
      <c r="M66" s="31" t="n"/>
      <c r="N66" s="29" t="n"/>
      <c r="O66" s="31" t="n"/>
    </row>
    <row r="67" ht="29.85" customHeight="1" s="16">
      <c r="A67" s="26" t="n">
        <v>66</v>
      </c>
      <c r="B67" s="26" t="n">
        <v>11</v>
      </c>
      <c r="C67" s="26" t="n">
        <v>121</v>
      </c>
      <c r="D67" s="27" t="inlineStr">
        <is>
          <t>民萌產業</t>
        </is>
      </c>
      <c r="E67" s="32" t="inlineStr">
        <is>
          <t>若是其貧</t>
        </is>
      </c>
      <c r="F67" s="27" t="inlineStr">
        <is>
          <t>一言而蔽之曰車不行域中</t>
        </is>
      </c>
      <c r="G67" s="26" t="inlineStr">
        <is>
          <t>●</t>
        </is>
      </c>
      <c r="H67" s="29" t="n"/>
      <c r="I67" s="30" t="n"/>
      <c r="J67" s="30" t="n"/>
      <c r="K67" s="30" t="n"/>
      <c r="L67" s="30" t="n"/>
      <c r="M67" s="31" t="n"/>
      <c r="N67" s="29" t="n"/>
      <c r="O67" s="31" t="n"/>
    </row>
    <row r="68" ht="15" customHeight="1" s="16">
      <c r="A68" s="26" t="n">
        <v>67</v>
      </c>
      <c r="B68" s="26" t="n">
        <v>11</v>
      </c>
      <c r="C68" s="26" t="n">
        <v>122</v>
      </c>
      <c r="D68" s="27" t="inlineStr">
        <is>
          <t>若是其貧</t>
        </is>
      </c>
      <c r="E68" s="28" t="inlineStr">
        <is>
          <t>一言而蔽之曰車不行域中</t>
        </is>
      </c>
      <c r="F68" s="27" t="inlineStr">
        <is>
          <t>請問其故</t>
        </is>
      </c>
      <c r="G68" s="26" t="n"/>
      <c r="H68" s="29" t="n"/>
      <c r="I68" s="30" t="n"/>
      <c r="J68" s="30" t="n"/>
      <c r="K68" s="30" t="n"/>
      <c r="L68" s="30" t="n"/>
      <c r="M68" s="31" t="n"/>
      <c r="N68" s="29" t="n"/>
      <c r="O68" s="31" t="n"/>
    </row>
    <row r="69" ht="15" customHeight="1" s="16">
      <c r="A69" s="26" t="n">
        <v>68</v>
      </c>
      <c r="B69" s="26" t="n">
        <v>11</v>
      </c>
      <c r="C69" s="26" t="n">
        <v>142</v>
      </c>
      <c r="D69" s="27" t="inlineStr">
        <is>
          <t>竭其心思目力手技</t>
        </is>
      </c>
      <c r="E69" s="28" t="inlineStr">
        <is>
          <t>而又經幾工倕</t>
        </is>
      </c>
      <c r="F69" s="27" t="inlineStr">
        <is>
          <t>又經商鞅</t>
        </is>
      </c>
      <c r="G69" s="26" t="n"/>
      <c r="H69" s="29" t="n"/>
      <c r="I69" s="30" t="n"/>
      <c r="J69" s="30" t="n"/>
      <c r="K69" s="30" t="n"/>
      <c r="L69" s="30" t="n"/>
      <c r="M69" s="31" t="n"/>
      <c r="N69" s="29" t="n"/>
      <c r="O69" s="31" t="n"/>
    </row>
    <row r="70" ht="15" customHeight="1" s="16">
      <c r="A70" s="26" t="n">
        <v>69</v>
      </c>
      <c r="B70" s="26" t="n">
        <v>11</v>
      </c>
      <c r="C70" s="26" t="n">
        <v>143</v>
      </c>
      <c r="D70" s="27" t="inlineStr">
        <is>
          <t>而又經幾工倕</t>
        </is>
      </c>
      <c r="E70" s="32" t="inlineStr">
        <is>
          <t>又經商鞅</t>
        </is>
      </c>
      <c r="F70" s="27" t="inlineStr">
        <is>
          <t>李斯一制度</t>
        </is>
      </c>
      <c r="G70" s="26" t="inlineStr">
        <is>
          <t>●</t>
        </is>
      </c>
      <c r="H70" s="29" t="n"/>
      <c r="I70" s="30" t="n"/>
      <c r="J70" s="30" t="n"/>
      <c r="K70" s="30" t="n"/>
      <c r="L70" s="30" t="n"/>
      <c r="M70" s="31" t="n"/>
      <c r="N70" s="29" t="n"/>
      <c r="O70" s="31" t="n"/>
    </row>
    <row r="71" ht="15" customHeight="1" s="16">
      <c r="A71" s="26" t="n">
        <v>70</v>
      </c>
      <c r="B71" s="26" t="n">
        <v>11</v>
      </c>
      <c r="C71" s="26" t="n">
        <v>144</v>
      </c>
      <c r="D71" s="27" t="inlineStr">
        <is>
          <t>又經商鞅</t>
        </is>
      </c>
      <c r="E71" s="28" t="inlineStr">
        <is>
          <t>李斯一制度</t>
        </is>
      </c>
      <c r="F71" s="27" t="inlineStr">
        <is>
          <t>信縣官之學術</t>
        </is>
      </c>
      <c r="G71" s="26" t="n"/>
      <c r="H71" s="29" t="n"/>
      <c r="I71" s="30" t="n"/>
      <c r="J71" s="30" t="n"/>
      <c r="K71" s="30" t="n"/>
      <c r="L71" s="30" t="n"/>
      <c r="M71" s="31" t="n"/>
      <c r="N71" s="29" t="n"/>
      <c r="O71" s="31" t="n"/>
    </row>
    <row r="72" ht="15" customHeight="1" s="16">
      <c r="A72" s="26" t="n">
        <v>71</v>
      </c>
      <c r="B72" s="26" t="n">
        <v>11</v>
      </c>
      <c r="C72" s="26" t="n">
        <v>149</v>
      </c>
      <c r="D72" s="27" t="inlineStr">
        <is>
          <t>其講之熟而行之要</t>
        </is>
      </c>
      <c r="E72" s="28" t="inlineStr">
        <is>
          <t>豈徒然哉</t>
        </is>
      </c>
      <c r="F72" s="27" t="inlineStr">
        <is>
          <t>誠以利生民之日用</t>
        </is>
      </c>
      <c r="G72" s="26" t="n"/>
      <c r="H72" s="29" t="n"/>
      <c r="I72" s="30" t="n"/>
      <c r="J72" s="30" t="n"/>
      <c r="K72" s="30" t="n"/>
      <c r="L72" s="30" t="n"/>
      <c r="M72" s="31" t="n"/>
      <c r="N72" s="29" t="n"/>
      <c r="O72" s="31" t="n"/>
    </row>
    <row r="73" ht="15" customHeight="1" s="16">
      <c r="A73" s="26" t="n">
        <v>72</v>
      </c>
      <c r="B73" s="26" t="n">
        <v>11</v>
      </c>
      <c r="C73" s="26" t="n">
        <v>150</v>
      </c>
      <c r="D73" s="27" t="inlineStr">
        <is>
          <t>豈徒然哉</t>
        </is>
      </c>
      <c r="E73" s="32" t="inlineStr">
        <is>
          <t>誠以利生民之日用</t>
        </is>
      </c>
      <c r="F73" s="27" t="inlineStr">
        <is>
          <t>而有國</t>
        </is>
      </c>
      <c r="G73" s="26" t="inlineStr">
        <is>
          <t>●</t>
        </is>
      </c>
      <c r="H73" s="29" t="n"/>
      <c r="I73" s="30" t="n"/>
      <c r="J73" s="30" t="n"/>
      <c r="K73" s="30" t="n"/>
      <c r="L73" s="30" t="n"/>
      <c r="M73" s="31" t="n"/>
      <c r="N73" s="29" t="n"/>
      <c r="O73" s="31" t="n"/>
    </row>
    <row r="74" ht="15" customHeight="1" s="16">
      <c r="A74" s="26" t="n">
        <v>73</v>
      </c>
      <c r="B74" s="26" t="n">
        <v>11</v>
      </c>
      <c r="C74" s="26" t="n">
        <v>151</v>
      </c>
      <c r="D74" s="27" t="inlineStr">
        <is>
          <t>誠以利生民之日用</t>
        </is>
      </c>
      <c r="E74" s="28" t="inlineStr">
        <is>
          <t>而有國</t>
        </is>
      </c>
      <c r="F74" s="27" t="inlineStr">
        <is>
          <t>之大器也</t>
        </is>
      </c>
      <c r="G74" s="26" t="n"/>
      <c r="H74" s="29" t="n"/>
      <c r="I74" s="30" t="n"/>
      <c r="J74" s="30" t="n"/>
      <c r="K74" s="30" t="n"/>
      <c r="L74" s="30" t="n"/>
      <c r="M74" s="31" t="n"/>
      <c r="N74" s="29" t="n"/>
      <c r="O74" s="31" t="n"/>
    </row>
    <row r="75" ht="15" customHeight="1" s="16">
      <c r="A75" s="26" t="n">
        <v>74</v>
      </c>
      <c r="B75" s="26" t="n">
        <v>12</v>
      </c>
      <c r="C75" s="26" t="n">
        <v>15</v>
      </c>
      <c r="D75" s="27" t="inlineStr">
        <is>
          <t>農政全書</t>
        </is>
      </c>
      <c r="E75" s="28" t="inlineStr">
        <is>
          <t>有心人可取而細攷焉</t>
        </is>
      </c>
      <c r="F75" s="27" t="inlineStr">
        <is>
          <t>則吾東生民之貧瘁欲死</t>
        </is>
      </c>
      <c r="G75" s="26" t="n"/>
      <c r="H75" s="29" t="n"/>
      <c r="I75" s="30" t="n"/>
      <c r="J75" s="30" t="n"/>
      <c r="K75" s="30" t="n"/>
      <c r="L75" s="30" t="n"/>
      <c r="M75" s="31" t="n"/>
      <c r="N75" s="29" t="n"/>
      <c r="O75" s="31" t="n"/>
    </row>
    <row r="76" ht="15" customHeight="1" s="16">
      <c r="A76" s="26" t="n">
        <v>75</v>
      </c>
      <c r="B76" s="26" t="n">
        <v>12</v>
      </c>
      <c r="C76" s="26" t="n">
        <v>16</v>
      </c>
      <c r="D76" s="27" t="inlineStr">
        <is>
          <t>有心人可取而細攷焉</t>
        </is>
      </c>
      <c r="E76" s="32" t="inlineStr">
        <is>
          <t>則吾東生民之貧瘁欲死</t>
        </is>
      </c>
      <c r="F76" s="27" t="inlineStr">
        <is>
          <t>庶幾有瘳耳</t>
        </is>
      </c>
      <c r="G76" s="26" t="inlineStr">
        <is>
          <t>●</t>
        </is>
      </c>
      <c r="H76" s="29" t="n"/>
      <c r="I76" s="30" t="n"/>
      <c r="J76" s="30" t="n"/>
      <c r="K76" s="30" t="n"/>
      <c r="L76" s="30" t="n"/>
      <c r="M76" s="31" t="n"/>
      <c r="N76" s="29" t="n"/>
      <c r="O76" s="31" t="n"/>
    </row>
    <row r="77" ht="15" customHeight="1" s="16">
      <c r="A77" s="26" t="n">
        <v>76</v>
      </c>
      <c r="B77" s="26" t="n">
        <v>12</v>
      </c>
      <c r="C77" s="26" t="n">
        <v>17</v>
      </c>
      <c r="D77" s="27" t="inlineStr">
        <is>
          <t>則吾東生民之貧瘁欲死</t>
        </is>
      </c>
      <c r="E77" s="28" t="inlineStr">
        <is>
          <t>庶幾有瘳耳</t>
        </is>
      </c>
      <c r="F77" s="27" t="inlineStr">
        <is>
          <t>今以吾所目見救火之車</t>
        </is>
      </c>
      <c r="G77" s="26" t="n"/>
      <c r="H77" s="29" t="n"/>
      <c r="I77" s="30" t="n"/>
      <c r="J77" s="30" t="n"/>
      <c r="K77" s="30" t="n"/>
      <c r="L77" s="30" t="n"/>
      <c r="M77" s="31" t="n"/>
      <c r="N77" s="29" t="n"/>
      <c r="O77" s="31" t="n"/>
    </row>
    <row r="78" ht="15" customHeight="1" s="16">
      <c r="A78" s="26" t="n">
        <v>77</v>
      </c>
      <c r="B78" s="26" t="n">
        <v>15</v>
      </c>
      <c r="C78" s="26" t="n">
        <v>6</v>
      </c>
      <c r="D78" s="27" t="inlineStr">
        <is>
          <t>繅車兩頭</t>
        </is>
      </c>
      <c r="E78" s="28" t="inlineStr">
        <is>
          <t>亦爲牙輪齟齬互當</t>
        </is>
      </c>
      <c r="F78" s="27" t="inlineStr">
        <is>
          <t>不息自轉</t>
        </is>
      </c>
      <c r="G78" s="26" t="n"/>
      <c r="H78" s="29" t="n"/>
      <c r="I78" s="30" t="n"/>
      <c r="J78" s="30" t="n"/>
      <c r="K78" s="30" t="n"/>
      <c r="L78" s="30" t="n"/>
      <c r="M78" s="31" t="n"/>
      <c r="N78" s="29" t="n"/>
      <c r="O78" s="31" t="n"/>
    </row>
    <row r="79" ht="15" customHeight="1" s="16">
      <c r="A79" s="26" t="n">
        <v>78</v>
      </c>
      <c r="B79" s="26" t="n">
        <v>15</v>
      </c>
      <c r="C79" s="26" t="n">
        <v>7</v>
      </c>
      <c r="D79" s="27" t="inlineStr">
        <is>
          <t>亦爲牙輪齟齬互當</t>
        </is>
      </c>
      <c r="E79" s="32" t="inlineStr">
        <is>
          <t>不息自轉</t>
        </is>
      </c>
      <c r="F79" s="27" t="inlineStr">
        <is>
          <t>繅車者</t>
        </is>
      </c>
      <c r="G79" s="26" t="inlineStr">
        <is>
          <t>●</t>
        </is>
      </c>
      <c r="H79" s="29" t="n"/>
      <c r="I79" s="30" t="n"/>
      <c r="J79" s="30" t="n"/>
      <c r="K79" s="30" t="n"/>
      <c r="L79" s="30" t="n"/>
      <c r="M79" s="31" t="n"/>
      <c r="N79" s="29" t="n"/>
      <c r="O79" s="31" t="n"/>
    </row>
    <row r="80" ht="15" customHeight="1" s="16">
      <c r="A80" s="26" t="n">
        <v>79</v>
      </c>
      <c r="B80" s="26" t="n">
        <v>15</v>
      </c>
      <c r="C80" s="26" t="n">
        <v>8</v>
      </c>
      <c r="D80" s="27" t="inlineStr">
        <is>
          <t>不息自轉</t>
        </is>
      </c>
      <c r="E80" s="28" t="inlineStr">
        <is>
          <t>繅車者</t>
        </is>
      </c>
      <c r="F80" s="27" t="inlineStr">
        <is>
          <t>大籰</t>
        </is>
      </c>
      <c r="G80" s="26" t="n"/>
      <c r="H80" s="29" t="n"/>
      <c r="I80" s="30" t="n"/>
      <c r="J80" s="30" t="n"/>
      <c r="K80" s="30" t="n"/>
      <c r="L80" s="30" t="n"/>
      <c r="M80" s="31" t="n"/>
      <c r="N80" s="29" t="n"/>
      <c r="O80" s="31" t="n"/>
    </row>
    <row r="81" ht="15" customHeight="1" s="16">
      <c r="A81" s="26" t="n">
        <v>80</v>
      </c>
      <c r="B81" s="26" t="n">
        <v>16</v>
      </c>
      <c r="C81" s="26" t="n">
        <v>8</v>
      </c>
      <c r="D81" s="27" t="inlineStr">
        <is>
          <t>雜畵雲物</t>
        </is>
      </c>
      <c r="E81" s="28" t="inlineStr">
        <is>
          <t>雉雀亭頂</t>
        </is>
      </c>
      <c r="F81" s="27" t="inlineStr">
        <is>
          <t>或爛銀</t>
        </is>
      </c>
      <c r="G81" s="26" t="n"/>
      <c r="H81" s="29" t="n"/>
      <c r="I81" s="30" t="n"/>
      <c r="J81" s="30" t="n"/>
      <c r="K81" s="30" t="n"/>
      <c r="L81" s="30" t="n"/>
      <c r="M81" s="31" t="n"/>
      <c r="N81" s="29" t="n"/>
      <c r="O81" s="31" t="n"/>
    </row>
    <row r="82" ht="15" customHeight="1" s="16">
      <c r="A82" s="26" t="n">
        <v>81</v>
      </c>
      <c r="B82" s="26" t="n">
        <v>16</v>
      </c>
      <c r="C82" s="26" t="n">
        <v>9</v>
      </c>
      <c r="D82" s="27" t="inlineStr">
        <is>
          <t>雉雀亭頂</t>
        </is>
      </c>
      <c r="E82" s="32" t="inlineStr">
        <is>
          <t>或爛銀</t>
        </is>
      </c>
      <c r="F82" s="27" t="inlineStr">
        <is>
          <t>或結五色絲爲紐</t>
        </is>
      </c>
      <c r="G82" s="26" t="inlineStr">
        <is>
          <t>●</t>
        </is>
      </c>
      <c r="H82" s="29" t="n"/>
      <c r="I82" s="30" t="n"/>
      <c r="J82" s="30" t="n"/>
      <c r="K82" s="30" t="n"/>
      <c r="L82" s="30" t="n"/>
      <c r="M82" s="31" t="n"/>
      <c r="N82" s="29" t="n"/>
      <c r="O82" s="31" t="n"/>
    </row>
    <row r="83" ht="15" customHeight="1" s="16">
      <c r="A83" s="26" t="n">
        <v>82</v>
      </c>
      <c r="B83" s="26" t="n">
        <v>16</v>
      </c>
      <c r="C83" s="26" t="n">
        <v>10</v>
      </c>
      <c r="D83" s="27" t="inlineStr">
        <is>
          <t>或爛銀</t>
        </is>
      </c>
      <c r="E83" s="28" t="inlineStr">
        <is>
          <t>或結五色絲爲紐</t>
        </is>
      </c>
      <c r="F83" s="27" t="inlineStr">
        <is>
          <t>雙轅長幾七八丈</t>
        </is>
      </c>
      <c r="G83" s="26" t="n"/>
      <c r="H83" s="29" t="n"/>
      <c r="I83" s="30" t="n"/>
      <c r="J83" s="30" t="n"/>
      <c r="K83" s="30" t="n"/>
      <c r="L83" s="30" t="n"/>
      <c r="M83" s="31" t="n"/>
      <c r="N83" s="29" t="n"/>
      <c r="O83" s="31" t="n"/>
    </row>
    <row r="84" ht="29.85" customHeight="1" s="16">
      <c r="A84" s="26" t="n">
        <v>83</v>
      </c>
      <c r="B84" s="26" t="n">
        <v>20</v>
      </c>
      <c r="C84" s="26" t="n">
        <v>2</v>
      </c>
      <c r="D84" s="27" t="inlineStr">
        <is>
          <t>今行千餘里之間</t>
        </is>
      </c>
      <c r="E84" s="28" t="inlineStr">
        <is>
          <t>所經市舖若鳳城遼東盛京新民屯小黑山廣寧等處</t>
        </is>
      </c>
      <c r="F84" s="27" t="inlineStr">
        <is>
          <t>不無大小奢儉之別</t>
        </is>
      </c>
      <c r="G84" s="26" t="n"/>
      <c r="H84" s="29" t="n"/>
      <c r="I84" s="30" t="n"/>
      <c r="J84" s="30" t="n"/>
      <c r="K84" s="30" t="n"/>
      <c r="L84" s="30" t="n"/>
      <c r="M84" s="31" t="n"/>
      <c r="N84" s="29" t="n"/>
      <c r="O84" s="31" t="n"/>
    </row>
    <row r="85" ht="44" customHeight="1" s="16">
      <c r="A85" s="26" t="n">
        <v>84</v>
      </c>
      <c r="B85" s="26" t="n">
        <v>20</v>
      </c>
      <c r="C85" s="26" t="n">
        <v>3</v>
      </c>
      <c r="D85" s="27" t="inlineStr">
        <is>
          <t>所經市舖若鳳城遼東盛京新民屯小黑山廣寧等處</t>
        </is>
      </c>
      <c r="E85" s="32" t="inlineStr">
        <is>
          <t>不無大小奢儉之別</t>
        </is>
      </c>
      <c r="F85" s="27" t="inlineStr">
        <is>
          <t>而盛京爲最</t>
        </is>
      </c>
      <c r="G85" s="26" t="inlineStr">
        <is>
          <t>●</t>
        </is>
      </c>
      <c r="H85" s="29" t="n"/>
      <c r="I85" s="30" t="n"/>
      <c r="J85" s="30" t="n"/>
      <c r="K85" s="30" t="n"/>
      <c r="L85" s="30" t="n"/>
      <c r="M85" s="31" t="n"/>
      <c r="N85" s="29" t="n"/>
      <c r="O85" s="31" t="n"/>
    </row>
    <row r="86" ht="15" customHeight="1" s="16">
      <c r="A86" s="26" t="n">
        <v>85</v>
      </c>
      <c r="B86" s="26" t="n">
        <v>20</v>
      </c>
      <c r="C86" s="26" t="n">
        <v>4</v>
      </c>
      <c r="D86" s="27" t="inlineStr">
        <is>
          <t>不無大小奢儉之別</t>
        </is>
      </c>
      <c r="E86" s="28" t="inlineStr">
        <is>
          <t>而盛京爲最</t>
        </is>
      </c>
      <c r="F86" s="27" t="inlineStr">
        <is>
          <t>皆紋窓繡戶</t>
        </is>
      </c>
      <c r="G86" s="26" t="n"/>
      <c r="H86" s="29" t="n"/>
      <c r="I86" s="30" t="n"/>
      <c r="J86" s="30" t="n"/>
      <c r="K86" s="30" t="n"/>
      <c r="L86" s="30" t="n"/>
      <c r="M86" s="31" t="n"/>
      <c r="N86" s="29" t="n"/>
      <c r="O86" s="31" t="n"/>
    </row>
    <row r="87" ht="29.85" customHeight="1" s="16">
      <c r="A87" s="26" t="n">
        <v>86</v>
      </c>
      <c r="B87" s="26" t="n">
        <v>20</v>
      </c>
      <c r="C87" s="26" t="n">
        <v>14</v>
      </c>
      <c r="D87" s="27" t="inlineStr">
        <is>
          <t>邊門僻奧</t>
        </is>
      </c>
      <c r="E87" s="28" t="inlineStr">
        <is>
          <t>更無進步之地</t>
        </is>
      </c>
      <c r="F87" s="27" t="inlineStr">
        <is>
          <t>而不特椅卓簾帷毡毯器什花草</t>
        </is>
      </c>
      <c r="G87" s="26" t="n"/>
      <c r="H87" s="29" t="n"/>
      <c r="I87" s="30" t="n"/>
      <c r="J87" s="30" t="n"/>
      <c r="K87" s="30" t="n"/>
      <c r="L87" s="30" t="n"/>
      <c r="M87" s="31" t="n"/>
      <c r="N87" s="29" t="n"/>
      <c r="O87" s="31" t="n"/>
    </row>
    <row r="88" ht="15" customHeight="1" s="16">
      <c r="A88" s="26" t="n">
        <v>87</v>
      </c>
      <c r="B88" s="26" t="n">
        <v>20</v>
      </c>
      <c r="C88" s="26" t="n">
        <v>15</v>
      </c>
      <c r="D88" s="27" t="inlineStr">
        <is>
          <t>更無進步之地</t>
        </is>
      </c>
      <c r="E88" s="32" t="inlineStr">
        <is>
          <t>而不特椅卓簾帷毡毯器什花草</t>
        </is>
      </c>
      <c r="F88" s="27" t="inlineStr">
        <is>
          <t>俱是刱覩</t>
        </is>
      </c>
      <c r="G88" s="26" t="inlineStr">
        <is>
          <t>●</t>
        </is>
      </c>
      <c r="H88" s="29" t="n"/>
      <c r="I88" s="30" t="n"/>
      <c r="J88" s="30" t="n"/>
      <c r="K88" s="30" t="n"/>
      <c r="L88" s="30" t="n"/>
      <c r="M88" s="31" t="n"/>
      <c r="N88" s="29" t="n"/>
      <c r="O88" s="31" t="n"/>
    </row>
    <row r="89" ht="29.85" customHeight="1" s="16">
      <c r="A89" s="26" t="n">
        <v>88</v>
      </c>
      <c r="B89" s="26" t="n">
        <v>20</v>
      </c>
      <c r="C89" s="26" t="n">
        <v>16</v>
      </c>
      <c r="D89" s="27" t="inlineStr">
        <is>
          <t>而不特椅卓簾帷毡毯器什花草</t>
        </is>
      </c>
      <c r="E89" s="28" t="inlineStr">
        <is>
          <t>俱是刱覩</t>
        </is>
      </c>
      <c r="F89" s="27" t="inlineStr">
        <is>
          <t>其招牌認榜</t>
        </is>
      </c>
      <c r="G89" s="26" t="n"/>
      <c r="H89" s="29" t="n"/>
      <c r="I89" s="30" t="n"/>
      <c r="J89" s="30" t="n"/>
      <c r="K89" s="30" t="n"/>
      <c r="L89" s="30" t="n"/>
      <c r="M89" s="31" t="n"/>
      <c r="N89" s="29" t="n"/>
      <c r="O89" s="31" t="n"/>
    </row>
    <row r="90" ht="15" customHeight="1" s="16">
      <c r="A90" s="26" t="n">
        <v>89</v>
      </c>
      <c r="B90" s="26" t="n">
        <v>20</v>
      </c>
      <c r="C90" s="26" t="n">
        <v>20</v>
      </c>
      <c r="D90" s="27" t="inlineStr">
        <is>
          <t>卽其觀</t>
        </is>
      </c>
      <c r="E90" s="28" t="inlineStr">
        <is>
          <t>美</t>
        </is>
      </c>
      <c r="F90" s="27" t="inlineStr">
        <is>
          <t>浪費不啻千金</t>
        </is>
      </c>
      <c r="G90" s="26" t="n"/>
      <c r="H90" s="29" t="n"/>
      <c r="I90" s="30" t="n"/>
      <c r="J90" s="30" t="n"/>
      <c r="K90" s="30" t="n"/>
      <c r="L90" s="30" t="n"/>
      <c r="M90" s="31" t="n"/>
      <c r="N90" s="29" t="n"/>
      <c r="O90" s="31" t="n"/>
    </row>
    <row r="91" ht="15" customHeight="1" s="16">
      <c r="A91" s="26" t="n">
        <v>90</v>
      </c>
      <c r="B91" s="26" t="n">
        <v>20</v>
      </c>
      <c r="C91" s="26" t="n">
        <v>21</v>
      </c>
      <c r="D91" s="27" t="inlineStr">
        <is>
          <t>美</t>
        </is>
      </c>
      <c r="E91" s="32" t="inlineStr">
        <is>
          <t>浪費不啻千金</t>
        </is>
      </c>
      <c r="F91" s="27" t="inlineStr">
        <is>
          <t>盖不若是則賣買不旺</t>
        </is>
      </c>
      <c r="G91" s="26" t="inlineStr">
        <is>
          <t>●</t>
        </is>
      </c>
      <c r="H91" s="29" t="n"/>
      <c r="I91" s="30" t="n"/>
      <c r="J91" s="30" t="n"/>
      <c r="K91" s="30" t="n"/>
      <c r="L91" s="30" t="n"/>
      <c r="M91" s="31" t="n"/>
      <c r="N91" s="29" t="n"/>
      <c r="O91" s="31" t="n"/>
    </row>
    <row r="92" ht="15" customHeight="1" s="16">
      <c r="A92" s="26" t="n">
        <v>91</v>
      </c>
      <c r="B92" s="26" t="n">
        <v>20</v>
      </c>
      <c r="C92" s="26" t="n">
        <v>22</v>
      </c>
      <c r="D92" s="27" t="inlineStr">
        <is>
          <t>浪費不啻千金</t>
        </is>
      </c>
      <c r="E92" s="32" t="inlineStr">
        <is>
          <t>盖不若是則賣買不旺</t>
        </is>
      </c>
      <c r="F92" s="27" t="inlineStr">
        <is>
          <t>財神不祐</t>
        </is>
      </c>
      <c r="G92" s="26" t="inlineStr">
        <is>
          <t>●</t>
        </is>
      </c>
      <c r="H92" s="29" t="n"/>
      <c r="I92" s="30" t="n"/>
      <c r="J92" s="30" t="n"/>
      <c r="K92" s="30" t="n"/>
      <c r="L92" s="30" t="n"/>
      <c r="M92" s="31" t="n"/>
      <c r="N92" s="29" t="n"/>
      <c r="O92" s="31" t="n"/>
    </row>
    <row r="93" ht="15" customHeight="1" s="16">
      <c r="A93" s="26" t="n">
        <v>92</v>
      </c>
      <c r="B93" s="26" t="n">
        <v>20</v>
      </c>
      <c r="C93" s="26" t="n">
        <v>23</v>
      </c>
      <c r="D93" s="27" t="inlineStr">
        <is>
          <t>盖不若是則賣買不旺</t>
        </is>
      </c>
      <c r="E93" s="32" t="inlineStr">
        <is>
          <t>財神不祐</t>
        </is>
      </c>
      <c r="F93" s="27" t="inlineStr">
        <is>
          <t>其所敬財神</t>
        </is>
      </c>
      <c r="G93" s="26" t="inlineStr">
        <is>
          <t>●</t>
        </is>
      </c>
      <c r="H93" s="29" t="n"/>
      <c r="I93" s="30" t="n"/>
      <c r="J93" s="30" t="n"/>
      <c r="K93" s="30" t="n"/>
      <c r="L93" s="30" t="n"/>
      <c r="M93" s="31" t="n"/>
      <c r="N93" s="29" t="n"/>
      <c r="O93" s="31" t="n"/>
    </row>
    <row r="94" ht="15" customHeight="1" s="16">
      <c r="A94" s="26" t="n">
        <v>93</v>
      </c>
      <c r="B94" s="26" t="n">
        <v>20</v>
      </c>
      <c r="C94" s="26" t="n">
        <v>24</v>
      </c>
      <c r="D94" s="27" t="inlineStr">
        <is>
          <t>財神不祐</t>
        </is>
      </c>
      <c r="E94" s="32" t="inlineStr">
        <is>
          <t>其所敬財神</t>
        </is>
      </c>
      <c r="F94" s="27" t="inlineStr">
        <is>
          <t>多關公像</t>
        </is>
      </c>
      <c r="G94" s="26" t="inlineStr">
        <is>
          <t>●</t>
        </is>
      </c>
      <c r="H94" s="29" t="n"/>
      <c r="I94" s="30" t="n"/>
      <c r="J94" s="30" t="n"/>
      <c r="K94" s="30" t="n"/>
      <c r="L94" s="30" t="n"/>
      <c r="M94" s="31" t="n"/>
      <c r="N94" s="29" t="n"/>
      <c r="O94" s="31" t="n"/>
    </row>
    <row r="95" ht="15" customHeight="1" s="16">
      <c r="A95" s="26" t="n">
        <v>94</v>
      </c>
      <c r="B95" s="26" t="n">
        <v>20</v>
      </c>
      <c r="C95" s="26" t="n">
        <v>25</v>
      </c>
      <c r="D95" s="27" t="inlineStr">
        <is>
          <t>其所敬財神</t>
        </is>
      </c>
      <c r="E95" s="28" t="inlineStr">
        <is>
          <t>多關公像</t>
        </is>
      </c>
      <c r="F95" s="27" t="inlineStr">
        <is>
          <t>供卓香火</t>
        </is>
      </c>
      <c r="G95" s="26" t="n"/>
      <c r="H95" s="29" t="n"/>
      <c r="I95" s="30" t="n"/>
      <c r="J95" s="30" t="n"/>
      <c r="K95" s="30" t="n"/>
      <c r="L95" s="30" t="n"/>
      <c r="M95" s="31" t="n"/>
      <c r="N95" s="29" t="n"/>
      <c r="O95" s="31" t="n"/>
    </row>
    <row r="96" ht="15" customHeight="1" s="16">
      <c r="A96" s="26" t="n">
        <v>95</v>
      </c>
      <c r="B96" s="26" t="n">
        <v>20</v>
      </c>
      <c r="C96" s="26" t="n">
        <v>31</v>
      </c>
      <c r="D96" s="27" t="inlineStr">
        <is>
          <t>推此則山海關以內</t>
        </is>
      </c>
      <c r="E96" s="28" t="inlineStr">
        <is>
          <t>可以預想矣</t>
        </is>
      </c>
      <c r="F96" s="27" t="n"/>
      <c r="G96" s="26" t="n"/>
      <c r="H96" s="29" t="n"/>
      <c r="I96" s="30" t="n"/>
      <c r="J96" s="30" t="n"/>
      <c r="K96" s="30" t="n"/>
      <c r="L96" s="30" t="n"/>
      <c r="M96" s="31" t="n"/>
      <c r="N96" s="29" t="n"/>
      <c r="O96" s="31" t="n"/>
    </row>
    <row r="97" ht="15" customHeight="1" s="16">
      <c r="A97" s="26" t="n">
        <v>96</v>
      </c>
      <c r="B97" s="26" t="n">
        <v>21</v>
      </c>
      <c r="C97" s="26" t="n">
        <v>1</v>
      </c>
      <c r="D97" s="27" t="n"/>
      <c r="E97" s="32" t="inlineStr">
        <is>
          <t>小賈之行于道路者</t>
        </is>
      </c>
      <c r="F97" s="27" t="inlineStr">
        <is>
          <t>或高聲叫賣</t>
        </is>
      </c>
      <c r="G97" s="26" t="inlineStr">
        <is>
          <t>●</t>
        </is>
      </c>
      <c r="H97" s="29" t="n"/>
      <c r="I97" s="30" t="n"/>
      <c r="J97" s="30" t="n"/>
      <c r="K97" s="30" t="n"/>
      <c r="L97" s="30" t="n"/>
      <c r="M97" s="31" t="n"/>
      <c r="N97" s="29" t="n"/>
      <c r="O97" s="31" t="n"/>
    </row>
    <row r="98" ht="15" customHeight="1" s="16">
      <c r="A98" s="26" t="n">
        <v>97</v>
      </c>
      <c r="B98" s="26" t="n">
        <v>21</v>
      </c>
      <c r="C98" s="26" t="n">
        <v>2</v>
      </c>
      <c r="D98" s="27" t="inlineStr">
        <is>
          <t>小賈之行于道路者</t>
        </is>
      </c>
      <c r="E98" s="32" t="inlineStr">
        <is>
          <t>或高聲叫賣</t>
        </is>
      </c>
      <c r="F98" s="27" t="inlineStr">
        <is>
          <t>而如賣靑布者</t>
        </is>
      </c>
      <c r="G98" s="26" t="inlineStr">
        <is>
          <t>●</t>
        </is>
      </c>
      <c r="H98" s="29" t="n"/>
      <c r="I98" s="30" t="n"/>
      <c r="J98" s="30" t="n"/>
      <c r="K98" s="30" t="n"/>
      <c r="L98" s="30" t="n"/>
      <c r="M98" s="31" t="n"/>
      <c r="N98" s="29" t="n"/>
      <c r="O98" s="31" t="n"/>
    </row>
    <row r="99" ht="15" customHeight="1" s="16">
      <c r="A99" s="26" t="n">
        <v>98</v>
      </c>
      <c r="B99" s="26" t="n">
        <v>21</v>
      </c>
      <c r="C99" s="26" t="n">
        <v>3</v>
      </c>
      <c r="D99" s="27" t="inlineStr">
        <is>
          <t>或高聲叫賣</t>
        </is>
      </c>
      <c r="E99" s="32" t="inlineStr">
        <is>
          <t>而如賣靑布者</t>
        </is>
      </c>
      <c r="F99" s="27" t="inlineStr">
        <is>
          <t>搖手中小鼗</t>
        </is>
      </c>
      <c r="G99" s="26" t="inlineStr">
        <is>
          <t>●</t>
        </is>
      </c>
      <c r="H99" s="29" t="n"/>
      <c r="I99" s="30" t="n"/>
      <c r="J99" s="30" t="n"/>
      <c r="K99" s="30" t="n"/>
      <c r="L99" s="30" t="n"/>
      <c r="M99" s="31" t="n"/>
      <c r="N99" s="29" t="n"/>
      <c r="O99" s="31" t="n"/>
    </row>
    <row r="100" ht="15" customHeight="1" s="16">
      <c r="A100" s="26" t="n">
        <v>99</v>
      </c>
      <c r="B100" s="26" t="n">
        <v>21</v>
      </c>
      <c r="C100" s="26" t="n">
        <v>4</v>
      </c>
      <c r="D100" s="27" t="inlineStr">
        <is>
          <t>而如賣靑布者</t>
        </is>
      </c>
      <c r="E100" s="28" t="inlineStr">
        <is>
          <t>搖手中小鼗</t>
        </is>
      </c>
      <c r="F100" s="27" t="inlineStr">
        <is>
          <t>爲人開剃者</t>
        </is>
      </c>
      <c r="G100" s="26" t="n"/>
      <c r="H100" s="29" t="n"/>
      <c r="I100" s="30" t="n"/>
      <c r="J100" s="30" t="n"/>
      <c r="K100" s="30" t="n"/>
      <c r="L100" s="30" t="n"/>
      <c r="M100" s="31" t="n"/>
      <c r="N100" s="29" t="n"/>
      <c r="O100" s="31" t="n"/>
    </row>
    <row r="101" ht="15" customHeight="1" s="16">
      <c r="A101" s="26" t="n">
        <v>100</v>
      </c>
      <c r="B101" s="26" t="n">
        <v>21</v>
      </c>
      <c r="C101" s="26" t="n">
        <v>6</v>
      </c>
      <c r="D101" s="27" t="inlineStr">
        <is>
          <t>爲人開剃者</t>
        </is>
      </c>
      <c r="E101" s="28" t="inlineStr">
        <is>
          <t>彈手中鐵簡</t>
        </is>
      </c>
      <c r="F101" s="27" t="inlineStr">
        <is>
          <t>賣油者敲鉢</t>
        </is>
      </c>
      <c r="G101" s="26" t="n"/>
      <c r="H101" s="29" t="n"/>
      <c r="I101" s="30" t="n"/>
      <c r="J101" s="30" t="n"/>
      <c r="K101" s="30" t="n"/>
      <c r="L101" s="30" t="n"/>
      <c r="M101" s="31" t="n"/>
      <c r="N101" s="29" t="n"/>
      <c r="O101" s="31" t="n"/>
    </row>
    <row r="102" ht="29.85" customHeight="1" s="16">
      <c r="A102" s="26" t="n">
        <v>101</v>
      </c>
      <c r="B102" s="26" t="n">
        <v>21</v>
      </c>
      <c r="C102" s="26" t="n">
        <v>7</v>
      </c>
      <c r="D102" s="27" t="inlineStr">
        <is>
          <t>彈手中鐵簡</t>
        </is>
      </c>
      <c r="E102" s="32" t="inlineStr">
        <is>
          <t>賣油者敲鉢</t>
        </is>
      </c>
      <c r="F102" s="27" t="inlineStr">
        <is>
          <t>或有持金鉦竹箆木鐸而行者</t>
        </is>
      </c>
      <c r="G102" s="26" t="inlineStr">
        <is>
          <t>●</t>
        </is>
      </c>
      <c r="H102" s="29" t="n"/>
      <c r="I102" s="30" t="n"/>
      <c r="J102" s="30" t="n"/>
      <c r="K102" s="30" t="n"/>
      <c r="L102" s="30" t="n"/>
      <c r="M102" s="31" t="n"/>
      <c r="N102" s="29" t="n"/>
      <c r="O102" s="31" t="n"/>
    </row>
    <row r="103" ht="15" customHeight="1" s="16">
      <c r="A103" s="26" t="n">
        <v>102</v>
      </c>
      <c r="B103" s="26" t="n">
        <v>21</v>
      </c>
      <c r="C103" s="26" t="n">
        <v>8</v>
      </c>
      <c r="D103" s="27" t="inlineStr">
        <is>
          <t>賣油者敲鉢</t>
        </is>
      </c>
      <c r="E103" s="28" t="inlineStr">
        <is>
          <t>或有持金鉦竹箆木鐸而行者</t>
        </is>
      </c>
      <c r="F103" s="27" t="inlineStr">
        <is>
          <t>周回街坊</t>
        </is>
      </c>
      <c r="G103" s="26" t="n"/>
      <c r="H103" s="29" t="n"/>
      <c r="I103" s="30" t="n"/>
      <c r="J103" s="30" t="n"/>
      <c r="K103" s="30" t="n"/>
      <c r="L103" s="30" t="n"/>
      <c r="M103" s="31" t="n"/>
      <c r="N103" s="29" t="n"/>
      <c r="O103" s="31" t="n"/>
    </row>
    <row r="104" ht="15" customHeight="1" s="16">
      <c r="A104" s="26" t="n">
        <v>103</v>
      </c>
      <c r="B104" s="26" t="n">
        <v>21</v>
      </c>
      <c r="C104" s="26" t="n">
        <v>12</v>
      </c>
      <c r="D104" s="27" t="inlineStr">
        <is>
          <t>則人家門裏</t>
        </is>
      </c>
      <c r="E104" s="28" t="inlineStr">
        <is>
          <t>走出小孩子叫之</t>
        </is>
      </c>
      <c r="F104" s="27" t="inlineStr">
        <is>
          <t>未甞見大聲叫賣者</t>
        </is>
      </c>
      <c r="G104" s="26" t="n"/>
      <c r="H104" s="29" t="n"/>
      <c r="I104" s="30" t="n"/>
      <c r="J104" s="30" t="n"/>
      <c r="K104" s="30" t="n"/>
      <c r="L104" s="30" t="n"/>
      <c r="M104" s="31" t="n"/>
      <c r="N104" s="29" t="n"/>
      <c r="O104" s="31" t="n"/>
    </row>
    <row r="105" ht="15" customHeight="1" s="16">
      <c r="A105" s="26" t="n">
        <v>104</v>
      </c>
      <c r="B105" s="26" t="n">
        <v>21</v>
      </c>
      <c r="C105" s="26" t="n">
        <v>13</v>
      </c>
      <c r="D105" s="27" t="inlineStr">
        <is>
          <t>走出小孩子叫之</t>
        </is>
      </c>
      <c r="E105" s="32" t="inlineStr">
        <is>
          <t>未甞見大聲叫賣者</t>
        </is>
      </c>
      <c r="F105" s="27" t="inlineStr">
        <is>
          <t>但聞敲響</t>
        </is>
      </c>
      <c r="G105" s="26" t="inlineStr">
        <is>
          <t>●</t>
        </is>
      </c>
      <c r="H105" s="29" t="n"/>
      <c r="I105" s="30" t="n"/>
      <c r="J105" s="30" t="n"/>
      <c r="K105" s="30" t="n"/>
      <c r="L105" s="30" t="n"/>
      <c r="M105" s="31" t="n"/>
      <c r="N105" s="29" t="n"/>
      <c r="O105" s="31" t="n"/>
    </row>
    <row r="106" ht="15" customHeight="1" s="16">
      <c r="A106" s="26" t="n">
        <v>105</v>
      </c>
      <c r="B106" s="26" t="n">
        <v>21</v>
      </c>
      <c r="C106" s="26" t="n">
        <v>14</v>
      </c>
      <c r="D106" s="27" t="inlineStr">
        <is>
          <t>未甞見大聲叫賣者</t>
        </is>
      </c>
      <c r="E106" s="28" t="inlineStr">
        <is>
          <t>但聞敲響</t>
        </is>
      </c>
      <c r="F106" s="27" t="inlineStr">
        <is>
          <t>則已辨其貨物</t>
        </is>
      </c>
      <c r="G106" s="26" t="n"/>
      <c r="H106" s="29" t="n"/>
      <c r="I106" s="30" t="n"/>
      <c r="J106" s="30" t="n"/>
      <c r="K106" s="30" t="n"/>
      <c r="L106" s="30" t="n"/>
      <c r="M106" s="31" t="n"/>
      <c r="N106" s="29" t="n"/>
      <c r="O106" s="31" t="n"/>
    </row>
    <row r="107" ht="15" customHeight="1" s="16">
      <c r="A107" s="26" t="n">
        <v>106</v>
      </c>
      <c r="B107" s="26" t="n">
        <v>21</v>
      </c>
      <c r="C107" s="26" t="n">
        <v>15</v>
      </c>
      <c r="D107" s="27" t="inlineStr">
        <is>
          <t>但聞敲響</t>
        </is>
      </c>
      <c r="E107" s="32" t="inlineStr">
        <is>
          <t>則已辨其貨物</t>
        </is>
      </c>
      <c r="F107" s="27" t="n"/>
      <c r="G107" s="26" t="inlineStr">
        <is>
          <t>●</t>
        </is>
      </c>
      <c r="H107" s="29" t="n"/>
      <c r="I107" s="30" t="n"/>
      <c r="J107" s="30" t="n"/>
      <c r="K107" s="30" t="n"/>
      <c r="L107" s="30" t="n"/>
      <c r="M107" s="31" t="n"/>
      <c r="N107" s="29" t="n"/>
      <c r="O107" s="31" t="n"/>
    </row>
    <row r="108" ht="15" customHeight="1" s="16">
      <c r="A108" s="26" t="n">
        <v>107</v>
      </c>
      <c r="B108" s="26" t="n">
        <v>23</v>
      </c>
      <c r="C108" s="26" t="n">
        <v>1</v>
      </c>
      <c r="D108" s="27" t="n"/>
      <c r="E108" s="28" t="inlineStr">
        <is>
          <t>店舍庭廣</t>
        </is>
      </c>
      <c r="F108" s="27" t="inlineStr">
        <is>
          <t>必不下數百步</t>
        </is>
      </c>
      <c r="G108" s="26" t="n"/>
      <c r="H108" s="29" t="n"/>
      <c r="I108" s="30" t="n"/>
      <c r="J108" s="30" t="n"/>
      <c r="K108" s="30" t="n"/>
      <c r="L108" s="30" t="n"/>
      <c r="M108" s="31" t="n"/>
      <c r="N108" s="29" t="n"/>
      <c r="O108" s="31" t="n"/>
    </row>
    <row r="109" ht="15" customHeight="1" s="16">
      <c r="A109" s="26" t="n">
        <v>108</v>
      </c>
      <c r="B109" s="26" t="n">
        <v>26</v>
      </c>
      <c r="C109" s="26" t="n">
        <v>29</v>
      </c>
      <c r="D109" s="27" t="inlineStr">
        <is>
          <t>蒼凉完完</t>
        </is>
      </c>
      <c r="E109" s="28" t="inlineStr">
        <is>
          <t>桂影扶踈</t>
        </is>
      </c>
      <c r="F109" s="27" t="inlineStr">
        <is>
          <t>玉兎銀蟾</t>
        </is>
      </c>
      <c r="G109" s="26" t="n"/>
      <c r="H109" s="29" t="n"/>
      <c r="I109" s="30" t="n"/>
      <c r="J109" s="30" t="n"/>
      <c r="K109" s="30" t="n"/>
      <c r="L109" s="30" t="n"/>
      <c r="M109" s="31" t="n"/>
      <c r="N109" s="29" t="n"/>
      <c r="O109" s="31" t="n"/>
    </row>
    <row r="110" ht="15" customHeight="1" s="16">
      <c r="A110" s="26" t="n">
        <v>109</v>
      </c>
      <c r="B110" s="26" t="n">
        <v>26</v>
      </c>
      <c r="C110" s="26" t="n">
        <v>30</v>
      </c>
      <c r="D110" s="27" t="inlineStr">
        <is>
          <t>桂影扶踈</t>
        </is>
      </c>
      <c r="E110" s="32" t="inlineStr">
        <is>
          <t>玉兎銀蟾</t>
        </is>
      </c>
      <c r="F110" s="27" t="inlineStr">
        <is>
          <t>如可撫弄</t>
        </is>
      </c>
      <c r="G110" s="26" t="inlineStr">
        <is>
          <t>●</t>
        </is>
      </c>
      <c r="H110" s="29" t="n"/>
      <c r="I110" s="30" t="n"/>
      <c r="J110" s="30" t="n"/>
      <c r="K110" s="30" t="n"/>
      <c r="L110" s="30" t="n"/>
      <c r="M110" s="31" t="n"/>
      <c r="N110" s="29" t="n"/>
      <c r="O110" s="31" t="n"/>
    </row>
    <row r="111" ht="15" customHeight="1" s="16">
      <c r="A111" s="26" t="n">
        <v>110</v>
      </c>
      <c r="B111" s="26" t="n">
        <v>26</v>
      </c>
      <c r="C111" s="26" t="n">
        <v>31</v>
      </c>
      <c r="D111" s="27" t="inlineStr">
        <is>
          <t>玉兎銀蟾</t>
        </is>
      </c>
      <c r="E111" s="28" t="inlineStr">
        <is>
          <t>如可撫弄</t>
        </is>
      </c>
      <c r="F111" s="27" t="inlineStr">
        <is>
          <t>而姮娥氷紈</t>
        </is>
      </c>
      <c r="G111" s="26" t="n"/>
      <c r="H111" s="29" t="n"/>
      <c r="I111" s="30" t="n"/>
      <c r="J111" s="30" t="n"/>
      <c r="K111" s="30" t="n"/>
      <c r="L111" s="30" t="n"/>
      <c r="M111" s="31" t="n"/>
      <c r="N111" s="29" t="n"/>
      <c r="O111" s="31" t="n"/>
    </row>
    <row r="112" ht="15" customHeight="1" s="16">
      <c r="A112" s="26" t="n">
        <v>111</v>
      </c>
      <c r="B112" s="26" t="n">
        <v>26</v>
      </c>
      <c r="C112" s="26" t="n">
        <v>86</v>
      </c>
      <c r="D112" s="27" t="inlineStr">
        <is>
          <t>此</t>
        </is>
      </c>
      <c r="E112" s="28" t="inlineStr">
        <is>
          <t>何也</t>
        </is>
      </c>
      <c r="F112" s="27" t="inlineStr">
        <is>
          <t>灣商林景贊曰</t>
        </is>
      </c>
      <c r="G112" s="26" t="n"/>
      <c r="H112" s="29" t="n"/>
      <c r="I112" s="30" t="n"/>
      <c r="J112" s="30" t="n"/>
      <c r="K112" s="30" t="n"/>
      <c r="L112" s="30" t="n"/>
      <c r="M112" s="31" t="n"/>
      <c r="N112" s="29" t="n"/>
      <c r="O112" s="31" t="n"/>
    </row>
    <row r="113" ht="15" customHeight="1" s="16">
      <c r="A113" s="26" t="n">
        <v>112</v>
      </c>
      <c r="B113" s="26" t="n">
        <v>26</v>
      </c>
      <c r="C113" s="26" t="n">
        <v>87</v>
      </c>
      <c r="D113" s="27" t="inlineStr">
        <is>
          <t>何也</t>
        </is>
      </c>
      <c r="E113" s="32" t="inlineStr">
        <is>
          <t>灣商林景贊曰</t>
        </is>
      </c>
      <c r="F113" s="27" t="inlineStr">
        <is>
          <t>薊門雖遠</t>
        </is>
      </c>
      <c r="G113" s="26" t="inlineStr">
        <is>
          <t>●</t>
        </is>
      </c>
      <c r="H113" s="29" t="n"/>
      <c r="I113" s="30" t="n"/>
      <c r="J113" s="30" t="n"/>
      <c r="K113" s="30" t="n"/>
      <c r="L113" s="30" t="n"/>
      <c r="M113" s="31" t="n"/>
      <c r="N113" s="29" t="n"/>
      <c r="O113" s="31" t="n"/>
    </row>
    <row r="114" ht="15" customHeight="1" s="16">
      <c r="A114" s="26" t="n">
        <v>113</v>
      </c>
      <c r="B114" s="26" t="n">
        <v>26</v>
      </c>
      <c r="C114" s="26" t="n">
        <v>88</v>
      </c>
      <c r="D114" s="27" t="inlineStr">
        <is>
          <t>灣商林景贊曰</t>
        </is>
      </c>
      <c r="E114" s="28" t="inlineStr">
        <is>
          <t>薊門雖遠</t>
        </is>
      </c>
      <c r="F114" s="27" t="inlineStr">
        <is>
          <t>統稱薊門烟樹</t>
        </is>
      </c>
      <c r="G114" s="26" t="n"/>
      <c r="H114" s="29" t="n"/>
      <c r="I114" s="30" t="n"/>
      <c r="J114" s="30" t="n"/>
      <c r="K114" s="30" t="n"/>
      <c r="L114" s="30" t="n"/>
      <c r="M114" s="31" t="n"/>
      <c r="N114" s="29" t="n"/>
      <c r="O114" s="31" t="n"/>
    </row>
    <row r="115" ht="15" customHeight="1" s="16">
      <c r="A115" s="26" t="n">
        <v>114</v>
      </c>
      <c r="B115" s="26" t="n">
        <v>26</v>
      </c>
      <c r="C115" s="26" t="n">
        <v>102</v>
      </c>
      <c r="D115" s="27" t="inlineStr">
        <is>
          <t>適値閭陽市日</t>
        </is>
      </c>
      <c r="E115" s="28" t="inlineStr">
        <is>
          <t>百</t>
        </is>
      </c>
      <c r="F115" s="27" t="inlineStr">
        <is>
          <t>貨湊集</t>
        </is>
      </c>
      <c r="G115" s="26" t="n"/>
      <c r="H115" s="29" t="n"/>
      <c r="I115" s="30" t="n"/>
      <c r="J115" s="30" t="n"/>
      <c r="K115" s="30" t="n"/>
      <c r="L115" s="30" t="n"/>
      <c r="M115" s="31" t="n"/>
      <c r="N115" s="29" t="n"/>
      <c r="O115" s="31" t="n"/>
    </row>
    <row r="116" ht="15" customHeight="1" s="16">
      <c r="A116" s="26" t="n">
        <v>115</v>
      </c>
      <c r="B116" s="26" t="n">
        <v>26</v>
      </c>
      <c r="C116" s="26" t="n">
        <v>103</v>
      </c>
      <c r="D116" s="27" t="inlineStr">
        <is>
          <t>百</t>
        </is>
      </c>
      <c r="E116" s="32" t="inlineStr">
        <is>
          <t>貨湊集</t>
        </is>
      </c>
      <c r="F116" s="27" t="inlineStr">
        <is>
          <t>車馬塡咽</t>
        </is>
      </c>
      <c r="G116" s="26" t="inlineStr">
        <is>
          <t>●</t>
        </is>
      </c>
      <c r="H116" s="29" t="n"/>
      <c r="I116" s="30" t="n"/>
      <c r="J116" s="30" t="n"/>
      <c r="K116" s="30" t="n"/>
      <c r="L116" s="30" t="n"/>
      <c r="M116" s="31" t="n"/>
      <c r="N116" s="29" t="n"/>
      <c r="O116" s="31" t="n"/>
    </row>
    <row r="117" ht="15" customHeight="1" s="16">
      <c r="A117" s="26" t="n">
        <v>116</v>
      </c>
      <c r="B117" s="26" t="n">
        <v>26</v>
      </c>
      <c r="C117" s="26" t="n">
        <v>104</v>
      </c>
      <c r="D117" s="27" t="inlineStr">
        <is>
          <t>貨湊集</t>
        </is>
      </c>
      <c r="E117" s="28" t="inlineStr">
        <is>
          <t>車馬塡咽</t>
        </is>
      </c>
      <c r="F117" s="27" t="inlineStr">
        <is>
          <t>而雕籠中各置一禽</t>
        </is>
      </c>
      <c r="G117" s="26" t="n"/>
      <c r="H117" s="29" t="n"/>
      <c r="I117" s="30" t="n"/>
      <c r="J117" s="30" t="n"/>
      <c r="K117" s="30" t="n"/>
      <c r="L117" s="30" t="n"/>
      <c r="M117" s="31" t="n"/>
      <c r="N117" s="29" t="n"/>
      <c r="O117" s="31" t="n"/>
    </row>
    <row r="118" ht="15" customHeight="1" s="16">
      <c r="A118" s="26" t="n">
        <v>117</v>
      </c>
      <c r="B118" s="26" t="n">
        <v>26</v>
      </c>
      <c r="C118" s="26" t="n">
        <v>112</v>
      </c>
      <c r="D118" s="27" t="inlineStr">
        <is>
          <t>形形</t>
        </is>
      </c>
      <c r="E118" s="28" t="inlineStr">
        <is>
          <t>色色</t>
        </is>
      </c>
      <c r="F118" s="27" t="inlineStr">
        <is>
          <t>賣鳥者車六</t>
        </is>
      </c>
      <c r="G118" s="26" t="n"/>
      <c r="H118" s="29" t="n"/>
      <c r="I118" s="30" t="n"/>
      <c r="J118" s="30" t="n"/>
      <c r="K118" s="30" t="n"/>
      <c r="L118" s="30" t="n"/>
      <c r="M118" s="31" t="n"/>
      <c r="N118" s="29" t="n"/>
      <c r="O118" s="31" t="n"/>
    </row>
    <row r="119" ht="15" customHeight="1" s="16">
      <c r="A119" s="26" t="n">
        <v>118</v>
      </c>
      <c r="B119" s="26" t="n">
        <v>26</v>
      </c>
      <c r="C119" s="26" t="n">
        <v>113</v>
      </c>
      <c r="D119" s="27" t="inlineStr">
        <is>
          <t>色色</t>
        </is>
      </c>
      <c r="E119" s="32" t="inlineStr">
        <is>
          <t>賣鳥者車六</t>
        </is>
      </c>
      <c r="F119" s="27" t="inlineStr">
        <is>
          <t>載鳴蟲者車二</t>
        </is>
      </c>
      <c r="G119" s="26" t="inlineStr">
        <is>
          <t>●</t>
        </is>
      </c>
      <c r="H119" s="29" t="n"/>
      <c r="I119" s="30" t="n"/>
      <c r="J119" s="30" t="n"/>
      <c r="K119" s="30" t="n"/>
      <c r="L119" s="30" t="n"/>
      <c r="M119" s="31" t="n"/>
      <c r="N119" s="29" t="n"/>
      <c r="O119" s="31" t="n"/>
    </row>
    <row r="120" ht="15" customHeight="1" s="16">
      <c r="A120" s="26" t="n">
        <v>119</v>
      </c>
      <c r="B120" s="26" t="n">
        <v>26</v>
      </c>
      <c r="C120" s="26" t="n">
        <v>114</v>
      </c>
      <c r="D120" s="27" t="inlineStr">
        <is>
          <t>賣鳥者車六</t>
        </is>
      </c>
      <c r="E120" s="28" t="inlineStr">
        <is>
          <t>載鳴蟲者車二</t>
        </is>
      </c>
      <c r="F120" s="27" t="inlineStr">
        <is>
          <t>啾喞遍市</t>
        </is>
      </c>
      <c r="G120" s="26" t="n"/>
      <c r="H120" s="29" t="n"/>
      <c r="I120" s="30" t="n"/>
      <c r="J120" s="30" t="n"/>
      <c r="K120" s="30" t="n"/>
      <c r="L120" s="30" t="n"/>
      <c r="M120" s="31" t="n"/>
      <c r="N120" s="29" t="n"/>
      <c r="O120" s="31" t="n"/>
    </row>
    <row r="121" ht="15" customHeight="1" s="16">
      <c r="A121" s="26" t="n">
        <v>120</v>
      </c>
      <c r="B121" s="26" t="n">
        <v>26</v>
      </c>
      <c r="C121" s="26" t="n">
        <v>128</v>
      </c>
      <c r="D121" s="27" t="inlineStr">
        <is>
          <t>不得轉動</t>
        </is>
      </c>
      <c r="E121" s="28" t="inlineStr">
        <is>
          <t>趙不得已笑而還坐</t>
        </is>
      </c>
      <c r="F121" s="27" t="inlineStr">
        <is>
          <t>買一盤猪炒</t>
        </is>
      </c>
      <c r="G121" s="26" t="n"/>
      <c r="H121" s="29" t="n"/>
      <c r="I121" s="30" t="n"/>
      <c r="J121" s="30" t="n"/>
      <c r="K121" s="30" t="n"/>
      <c r="L121" s="30" t="n"/>
      <c r="M121" s="31" t="n"/>
      <c r="N121" s="29" t="n"/>
      <c r="O121" s="31" t="n"/>
    </row>
    <row r="122" ht="15" customHeight="1" s="16">
      <c r="A122" s="26" t="n">
        <v>121</v>
      </c>
      <c r="B122" s="26" t="n">
        <v>26</v>
      </c>
      <c r="C122" s="26" t="n">
        <v>129</v>
      </c>
      <c r="D122" s="27" t="inlineStr">
        <is>
          <t>趙不得已笑而還坐</t>
        </is>
      </c>
      <c r="E122" s="32" t="inlineStr">
        <is>
          <t>買一盤猪炒</t>
        </is>
      </c>
      <c r="F122" s="27" t="inlineStr">
        <is>
          <t>一盤卵炒</t>
        </is>
      </c>
      <c r="G122" s="26" t="inlineStr">
        <is>
          <t>●</t>
        </is>
      </c>
      <c r="H122" s="29" t="n"/>
      <c r="I122" s="30" t="n"/>
      <c r="J122" s="30" t="n"/>
      <c r="K122" s="30" t="n"/>
      <c r="L122" s="30" t="n"/>
      <c r="M122" s="31" t="n"/>
      <c r="N122" s="29" t="n"/>
      <c r="O122" s="31" t="n"/>
    </row>
    <row r="123" ht="15" customHeight="1" s="16">
      <c r="A123" s="26" t="n">
        <v>122</v>
      </c>
      <c r="B123" s="26" t="n">
        <v>26</v>
      </c>
      <c r="C123" s="26" t="n">
        <v>130</v>
      </c>
      <c r="D123" s="27" t="inlineStr">
        <is>
          <t>買一盤猪炒</t>
        </is>
      </c>
      <c r="E123" s="28" t="inlineStr">
        <is>
          <t>一盤卵炒</t>
        </is>
      </c>
      <c r="F123" s="27" t="inlineStr">
        <is>
          <t>二觶酒飽喫而行</t>
        </is>
      </c>
      <c r="G123" s="26" t="n"/>
      <c r="H123" s="29" t="n"/>
      <c r="I123" s="30" t="n"/>
      <c r="J123" s="30" t="n"/>
      <c r="K123" s="30" t="n"/>
      <c r="L123" s="30" t="n"/>
      <c r="M123" s="31" t="n"/>
      <c r="N123" s="29" t="n"/>
      <c r="O123" s="31" t="n"/>
    </row>
    <row r="124" ht="15" customHeight="1" s="16">
      <c r="A124" s="26" t="n">
        <v>123</v>
      </c>
      <c r="B124" s="26" t="n">
        <v>26</v>
      </c>
      <c r="C124" s="26" t="n">
        <v>152</v>
      </c>
      <c r="D124" s="27" t="inlineStr">
        <is>
          <t>身被一領醬色雲紋杭</t>
        </is>
      </c>
      <c r="E124" s="28" t="inlineStr">
        <is>
          <t>紗袍</t>
        </is>
      </c>
      <c r="F124" s="27" t="inlineStr">
        <is>
          <t>足穿貢緞烏靴</t>
        </is>
      </c>
      <c r="G124" s="26" t="n"/>
      <c r="H124" s="29" t="n"/>
      <c r="I124" s="30" t="n"/>
      <c r="J124" s="30" t="n"/>
      <c r="K124" s="30" t="n"/>
      <c r="L124" s="30" t="n"/>
      <c r="M124" s="31" t="n"/>
      <c r="N124" s="29" t="n"/>
      <c r="O124" s="31" t="n"/>
    </row>
    <row r="125" ht="15" customHeight="1" s="16">
      <c r="A125" s="26" t="n">
        <v>124</v>
      </c>
      <c r="B125" s="26" t="n">
        <v>26</v>
      </c>
      <c r="C125" s="26" t="n">
        <v>153</v>
      </c>
      <c r="D125" s="27" t="inlineStr">
        <is>
          <t>紗袍</t>
        </is>
      </c>
      <c r="E125" s="32" t="inlineStr">
        <is>
          <t>足穿貢緞烏靴</t>
        </is>
      </c>
      <c r="F125" s="27" t="inlineStr">
        <is>
          <t>跬步娉婷</t>
        </is>
      </c>
      <c r="G125" s="26" t="inlineStr">
        <is>
          <t>●</t>
        </is>
      </c>
      <c r="H125" s="29" t="n"/>
      <c r="I125" s="30" t="n"/>
      <c r="J125" s="30" t="n"/>
      <c r="K125" s="30" t="n"/>
      <c r="L125" s="30" t="n"/>
      <c r="M125" s="31" t="n"/>
      <c r="N125" s="29" t="n"/>
      <c r="O125" s="31" t="n"/>
    </row>
    <row r="126" ht="15" customHeight="1" s="16">
      <c r="A126" s="26" t="n">
        <v>125</v>
      </c>
      <c r="B126" s="26" t="n">
        <v>26</v>
      </c>
      <c r="C126" s="26" t="n">
        <v>154</v>
      </c>
      <c r="D126" s="27" t="inlineStr">
        <is>
          <t>足穿貢緞烏靴</t>
        </is>
      </c>
      <c r="E126" s="28" t="inlineStr">
        <is>
          <t>跬步娉婷</t>
        </is>
      </c>
      <c r="F126" s="27" t="inlineStr">
        <is>
          <t>顔色白雪</t>
        </is>
      </c>
      <c r="G126" s="26" t="n"/>
      <c r="H126" s="29" t="n"/>
      <c r="I126" s="30" t="n"/>
      <c r="J126" s="30" t="n"/>
      <c r="K126" s="30" t="n"/>
      <c r="L126" s="30" t="n"/>
      <c r="M126" s="31" t="n"/>
      <c r="N126" s="29" t="n"/>
      <c r="O126" s="31" t="n"/>
    </row>
    <row r="127" ht="15" customHeight="1" s="16">
      <c r="A127" s="26" t="n">
        <v>126</v>
      </c>
      <c r="B127" s="26" t="n">
        <v>27</v>
      </c>
      <c r="C127" s="26" t="n">
        <v>67</v>
      </c>
      <c r="D127" s="27" t="inlineStr">
        <is>
          <t>伊兩羽泉的</t>
        </is>
      </c>
      <c r="E127" s="28" t="inlineStr">
        <is>
          <t>伊兩羽泉者</t>
        </is>
      </c>
      <c r="F127" s="27" t="inlineStr">
        <is>
          <t>漢音一兩五錢也</t>
        </is>
      </c>
      <c r="G127" s="26" t="n"/>
      <c r="H127" s="29" t="n"/>
      <c r="I127" s="30" t="n"/>
      <c r="J127" s="30" t="n"/>
      <c r="K127" s="30" t="n"/>
      <c r="L127" s="30" t="n"/>
      <c r="M127" s="31" t="n"/>
      <c r="N127" s="29" t="n"/>
      <c r="O127" s="31" t="n"/>
    </row>
    <row r="128" ht="15" customHeight="1" s="16">
      <c r="A128" s="26" t="n">
        <v>127</v>
      </c>
      <c r="B128" s="26" t="n">
        <v>27</v>
      </c>
      <c r="C128" s="26" t="n">
        <v>68</v>
      </c>
      <c r="D128" s="27" t="inlineStr">
        <is>
          <t>伊兩羽泉者</t>
        </is>
      </c>
      <c r="E128" s="32" t="inlineStr">
        <is>
          <t>漢音一兩五錢也</t>
        </is>
      </c>
      <c r="F128" s="27" t="inlineStr">
        <is>
          <t>一兩五錢</t>
        </is>
      </c>
      <c r="G128" s="26" t="inlineStr">
        <is>
          <t>●</t>
        </is>
      </c>
      <c r="H128" s="29" t="n"/>
      <c r="I128" s="30" t="n"/>
      <c r="J128" s="30" t="n"/>
      <c r="K128" s="30" t="n"/>
      <c r="L128" s="30" t="n"/>
      <c r="M128" s="31" t="n"/>
      <c r="N128" s="29" t="n"/>
      <c r="O128" s="31" t="n"/>
    </row>
    <row r="129" ht="15" customHeight="1" s="16">
      <c r="A129" s="26" t="n">
        <v>128</v>
      </c>
      <c r="B129" s="26" t="n">
        <v>27</v>
      </c>
      <c r="C129" s="26" t="n">
        <v>69</v>
      </c>
      <c r="D129" s="27" t="inlineStr">
        <is>
          <t>漢音一兩五錢也</t>
        </is>
      </c>
      <c r="E129" s="32" t="inlineStr">
        <is>
          <t>一兩五錢</t>
        </is>
      </c>
      <c r="F129" s="27" t="inlineStr">
        <is>
          <t>爲兩半</t>
        </is>
      </c>
      <c r="G129" s="26" t="inlineStr">
        <is>
          <t>●</t>
        </is>
      </c>
      <c r="H129" s="29" t="n"/>
      <c r="I129" s="30" t="n"/>
      <c r="J129" s="30" t="n"/>
      <c r="K129" s="30" t="n"/>
      <c r="L129" s="30" t="n"/>
      <c r="M129" s="31" t="n"/>
      <c r="N129" s="29" t="n"/>
      <c r="O129" s="31" t="n"/>
    </row>
    <row r="130" ht="15" customHeight="1" s="16">
      <c r="A130" s="26" t="n">
        <v>129</v>
      </c>
      <c r="B130" s="26" t="n">
        <v>27</v>
      </c>
      <c r="C130" s="26" t="n">
        <v>70</v>
      </c>
      <c r="D130" s="27" t="inlineStr">
        <is>
          <t>一兩五錢</t>
        </is>
      </c>
      <c r="E130" s="28" t="inlineStr">
        <is>
          <t>爲兩半</t>
        </is>
      </c>
      <c r="F130" s="27" t="inlineStr">
        <is>
          <t>東方士族稱兩班</t>
        </is>
      </c>
      <c r="G130" s="26" t="n"/>
      <c r="H130" s="29" t="n"/>
      <c r="I130" s="30" t="n"/>
      <c r="J130" s="30" t="n"/>
      <c r="K130" s="30" t="n"/>
      <c r="L130" s="30" t="n"/>
      <c r="M130" s="31" t="n"/>
      <c r="N130" s="29" t="n"/>
      <c r="O130" s="31" t="n"/>
    </row>
    <row r="131" ht="15" customHeight="1" s="16">
      <c r="A131" s="26" t="n">
        <v>130</v>
      </c>
      <c r="B131" s="26" t="n">
        <v>27</v>
      </c>
      <c r="C131" s="26" t="n">
        <v>72</v>
      </c>
      <c r="D131" s="27" t="inlineStr">
        <is>
          <t>東方士族稱兩班</t>
        </is>
      </c>
      <c r="E131" s="28" t="inlineStr">
        <is>
          <t>兩半與兩班音似</t>
        </is>
      </c>
      <c r="F131" s="27" t="inlineStr">
        <is>
          <t>故雙林以一兩五錢</t>
        </is>
      </c>
      <c r="G131" s="26" t="n"/>
      <c r="H131" s="29" t="n"/>
      <c r="I131" s="30" t="n"/>
      <c r="J131" s="30" t="n"/>
      <c r="K131" s="30" t="n"/>
      <c r="L131" s="30" t="n"/>
      <c r="M131" s="31" t="n"/>
      <c r="N131" s="29" t="n"/>
      <c r="O131" s="31" t="n"/>
    </row>
    <row r="132" ht="15" customHeight="1" s="16">
      <c r="A132" s="26" t="n">
        <v>131</v>
      </c>
      <c r="B132" s="26" t="n">
        <v>27</v>
      </c>
      <c r="C132" s="26" t="n">
        <v>73</v>
      </c>
      <c r="D132" s="27" t="inlineStr">
        <is>
          <t>兩半與兩班音似</t>
        </is>
      </c>
      <c r="E132" s="32" t="inlineStr">
        <is>
          <t>故雙林以一兩五錢</t>
        </is>
      </c>
      <c r="F132" s="27" t="inlineStr">
        <is>
          <t>爲隱語也</t>
        </is>
      </c>
      <c r="G132" s="26" t="inlineStr">
        <is>
          <t>●</t>
        </is>
      </c>
      <c r="H132" s="29" t="n"/>
      <c r="I132" s="30" t="n"/>
      <c r="J132" s="30" t="n"/>
      <c r="K132" s="30" t="n"/>
      <c r="L132" s="30" t="n"/>
      <c r="M132" s="31" t="n"/>
      <c r="N132" s="29" t="n"/>
      <c r="O132" s="31" t="n"/>
    </row>
    <row r="133" ht="15" customHeight="1" s="16">
      <c r="A133" s="26" t="n">
        <v>132</v>
      </c>
      <c r="B133" s="26" t="n">
        <v>27</v>
      </c>
      <c r="C133" s="26" t="n">
        <v>74</v>
      </c>
      <c r="D133" s="27" t="inlineStr">
        <is>
          <t>故雙林以一兩五錢</t>
        </is>
      </c>
      <c r="E133" s="28" t="inlineStr">
        <is>
          <t>爲隱語也</t>
        </is>
      </c>
      <c r="F133" s="27" t="inlineStr">
        <is>
          <t>四點者</t>
        </is>
      </c>
      <c r="G133" s="26" t="n"/>
      <c r="H133" s="29" t="n"/>
      <c r="I133" s="30" t="n"/>
      <c r="J133" s="30" t="n"/>
      <c r="K133" s="30" t="n"/>
      <c r="L133" s="30" t="n"/>
      <c r="M133" s="31" t="n"/>
      <c r="N133" s="29" t="n"/>
      <c r="O133" s="31" t="n"/>
    </row>
    <row r="134" ht="15" customHeight="1" s="16">
      <c r="A134" s="26" t="n">
        <v>133</v>
      </c>
      <c r="B134" s="26" t="n">
        <v>27</v>
      </c>
      <c r="C134" s="26" t="n">
        <v>79</v>
      </c>
      <c r="D134" s="27" t="inlineStr">
        <is>
          <t>每行</t>
        </is>
      </c>
      <c r="E134" s="28" t="inlineStr">
        <is>
          <t>任譯持公</t>
        </is>
      </c>
      <c r="F134" s="27" t="inlineStr">
        <is>
          <t>費銀四千兩</t>
        </is>
      </c>
      <c r="G134" s="26" t="n"/>
      <c r="H134" s="29" t="n"/>
      <c r="I134" s="30" t="n"/>
      <c r="J134" s="30" t="n"/>
      <c r="K134" s="30" t="n"/>
      <c r="L134" s="30" t="n"/>
      <c r="M134" s="31" t="n"/>
      <c r="N134" s="29" t="n"/>
      <c r="O134" s="31" t="n"/>
    </row>
    <row r="135" ht="15" customHeight="1" s="16">
      <c r="A135" s="26" t="n">
        <v>134</v>
      </c>
      <c r="B135" s="26" t="n">
        <v>27</v>
      </c>
      <c r="C135" s="26" t="n">
        <v>80</v>
      </c>
      <c r="D135" s="27" t="inlineStr">
        <is>
          <t>任譯持公</t>
        </is>
      </c>
      <c r="E135" s="32" t="inlineStr">
        <is>
          <t>費銀四千兩</t>
        </is>
      </c>
      <c r="F135" s="27" t="inlineStr">
        <is>
          <t>而五百兩例給護行章京</t>
        </is>
      </c>
      <c r="G135" s="26" t="inlineStr">
        <is>
          <t>●</t>
        </is>
      </c>
      <c r="H135" s="29" t="n"/>
      <c r="I135" s="30" t="n"/>
      <c r="J135" s="30" t="n"/>
      <c r="K135" s="30" t="n"/>
      <c r="L135" s="30" t="n"/>
      <c r="M135" s="31" t="n"/>
      <c r="N135" s="29" t="n"/>
      <c r="O135" s="31" t="n"/>
    </row>
    <row r="136" ht="15" customHeight="1" s="16">
      <c r="A136" s="26" t="n">
        <v>135</v>
      </c>
      <c r="B136" s="26" t="n">
        <v>27</v>
      </c>
      <c r="C136" s="26" t="n">
        <v>81</v>
      </c>
      <c r="D136" s="27" t="inlineStr">
        <is>
          <t>費銀四千兩</t>
        </is>
      </c>
      <c r="E136" s="28" t="inlineStr">
        <is>
          <t>而五百兩例給護行章京</t>
        </is>
      </c>
      <c r="F136" s="27" t="inlineStr">
        <is>
          <t>七百兩給護行通官</t>
        </is>
      </c>
      <c r="G136" s="26" t="n"/>
      <c r="H136" s="29" t="n"/>
      <c r="I136" s="30" t="n"/>
      <c r="J136" s="30" t="n"/>
      <c r="K136" s="30" t="n"/>
      <c r="L136" s="30" t="n"/>
      <c r="M136" s="31" t="n"/>
      <c r="N136" s="29" t="n"/>
      <c r="O136" s="31" t="n"/>
    </row>
    <row r="137" ht="15" customHeight="1" s="16">
      <c r="A137" s="26" t="n">
        <v>136</v>
      </c>
      <c r="B137" s="26" t="n">
        <v>27</v>
      </c>
      <c r="C137" s="26" t="n">
        <v>82</v>
      </c>
      <c r="D137" s="27" t="inlineStr">
        <is>
          <t>而五百兩例給護行章京</t>
        </is>
      </c>
      <c r="E137" s="28" t="inlineStr">
        <is>
          <t>七百兩給護行通官</t>
        </is>
      </c>
      <c r="F137" s="27" t="inlineStr">
        <is>
          <t>爲雇車及盤纏之資</t>
        </is>
      </c>
      <c r="G137" s="26" t="n"/>
      <c r="H137" s="29" t="n"/>
      <c r="I137" s="30" t="n"/>
      <c r="J137" s="30" t="n"/>
      <c r="K137" s="30" t="n"/>
      <c r="L137" s="30" t="n"/>
      <c r="M137" s="31" t="n"/>
      <c r="N137" s="29" t="n"/>
      <c r="O137" s="31" t="n"/>
    </row>
    <row r="138" ht="15" customHeight="1" s="16">
      <c r="A138" s="26" t="n">
        <v>137</v>
      </c>
      <c r="B138" s="26" t="n">
        <v>27</v>
      </c>
      <c r="C138" s="26" t="n">
        <v>83</v>
      </c>
      <c r="D138" s="27" t="inlineStr">
        <is>
          <t>七百兩給護行通官</t>
        </is>
      </c>
      <c r="E138" s="32" t="inlineStr">
        <is>
          <t>爲雇車及盤纏之資</t>
        </is>
      </c>
      <c r="F138" s="27" t="inlineStr">
        <is>
          <t>而其實未甞費一錢銀</t>
        </is>
      </c>
      <c r="G138" s="26" t="inlineStr">
        <is>
          <t>●</t>
        </is>
      </c>
      <c r="H138" s="29" t="n"/>
      <c r="I138" s="30" t="n"/>
      <c r="J138" s="30" t="n"/>
      <c r="K138" s="30" t="n"/>
      <c r="L138" s="30" t="n"/>
      <c r="M138" s="31" t="n"/>
      <c r="N138" s="29" t="n"/>
      <c r="O138" s="31" t="n"/>
    </row>
    <row r="139" ht="15" customHeight="1" s="16">
      <c r="A139" s="26" t="n">
        <v>138</v>
      </c>
      <c r="B139" s="26" t="n">
        <v>27</v>
      </c>
      <c r="C139" s="26" t="n">
        <v>84</v>
      </c>
      <c r="D139" s="27" t="inlineStr">
        <is>
          <t>爲雇車及盤纏之資</t>
        </is>
      </c>
      <c r="E139" s="32" t="inlineStr">
        <is>
          <t>而其實未甞費一錢銀</t>
        </is>
      </c>
      <c r="F139" s="27" t="inlineStr">
        <is>
          <t>子</t>
        </is>
      </c>
      <c r="G139" s="26" t="inlineStr">
        <is>
          <t>●</t>
        </is>
      </c>
      <c r="H139" s="29" t="n"/>
      <c r="I139" s="30" t="n"/>
      <c r="J139" s="30" t="n"/>
      <c r="K139" s="30" t="n"/>
      <c r="L139" s="30" t="n"/>
      <c r="M139" s="31" t="n"/>
      <c r="N139" s="29" t="n"/>
      <c r="O139" s="31" t="n"/>
    </row>
    <row r="140" ht="15" customHeight="1" s="16">
      <c r="A140" s="26" t="n">
        <v>139</v>
      </c>
      <c r="B140" s="26" t="n">
        <v>27</v>
      </c>
      <c r="C140" s="26" t="n">
        <v>85</v>
      </c>
      <c r="D140" s="27" t="inlineStr">
        <is>
          <t>而其實未甞費一錢銀</t>
        </is>
      </c>
      <c r="E140" s="28" t="inlineStr">
        <is>
          <t>子</t>
        </is>
      </c>
      <c r="F140" s="27" t="inlineStr">
        <is>
          <t>自上副廚房</t>
        </is>
      </c>
      <c r="G140" s="26" t="n"/>
      <c r="H140" s="29" t="n"/>
      <c r="I140" s="30" t="n"/>
      <c r="J140" s="30" t="n"/>
      <c r="K140" s="30" t="n"/>
      <c r="L140" s="30" t="n"/>
      <c r="M140" s="31" t="n"/>
      <c r="N140" s="29" t="n"/>
      <c r="O140" s="31" t="n"/>
    </row>
    <row r="141" ht="15" customHeight="1" s="16">
      <c r="A141" s="26" t="n">
        <v>140</v>
      </c>
      <c r="B141" s="26" t="n">
        <v>27</v>
      </c>
      <c r="C141" s="26" t="n">
        <v>158</v>
      </c>
      <c r="D141" s="27" t="inlineStr">
        <is>
          <t>急則還使官話</t>
        </is>
      </c>
      <c r="E141" s="28" t="inlineStr">
        <is>
          <t>公然乾</t>
        </is>
      </c>
      <c r="F141" s="27" t="inlineStr">
        <is>
          <t>沒七百兩銀子</t>
        </is>
      </c>
      <c r="G141" s="26" t="n"/>
      <c r="H141" s="29" t="n"/>
      <c r="I141" s="30" t="n"/>
      <c r="J141" s="30" t="n"/>
      <c r="K141" s="30" t="n"/>
      <c r="L141" s="30" t="n"/>
      <c r="M141" s="31" t="n"/>
      <c r="N141" s="29" t="n"/>
      <c r="O141" s="31" t="n"/>
    </row>
    <row r="142" ht="15" customHeight="1" s="16">
      <c r="A142" s="26" t="n">
        <v>141</v>
      </c>
      <c r="B142" s="26" t="n">
        <v>27</v>
      </c>
      <c r="C142" s="26" t="n">
        <v>159</v>
      </c>
      <c r="D142" s="27" t="inlineStr">
        <is>
          <t>公然乾</t>
        </is>
      </c>
      <c r="E142" s="32" t="inlineStr">
        <is>
          <t>沒七百兩銀子</t>
        </is>
      </c>
      <c r="F142" s="27" t="inlineStr">
        <is>
          <t>誠爲可惜</t>
        </is>
      </c>
      <c r="G142" s="26" t="inlineStr">
        <is>
          <t>●</t>
        </is>
      </c>
      <c r="H142" s="29" t="n"/>
      <c r="I142" s="30" t="n"/>
      <c r="J142" s="30" t="n"/>
      <c r="K142" s="30" t="n"/>
      <c r="L142" s="30" t="n"/>
      <c r="M142" s="31" t="n"/>
      <c r="N142" s="29" t="n"/>
      <c r="O142" s="31" t="n"/>
    </row>
    <row r="143" ht="15" customHeight="1" s="16">
      <c r="A143" s="26" t="n">
        <v>142</v>
      </c>
      <c r="B143" s="26" t="n">
        <v>27</v>
      </c>
      <c r="C143" s="26" t="n">
        <v>160</v>
      </c>
      <c r="D143" s="27" t="inlineStr">
        <is>
          <t>沒七百兩銀子</t>
        </is>
      </c>
      <c r="E143" s="28" t="inlineStr">
        <is>
          <t>誠爲可惜</t>
        </is>
      </c>
      <c r="F143" s="27" t="inlineStr">
        <is>
          <t>余時擦紙爲鼻針</t>
        </is>
      </c>
      <c r="G143" s="26" t="n"/>
      <c r="H143" s="29" t="n"/>
      <c r="I143" s="30" t="n"/>
      <c r="J143" s="30" t="n"/>
      <c r="K143" s="30" t="n"/>
      <c r="L143" s="30" t="n"/>
      <c r="M143" s="31" t="n"/>
      <c r="N143" s="29" t="n"/>
      <c r="O143" s="31" t="n"/>
    </row>
    <row r="144" ht="15" customHeight="1" s="16">
      <c r="A144" s="26" t="n">
        <v>143</v>
      </c>
      <c r="B144" s="26" t="n">
        <v>27</v>
      </c>
      <c r="C144" s="26" t="n">
        <v>253</v>
      </c>
      <c r="D144" s="27" t="inlineStr">
        <is>
          <t>張福曰</t>
        </is>
      </c>
      <c r="E144" s="28" t="inlineStr">
        <is>
          <t>家</t>
        </is>
      </c>
      <c r="F144" s="27" t="inlineStr">
        <is>
          <t>貧未聘</t>
        </is>
      </c>
      <c r="G144" s="26" t="n"/>
      <c r="H144" s="29" t="n"/>
      <c r="I144" s="30" t="n"/>
      <c r="J144" s="30" t="n"/>
      <c r="K144" s="30" t="n"/>
      <c r="L144" s="30" t="n"/>
      <c r="M144" s="31" t="n"/>
      <c r="N144" s="29" t="n"/>
      <c r="O144" s="31" t="n"/>
    </row>
    <row r="145" ht="15" customHeight="1" s="16">
      <c r="A145" s="26" t="n">
        <v>144</v>
      </c>
      <c r="B145" s="26" t="n">
        <v>27</v>
      </c>
      <c r="C145" s="26" t="n">
        <v>254</v>
      </c>
      <c r="D145" s="27" t="inlineStr">
        <is>
          <t>家</t>
        </is>
      </c>
      <c r="E145" s="32" t="inlineStr">
        <is>
          <t>貧未聘</t>
        </is>
      </c>
      <c r="F145" s="27" t="inlineStr">
        <is>
          <t>雙林連道不祥</t>
        </is>
      </c>
      <c r="G145" s="26" t="inlineStr">
        <is>
          <t>●</t>
        </is>
      </c>
      <c r="H145" s="29" t="n"/>
      <c r="I145" s="30" t="n"/>
      <c r="J145" s="30" t="n"/>
      <c r="K145" s="30" t="n"/>
      <c r="L145" s="30" t="n"/>
      <c r="M145" s="31" t="n"/>
      <c r="N145" s="29" t="n"/>
      <c r="O145" s="31" t="n"/>
    </row>
    <row r="146" ht="15" customHeight="1" s="16">
      <c r="A146" s="26" t="n">
        <v>145</v>
      </c>
      <c r="B146" s="26" t="n">
        <v>27</v>
      </c>
      <c r="C146" s="26" t="n">
        <v>255</v>
      </c>
      <c r="D146" s="27" t="inlineStr">
        <is>
          <t>貧未聘</t>
        </is>
      </c>
      <c r="E146" s="28" t="inlineStr">
        <is>
          <t>雙林連道不祥</t>
        </is>
      </c>
      <c r="F146" s="27" t="inlineStr">
        <is>
          <t>不祥者</t>
        </is>
      </c>
      <c r="G146" s="26" t="n"/>
      <c r="H146" s="29" t="n"/>
      <c r="I146" s="30" t="n"/>
      <c r="J146" s="30" t="n"/>
      <c r="K146" s="30" t="n"/>
      <c r="L146" s="30" t="n"/>
      <c r="M146" s="31" t="n"/>
      <c r="N146" s="29" t="n"/>
      <c r="O146" s="31" t="n"/>
    </row>
    <row r="147" ht="15" customHeight="1" s="16">
      <c r="A147" s="26" t="n">
        <v>146</v>
      </c>
      <c r="B147" s="26" t="n">
        <v>27</v>
      </c>
      <c r="C147" s="26" t="n">
        <v>265</v>
      </c>
      <c r="D147" s="27" t="inlineStr">
        <is>
          <t>多有美的麽</t>
        </is>
      </c>
      <c r="E147" s="28" t="inlineStr">
        <is>
          <t>張福曰</t>
        </is>
      </c>
      <c r="F147" s="27" t="inlineStr">
        <is>
          <t>奢遮的</t>
        </is>
      </c>
      <c r="G147" s="26" t="n"/>
      <c r="H147" s="29" t="n"/>
      <c r="I147" s="30" t="n"/>
      <c r="J147" s="30" t="n"/>
      <c r="K147" s="30" t="n"/>
      <c r="L147" s="30" t="n"/>
      <c r="M147" s="31" t="n"/>
      <c r="N147" s="29" t="n"/>
      <c r="O147" s="31" t="n"/>
    </row>
    <row r="148" ht="15" customHeight="1" s="16">
      <c r="A148" s="26" t="n">
        <v>147</v>
      </c>
      <c r="B148" s="26" t="n">
        <v>27</v>
      </c>
      <c r="C148" s="26" t="n">
        <v>266</v>
      </c>
      <c r="D148" s="27" t="inlineStr">
        <is>
          <t>張福曰</t>
        </is>
      </c>
      <c r="E148" s="32" t="inlineStr">
        <is>
          <t>奢遮的</t>
        </is>
      </c>
      <c r="F148" s="27" t="inlineStr">
        <is>
          <t>道甚麽</t>
        </is>
      </c>
      <c r="G148" s="26" t="inlineStr">
        <is>
          <t>●</t>
        </is>
      </c>
      <c r="H148" s="29" t="n"/>
      <c r="I148" s="30" t="n"/>
      <c r="J148" s="30" t="n"/>
      <c r="K148" s="30" t="n"/>
      <c r="L148" s="30" t="n"/>
      <c r="M148" s="31" t="n"/>
      <c r="N148" s="29" t="n"/>
      <c r="O148" s="31" t="n"/>
    </row>
    <row r="149" ht="15" customHeight="1" s="16">
      <c r="A149" s="26" t="n">
        <v>148</v>
      </c>
      <c r="B149" s="26" t="n">
        <v>27</v>
      </c>
      <c r="C149" s="26" t="n">
        <v>267</v>
      </c>
      <c r="D149" s="27" t="inlineStr">
        <is>
          <t>奢遮的</t>
        </is>
      </c>
      <c r="E149" s="28" t="inlineStr">
        <is>
          <t>道甚麽</t>
        </is>
      </c>
      <c r="F149" s="27" t="inlineStr">
        <is>
          <t>也有楊貴妃等物也</t>
        </is>
      </c>
      <c r="G149" s="26" t="n"/>
      <c r="H149" s="29" t="n"/>
      <c r="I149" s="30" t="n"/>
      <c r="J149" s="30" t="n"/>
      <c r="K149" s="30" t="n"/>
      <c r="L149" s="30" t="n"/>
      <c r="M149" s="31" t="n"/>
      <c r="N149" s="29" t="n"/>
      <c r="O149" s="31" t="n"/>
    </row>
    <row r="150" ht="15" customHeight="1" s="16">
      <c r="A150" s="26" t="n">
        <v>149</v>
      </c>
      <c r="B150" s="26" t="n">
        <v>27</v>
      </c>
      <c r="C150" s="26" t="n">
        <v>281</v>
      </c>
      <c r="D150" s="27" t="inlineStr">
        <is>
          <t>若一看見時</t>
        </is>
      </c>
      <c r="E150" s="28" t="inlineStr">
        <is>
          <t>大監們魂飛九霄雲外</t>
        </is>
      </c>
      <c r="F150" s="27" t="inlineStr">
        <is>
          <t>手裡自丟了萬兩紋銀子</t>
        </is>
      </c>
      <c r="G150" s="26" t="n"/>
      <c r="H150" s="29" t="n"/>
      <c r="I150" s="30" t="n"/>
      <c r="J150" s="30" t="n"/>
      <c r="K150" s="30" t="n"/>
      <c r="L150" s="30" t="n"/>
      <c r="M150" s="31" t="n"/>
      <c r="N150" s="29" t="n"/>
      <c r="O150" s="31" t="n"/>
    </row>
    <row r="151" ht="15" customHeight="1" s="16">
      <c r="A151" s="26" t="n">
        <v>150</v>
      </c>
      <c r="B151" s="26" t="n">
        <v>27</v>
      </c>
      <c r="C151" s="26" t="n">
        <v>282</v>
      </c>
      <c r="D151" s="27" t="inlineStr">
        <is>
          <t>大監們魂飛九霄雲外</t>
        </is>
      </c>
      <c r="E151" s="32" t="inlineStr">
        <is>
          <t>手裡自丟了萬兩紋銀子</t>
        </is>
      </c>
      <c r="F151" s="27" t="inlineStr">
        <is>
          <t>渡不得這鴨綠江來哩</t>
        </is>
      </c>
      <c r="G151" s="26" t="inlineStr">
        <is>
          <t>●</t>
        </is>
      </c>
      <c r="H151" s="29" t="n"/>
      <c r="I151" s="30" t="n"/>
      <c r="J151" s="30" t="n"/>
      <c r="K151" s="30" t="n"/>
      <c r="L151" s="30" t="n"/>
      <c r="M151" s="31" t="n"/>
      <c r="N151" s="29" t="n"/>
      <c r="O151" s="31" t="n"/>
    </row>
    <row r="152" ht="15" customHeight="1" s="16">
      <c r="A152" s="26" t="n">
        <v>151</v>
      </c>
      <c r="B152" s="26" t="n">
        <v>27</v>
      </c>
      <c r="C152" s="26" t="n">
        <v>283</v>
      </c>
      <c r="D152" s="27" t="inlineStr">
        <is>
          <t>手裡自丟了萬兩紋銀子</t>
        </is>
      </c>
      <c r="E152" s="28" t="inlineStr">
        <is>
          <t>渡不得這鴨綠江來哩</t>
        </is>
      </c>
      <c r="F152" s="27" t="inlineStr">
        <is>
          <t>雙林拍掌胡盧道</t>
        </is>
      </c>
      <c r="G152" s="26" t="n"/>
      <c r="H152" s="29" t="n"/>
      <c r="I152" s="30" t="n"/>
      <c r="J152" s="30" t="n"/>
      <c r="K152" s="30" t="n"/>
      <c r="L152" s="30" t="n"/>
      <c r="M152" s="31" t="n"/>
      <c r="N152" s="29" t="n"/>
      <c r="O152" s="31" t="n"/>
    </row>
    <row r="153" ht="15" customHeight="1" s="16">
      <c r="A153" s="26" t="n">
        <v>152</v>
      </c>
      <c r="B153" s="26" t="n">
        <v>27</v>
      </c>
      <c r="C153" s="26" t="n">
        <v>302</v>
      </c>
      <c r="D153" s="27" t="inlineStr">
        <is>
          <t>以綠毡爲帳而卷之</t>
        </is>
      </c>
      <c r="E153" s="28" t="inlineStr">
        <is>
          <t>東西垂緗簾</t>
        </is>
      </c>
      <c r="F153" s="27" t="inlineStr">
        <is>
          <t>前面以貢緞爲遮日</t>
        </is>
      </c>
      <c r="G153" s="26" t="n"/>
      <c r="H153" s="29" t="n"/>
      <c r="I153" s="30" t="n"/>
      <c r="J153" s="30" t="n"/>
      <c r="K153" s="30" t="n"/>
      <c r="L153" s="30" t="n"/>
      <c r="M153" s="31" t="n"/>
      <c r="N153" s="29" t="n"/>
      <c r="O153" s="31" t="n"/>
    </row>
    <row r="154" ht="15" customHeight="1" s="16">
      <c r="A154" s="26" t="n">
        <v>153</v>
      </c>
      <c r="B154" s="26" t="n">
        <v>27</v>
      </c>
      <c r="C154" s="26" t="n">
        <v>303</v>
      </c>
      <c r="D154" s="27" t="inlineStr">
        <is>
          <t>東西垂緗簾</t>
        </is>
      </c>
      <c r="E154" s="32" t="inlineStr">
        <is>
          <t>前面以貢緞爲遮日</t>
        </is>
      </c>
      <c r="F154" s="27" t="inlineStr">
        <is>
          <t>車中置舖</t>
        </is>
      </c>
      <c r="G154" s="26" t="inlineStr">
        <is>
          <t>●</t>
        </is>
      </c>
      <c r="H154" s="29" t="n"/>
      <c r="I154" s="30" t="n"/>
      <c r="J154" s="30" t="n"/>
      <c r="K154" s="30" t="n"/>
      <c r="L154" s="30" t="n"/>
      <c r="M154" s="31" t="n"/>
      <c r="N154" s="29" t="n"/>
      <c r="O154" s="31" t="n"/>
    </row>
    <row r="155" ht="15" customHeight="1" s="16">
      <c r="A155" s="26" t="n">
        <v>154</v>
      </c>
      <c r="B155" s="26" t="n">
        <v>27</v>
      </c>
      <c r="C155" s="26" t="n">
        <v>304</v>
      </c>
      <c r="D155" s="27" t="inlineStr">
        <is>
          <t>前面以貢緞爲遮日</t>
        </is>
      </c>
      <c r="E155" s="28" t="inlineStr">
        <is>
          <t>車中置舖</t>
        </is>
      </c>
      <c r="F155" s="27" t="inlineStr">
        <is>
          <t>葢有東諺劉</t>
        </is>
      </c>
      <c r="G155" s="26" t="n"/>
      <c r="H155" s="29" t="n"/>
      <c r="I155" s="30" t="n"/>
      <c r="J155" s="30" t="n"/>
      <c r="K155" s="30" t="n"/>
      <c r="L155" s="30" t="n"/>
      <c r="M155" s="31" t="n"/>
      <c r="N155" s="29" t="n"/>
      <c r="O155" s="31" t="n"/>
    </row>
    <row r="156" ht="15" customHeight="1" s="16">
      <c r="A156" s="26" t="n">
        <v>155</v>
      </c>
      <c r="B156" s="26" t="n">
        <v>28</v>
      </c>
      <c r="C156" s="26" t="n">
        <v>86</v>
      </c>
      <c r="D156" s="27" t="inlineStr">
        <is>
          <t>松杏高塔之間百餘里</t>
        </is>
      </c>
      <c r="E156" s="28" t="inlineStr">
        <is>
          <t>雖有村閭市舖</t>
        </is>
      </c>
      <c r="F156" s="27" t="inlineStr">
        <is>
          <t>貧儉凋殘</t>
        </is>
      </c>
      <c r="G156" s="26" t="n"/>
      <c r="H156" s="29" t="n"/>
      <c r="I156" s="30" t="n"/>
      <c r="J156" s="30" t="n"/>
      <c r="K156" s="30" t="n"/>
      <c r="L156" s="30" t="n"/>
      <c r="M156" s="31" t="n"/>
      <c r="N156" s="29" t="n"/>
      <c r="O156" s="31" t="n"/>
    </row>
    <row r="157" ht="15" customHeight="1" s="16">
      <c r="A157" s="26" t="n">
        <v>156</v>
      </c>
      <c r="B157" s="26" t="n">
        <v>28</v>
      </c>
      <c r="C157" s="26" t="n">
        <v>87</v>
      </c>
      <c r="D157" s="27" t="inlineStr">
        <is>
          <t>雖有村閭市舖</t>
        </is>
      </c>
      <c r="E157" s="32" t="inlineStr">
        <is>
          <t>貧儉凋殘</t>
        </is>
      </c>
      <c r="F157" s="27" t="inlineStr">
        <is>
          <t>頓無樂業之意</t>
        </is>
      </c>
      <c r="G157" s="26" t="inlineStr">
        <is>
          <t>●</t>
        </is>
      </c>
      <c r="H157" s="29" t="n"/>
      <c r="I157" s="30" t="n"/>
      <c r="J157" s="30" t="n"/>
      <c r="K157" s="30" t="n"/>
      <c r="L157" s="30" t="n"/>
      <c r="M157" s="31" t="n"/>
      <c r="N157" s="29" t="n"/>
      <c r="O157" s="31" t="n"/>
    </row>
    <row r="158" ht="15" customHeight="1" s="16">
      <c r="A158" s="26" t="n">
        <v>157</v>
      </c>
      <c r="B158" s="26" t="n">
        <v>28</v>
      </c>
      <c r="C158" s="26" t="n">
        <v>88</v>
      </c>
      <c r="D158" s="27" t="inlineStr">
        <is>
          <t>貧儉凋殘</t>
        </is>
      </c>
      <c r="E158" s="28" t="inlineStr">
        <is>
          <t>頓無樂業之意</t>
        </is>
      </c>
      <c r="F158" s="27" t="inlineStr">
        <is>
          <t>嗚呼</t>
        </is>
      </c>
      <c r="G158" s="26" t="n"/>
      <c r="H158" s="29" t="n"/>
      <c r="I158" s="30" t="n"/>
      <c r="J158" s="30" t="n"/>
      <c r="K158" s="30" t="n"/>
      <c r="L158" s="30" t="n"/>
      <c r="M158" s="31" t="n"/>
      <c r="N158" s="29" t="n"/>
      <c r="O158" s="31" t="n"/>
    </row>
    <row r="159" ht="15" customHeight="1" s="16">
      <c r="A159" s="26" t="n">
        <v>158</v>
      </c>
      <c r="B159" s="26" t="n">
        <v>28</v>
      </c>
      <c r="C159" s="26" t="n">
        <v>93</v>
      </c>
      <c r="D159" s="27" t="inlineStr">
        <is>
          <t>魚肉之塲也</t>
        </is>
      </c>
      <c r="E159" s="28" t="inlineStr">
        <is>
          <t>至今百餘年間</t>
        </is>
      </c>
      <c r="F159" s="27" t="inlineStr">
        <is>
          <t>尙未蘇息</t>
        </is>
      </c>
      <c r="G159" s="26" t="n"/>
      <c r="H159" s="29" t="n"/>
      <c r="I159" s="30" t="n"/>
      <c r="J159" s="30" t="n"/>
      <c r="K159" s="30" t="n"/>
      <c r="L159" s="30" t="n"/>
      <c r="M159" s="31" t="n"/>
      <c r="N159" s="29" t="n"/>
      <c r="O159" s="31" t="n"/>
    </row>
    <row r="160" ht="29.85" customHeight="1" s="16">
      <c r="A160" s="26" t="n">
        <v>159</v>
      </c>
      <c r="B160" s="26" t="n">
        <v>28</v>
      </c>
      <c r="C160" s="26" t="n">
        <v>94</v>
      </c>
      <c r="D160" s="27" t="inlineStr">
        <is>
          <t>至今百餘年間</t>
        </is>
      </c>
      <c r="E160" s="32" t="inlineStr">
        <is>
          <t>尙未蘇息</t>
        </is>
      </c>
      <c r="F160" s="27" t="inlineStr">
        <is>
          <t>足想當時龍爭虎鬪之跡矣</t>
        </is>
      </c>
      <c r="G160" s="26" t="inlineStr">
        <is>
          <t>●</t>
        </is>
      </c>
      <c r="H160" s="29" t="n"/>
      <c r="I160" s="30" t="n"/>
      <c r="J160" s="30" t="n"/>
      <c r="K160" s="30" t="n"/>
      <c r="L160" s="30" t="n"/>
      <c r="M160" s="31" t="n"/>
      <c r="N160" s="29" t="n"/>
      <c r="O160" s="31" t="n"/>
    </row>
    <row r="161" ht="15" customHeight="1" s="16">
      <c r="A161" s="26" t="n">
        <v>160</v>
      </c>
      <c r="B161" s="26" t="n">
        <v>28</v>
      </c>
      <c r="C161" s="26" t="n">
        <v>95</v>
      </c>
      <c r="D161" s="27" t="inlineStr">
        <is>
          <t>尙未蘇息</t>
        </is>
      </c>
      <c r="E161" s="28" t="inlineStr">
        <is>
          <t>足想當時龍爭虎鬪之跡矣</t>
        </is>
      </c>
      <c r="F161" s="27" t="inlineStr">
        <is>
          <t>按今皇帝全韻詩註曰</t>
        </is>
      </c>
      <c r="G161" s="26" t="n"/>
      <c r="H161" s="29" t="n"/>
      <c r="I161" s="30" t="n"/>
      <c r="J161" s="30" t="n"/>
      <c r="K161" s="30" t="n"/>
      <c r="L161" s="30" t="n"/>
      <c r="M161" s="31" t="n"/>
      <c r="N161" s="29" t="n"/>
      <c r="O161" s="31" t="n"/>
    </row>
    <row r="162" ht="15" customHeight="1" s="16">
      <c r="A162" s="26" t="n">
        <v>161</v>
      </c>
      <c r="B162" s="26" t="n">
        <v>28</v>
      </c>
      <c r="C162" s="26" t="n">
        <v>109</v>
      </c>
      <c r="D162" s="27" t="inlineStr">
        <is>
          <t>諭曰</t>
        </is>
      </c>
      <c r="E162" s="28" t="inlineStr">
        <is>
          <t>行軍制勝</t>
        </is>
      </c>
      <c r="F162" s="27" t="inlineStr">
        <is>
          <t>利在神速</t>
        </is>
      </c>
      <c r="G162" s="26" t="n"/>
      <c r="H162" s="29" t="n"/>
      <c r="I162" s="30" t="n"/>
      <c r="J162" s="30" t="n"/>
      <c r="K162" s="30" t="n"/>
      <c r="L162" s="30" t="n"/>
      <c r="M162" s="31" t="n"/>
      <c r="N162" s="29" t="n"/>
      <c r="O162" s="31" t="n"/>
    </row>
    <row r="163" ht="15" customHeight="1" s="16">
      <c r="A163" s="26" t="n">
        <v>162</v>
      </c>
      <c r="B163" s="26" t="n">
        <v>28</v>
      </c>
      <c r="C163" s="26" t="n">
        <v>110</v>
      </c>
      <c r="D163" s="27" t="inlineStr">
        <is>
          <t>行軍制勝</t>
        </is>
      </c>
      <c r="E163" s="32" t="inlineStr">
        <is>
          <t>利在神速</t>
        </is>
      </c>
      <c r="F163" s="27" t="inlineStr">
        <is>
          <t>疾馳六日</t>
        </is>
      </c>
      <c r="G163" s="26" t="inlineStr">
        <is>
          <t>●</t>
        </is>
      </c>
      <c r="H163" s="29" t="n"/>
      <c r="I163" s="30" t="n"/>
      <c r="J163" s="30" t="n"/>
      <c r="K163" s="30" t="n"/>
      <c r="L163" s="30" t="n"/>
      <c r="M163" s="31" t="n"/>
      <c r="N163" s="29" t="n"/>
      <c r="O163" s="31" t="n"/>
    </row>
    <row r="164" ht="15" customHeight="1" s="16">
      <c r="A164" s="26" t="n">
        <v>163</v>
      </c>
      <c r="B164" s="26" t="n">
        <v>28</v>
      </c>
      <c r="C164" s="26" t="n">
        <v>111</v>
      </c>
      <c r="D164" s="27" t="inlineStr">
        <is>
          <t>利在神速</t>
        </is>
      </c>
      <c r="E164" s="28" t="inlineStr">
        <is>
          <t>疾馳六日</t>
        </is>
      </c>
      <c r="F164" s="27" t="inlineStr">
        <is>
          <t>抵松山</t>
        </is>
      </c>
      <c r="G164" s="26" t="n"/>
      <c r="H164" s="29" t="n"/>
      <c r="I164" s="30" t="n"/>
      <c r="J164" s="30" t="n"/>
      <c r="K164" s="30" t="n"/>
      <c r="L164" s="30" t="n"/>
      <c r="M164" s="31" t="n"/>
      <c r="N164" s="29" t="n"/>
      <c r="O164" s="31" t="n"/>
    </row>
    <row r="165" ht="15" customHeight="1" s="16">
      <c r="A165" s="26" t="n">
        <v>164</v>
      </c>
      <c r="B165" s="26" t="n">
        <v>28</v>
      </c>
      <c r="C165" s="26" t="n">
        <v>156</v>
      </c>
      <c r="D165" s="27" t="inlineStr">
        <is>
          <t>額眞思格圖等</t>
        </is>
      </c>
      <c r="E165" s="28" t="inlineStr">
        <is>
          <t>追擊逃兵</t>
        </is>
      </c>
      <c r="F165" s="27" t="inlineStr">
        <is>
          <t>又命國舅阿什達尒漢等</t>
        </is>
      </c>
      <c r="G165" s="26" t="n"/>
      <c r="H165" s="29" t="n"/>
      <c r="I165" s="30" t="n"/>
      <c r="J165" s="30" t="n"/>
      <c r="K165" s="30" t="n"/>
      <c r="L165" s="30" t="n"/>
      <c r="M165" s="31" t="n"/>
      <c r="N165" s="29" t="n"/>
      <c r="O165" s="31" t="n"/>
    </row>
    <row r="166" ht="15" customHeight="1" s="16">
      <c r="A166" s="26" t="n">
        <v>165</v>
      </c>
      <c r="B166" s="26" t="n">
        <v>28</v>
      </c>
      <c r="C166" s="26" t="n">
        <v>157</v>
      </c>
      <c r="D166" s="27" t="inlineStr">
        <is>
          <t>追擊逃兵</t>
        </is>
      </c>
      <c r="E166" s="32" t="inlineStr">
        <is>
          <t>又命國舅阿什達尒漢等</t>
        </is>
      </c>
      <c r="F166" s="27" t="inlineStr">
        <is>
          <t>往視杏山駐營處</t>
        </is>
      </c>
      <c r="G166" s="26" t="inlineStr">
        <is>
          <t>●</t>
        </is>
      </c>
      <c r="H166" s="29" t="n"/>
      <c r="I166" s="30" t="n"/>
      <c r="J166" s="30" t="n"/>
      <c r="K166" s="30" t="n"/>
      <c r="L166" s="30" t="n"/>
      <c r="M166" s="31" t="n"/>
      <c r="N166" s="29" t="n"/>
      <c r="O166" s="31" t="n"/>
    </row>
    <row r="167" ht="15" customHeight="1" s="16">
      <c r="A167" s="26" t="n">
        <v>166</v>
      </c>
      <c r="B167" s="26" t="n">
        <v>28</v>
      </c>
      <c r="C167" s="26" t="n">
        <v>158</v>
      </c>
      <c r="D167" s="27" t="inlineStr">
        <is>
          <t>又命國舅阿什達尒漢等</t>
        </is>
      </c>
      <c r="E167" s="28" t="inlineStr">
        <is>
          <t>往視杏山駐營處</t>
        </is>
      </c>
      <c r="F167" s="27" t="inlineStr">
        <is>
          <t>如其地未善</t>
        </is>
      </c>
      <c r="G167" s="26" t="n"/>
      <c r="H167" s="29" t="n"/>
      <c r="I167" s="30" t="n"/>
      <c r="J167" s="30" t="n"/>
      <c r="K167" s="30" t="n"/>
      <c r="L167" s="30" t="n"/>
      <c r="M167" s="31" t="n"/>
      <c r="N167" s="29" t="n"/>
      <c r="O167" s="31" t="n"/>
    </row>
    <row r="168" ht="15" customHeight="1" s="16">
      <c r="A168" s="26" t="n">
        <v>167</v>
      </c>
      <c r="B168" s="26" t="n">
        <v>28</v>
      </c>
      <c r="C168" s="26" t="n">
        <v>229</v>
      </c>
      <c r="D168" s="27" t="inlineStr">
        <is>
          <t>天地同力之明驗乎</t>
        </is>
      </c>
      <c r="E168" s="28" t="inlineStr">
        <is>
          <t>夕宿高橋堡</t>
        </is>
      </c>
      <c r="F168" s="27" t="inlineStr">
        <is>
          <t>此往歲使行失銀處也</t>
        </is>
      </c>
      <c r="G168" s="26" t="n"/>
      <c r="H168" s="29" t="n"/>
      <c r="I168" s="30" t="n"/>
      <c r="J168" s="30" t="n"/>
      <c r="K168" s="30" t="n"/>
      <c r="L168" s="30" t="n"/>
      <c r="M168" s="31" t="n"/>
      <c r="N168" s="29" t="n"/>
      <c r="O168" s="31" t="n"/>
    </row>
    <row r="169" ht="15" customHeight="1" s="16">
      <c r="A169" s="26" t="n">
        <v>168</v>
      </c>
      <c r="B169" s="26" t="n">
        <v>28</v>
      </c>
      <c r="C169" s="26" t="n">
        <v>230</v>
      </c>
      <c r="D169" s="27" t="inlineStr">
        <is>
          <t>夕宿高橋堡</t>
        </is>
      </c>
      <c r="E169" s="32" t="inlineStr">
        <is>
          <t>此往歲使行失銀處也</t>
        </is>
      </c>
      <c r="F169" s="27" t="inlineStr">
        <is>
          <t>地方官因此革職</t>
        </is>
      </c>
      <c r="G169" s="26" t="inlineStr">
        <is>
          <t>●</t>
        </is>
      </c>
      <c r="H169" s="29" t="n"/>
      <c r="I169" s="30" t="n"/>
      <c r="J169" s="30" t="n"/>
      <c r="K169" s="30" t="n"/>
      <c r="L169" s="30" t="n"/>
      <c r="M169" s="31" t="n"/>
      <c r="N169" s="29" t="n"/>
      <c r="O169" s="31" t="n"/>
    </row>
    <row r="170" ht="15" customHeight="1" s="16">
      <c r="A170" s="26" t="n">
        <v>169</v>
      </c>
      <c r="B170" s="26" t="n">
        <v>28</v>
      </c>
      <c r="C170" s="26" t="n">
        <v>231</v>
      </c>
      <c r="D170" s="27" t="inlineStr">
        <is>
          <t>此往歲使行失銀處也</t>
        </is>
      </c>
      <c r="E170" s="28" t="inlineStr">
        <is>
          <t>地方官因此革職</t>
        </is>
      </c>
      <c r="F170" s="27" t="inlineStr">
        <is>
          <t>而附近站舖</t>
        </is>
      </c>
      <c r="G170" s="26" t="n"/>
      <c r="H170" s="29" t="n"/>
      <c r="I170" s="30" t="n"/>
      <c r="J170" s="30" t="n"/>
      <c r="K170" s="30" t="n"/>
      <c r="L170" s="30" t="n"/>
      <c r="M170" s="31" t="n"/>
      <c r="N170" s="29" t="n"/>
      <c r="O170" s="31" t="n"/>
    </row>
    <row r="171" ht="15" customHeight="1" s="16">
      <c r="A171" s="26" t="n">
        <v>170</v>
      </c>
      <c r="B171" s="26" t="n">
        <v>28</v>
      </c>
      <c r="C171" s="26" t="n">
        <v>243</v>
      </c>
      <c r="D171" s="27" t="inlineStr">
        <is>
          <t>高麗</t>
        </is>
      </c>
      <c r="E171" s="28" t="inlineStr">
        <is>
          <t>高麗怖殺了居停主人</t>
        </is>
      </c>
      <c r="F171" s="27" t="inlineStr">
        <is>
          <t>一千兩銀子</t>
        </is>
      </c>
      <c r="G171" s="26" t="n"/>
      <c r="H171" s="29" t="n"/>
      <c r="I171" s="30" t="n"/>
      <c r="J171" s="30" t="n"/>
      <c r="K171" s="30" t="n"/>
      <c r="L171" s="30" t="n"/>
      <c r="M171" s="31" t="n"/>
      <c r="N171" s="29" t="n"/>
      <c r="O171" s="31" t="n"/>
    </row>
    <row r="172" ht="15" customHeight="1" s="16">
      <c r="A172" s="26" t="n">
        <v>171</v>
      </c>
      <c r="B172" s="26" t="n">
        <v>28</v>
      </c>
      <c r="C172" s="26" t="n">
        <v>244</v>
      </c>
      <c r="D172" s="27" t="inlineStr">
        <is>
          <t>高麗怖殺了居停主人</t>
        </is>
      </c>
      <c r="E172" s="32" t="inlineStr">
        <is>
          <t>一千兩銀子</t>
        </is>
      </c>
      <c r="F172" s="27" t="inlineStr">
        <is>
          <t>怎賞得四五個人命</t>
        </is>
      </c>
      <c r="G172" s="26" t="inlineStr">
        <is>
          <t>●</t>
        </is>
      </c>
      <c r="H172" s="29" t="n"/>
      <c r="I172" s="30" t="n"/>
      <c r="J172" s="30" t="n"/>
      <c r="K172" s="30" t="n"/>
      <c r="L172" s="30" t="n"/>
      <c r="M172" s="31" t="n"/>
      <c r="N172" s="29" t="n"/>
      <c r="O172" s="31" t="n"/>
    </row>
    <row r="173" ht="15" customHeight="1" s="16">
      <c r="A173" s="26" t="n">
        <v>172</v>
      </c>
      <c r="B173" s="26" t="n">
        <v>28</v>
      </c>
      <c r="C173" s="26" t="n">
        <v>245</v>
      </c>
      <c r="D173" s="27" t="inlineStr">
        <is>
          <t>一千兩銀子</t>
        </is>
      </c>
      <c r="E173" s="28" t="inlineStr">
        <is>
          <t>怎賞得四五個人命</t>
        </is>
      </c>
      <c r="F173" s="27" t="inlineStr">
        <is>
          <t>吾們的固多歹人</t>
        </is>
      </c>
      <c r="G173" s="26" t="n"/>
      <c r="H173" s="29" t="n"/>
      <c r="I173" s="30" t="n"/>
      <c r="J173" s="30" t="n"/>
      <c r="K173" s="30" t="n"/>
      <c r="L173" s="30" t="n"/>
      <c r="M173" s="31" t="n"/>
      <c r="N173" s="29" t="n"/>
      <c r="O173" s="31" t="n"/>
    </row>
    <row r="174" ht="15" customHeight="1" s="16">
      <c r="A174" s="26" t="n">
        <v>173</v>
      </c>
      <c r="B174" s="26" t="n">
        <v>28</v>
      </c>
      <c r="C174" s="26" t="n">
        <v>253</v>
      </c>
      <c r="D174" s="27" t="inlineStr">
        <is>
          <t>回</t>
        </is>
      </c>
      <c r="E174" s="28" t="inlineStr">
        <is>
          <t>還到此站</t>
        </is>
      </c>
      <c r="F174" s="27" t="inlineStr">
        <is>
          <t>失公費銀一千兩</t>
        </is>
      </c>
      <c r="G174" s="26" t="n"/>
      <c r="H174" s="29" t="n"/>
      <c r="I174" s="30" t="n"/>
      <c r="J174" s="30" t="n"/>
      <c r="K174" s="30" t="n"/>
      <c r="L174" s="30" t="n"/>
      <c r="M174" s="31" t="n"/>
      <c r="N174" s="29" t="n"/>
      <c r="O174" s="31" t="n"/>
    </row>
    <row r="175" ht="15" customHeight="1" s="16">
      <c r="A175" s="26" t="n">
        <v>174</v>
      </c>
      <c r="B175" s="26" t="n">
        <v>28</v>
      </c>
      <c r="C175" s="26" t="n">
        <v>254</v>
      </c>
      <c r="D175" s="27" t="inlineStr">
        <is>
          <t>還到此站</t>
        </is>
      </c>
      <c r="E175" s="32" t="inlineStr">
        <is>
          <t>失公費銀一千兩</t>
        </is>
      </c>
      <c r="F175" s="27" t="inlineStr">
        <is>
          <t>使臣議謂</t>
        </is>
      </c>
      <c r="G175" s="26" t="inlineStr">
        <is>
          <t>●</t>
        </is>
      </c>
      <c r="H175" s="29" t="n"/>
      <c r="I175" s="30" t="n"/>
      <c r="J175" s="30" t="n"/>
      <c r="K175" s="30" t="n"/>
      <c r="L175" s="30" t="n"/>
      <c r="M175" s="31" t="n"/>
      <c r="N175" s="29" t="n"/>
      <c r="O175" s="31" t="n"/>
    </row>
    <row r="176" ht="15" customHeight="1" s="16">
      <c r="A176" s="26" t="n">
        <v>175</v>
      </c>
      <c r="B176" s="26" t="n">
        <v>28</v>
      </c>
      <c r="C176" s="26" t="n">
        <v>255</v>
      </c>
      <c r="D176" s="27" t="inlineStr">
        <is>
          <t>失公費銀一千兩</t>
        </is>
      </c>
      <c r="E176" s="28" t="inlineStr">
        <is>
          <t>使臣議謂</t>
        </is>
      </c>
      <c r="F176" s="27" t="inlineStr">
        <is>
          <t>此銀乃公貨</t>
        </is>
      </c>
      <c r="G176" s="26" t="n"/>
      <c r="H176" s="29" t="n"/>
      <c r="I176" s="30" t="n"/>
      <c r="J176" s="30" t="n"/>
      <c r="K176" s="30" t="n"/>
      <c r="L176" s="30" t="n"/>
      <c r="M176" s="31" t="n"/>
      <c r="N176" s="29" t="n"/>
      <c r="O176" s="31" t="n"/>
    </row>
    <row r="177" ht="15" customHeight="1" s="16">
      <c r="A177" s="26" t="n">
        <v>176</v>
      </c>
      <c r="B177" s="26" t="n">
        <v>28</v>
      </c>
      <c r="C177" s="26" t="n">
        <v>256</v>
      </c>
      <c r="D177" s="27" t="inlineStr">
        <is>
          <t>使臣議謂</t>
        </is>
      </c>
      <c r="E177" s="32" t="inlineStr">
        <is>
          <t>此銀乃公貨</t>
        </is>
      </c>
      <c r="F177" s="27" t="inlineStr">
        <is>
          <t>苟無明白用處</t>
        </is>
      </c>
      <c r="G177" s="26" t="inlineStr">
        <is>
          <t>●</t>
        </is>
      </c>
      <c r="H177" s="29" t="n"/>
      <c r="I177" s="30" t="n"/>
      <c r="J177" s="30" t="n"/>
      <c r="K177" s="30" t="n"/>
      <c r="L177" s="30" t="n"/>
      <c r="M177" s="31" t="n"/>
      <c r="N177" s="29" t="n"/>
      <c r="O177" s="31" t="n"/>
    </row>
    <row r="178" ht="15" customHeight="1" s="16">
      <c r="A178" s="26" t="n">
        <v>177</v>
      </c>
      <c r="B178" s="26" t="n">
        <v>28</v>
      </c>
      <c r="C178" s="26" t="n">
        <v>257</v>
      </c>
      <c r="D178" s="27" t="inlineStr">
        <is>
          <t>此銀乃公貨</t>
        </is>
      </c>
      <c r="E178" s="28" t="inlineStr">
        <is>
          <t>苟無明白用處</t>
        </is>
      </c>
      <c r="F178" s="27" t="inlineStr">
        <is>
          <t>則照數還納</t>
        </is>
      </c>
      <c r="G178" s="26" t="n"/>
      <c r="H178" s="29" t="n"/>
      <c r="I178" s="30" t="n"/>
      <c r="J178" s="30" t="n"/>
      <c r="K178" s="30" t="n"/>
      <c r="L178" s="30" t="n"/>
      <c r="M178" s="31" t="n"/>
      <c r="N178" s="29" t="n"/>
      <c r="O178" s="31" t="n"/>
    </row>
    <row r="179" ht="15" customHeight="1" s="16">
      <c r="A179" s="26" t="n">
        <v>178</v>
      </c>
      <c r="B179" s="26" t="n">
        <v>28</v>
      </c>
      <c r="C179" s="26" t="n">
        <v>277</v>
      </c>
      <c r="D179" s="27" t="inlineStr">
        <is>
          <t>敕以</t>
        </is>
      </c>
      <c r="E179" s="28" t="inlineStr">
        <is>
          <t>所在地方</t>
        </is>
      </c>
      <c r="F179" s="27" t="inlineStr">
        <is>
          <t>以官銀備償該使所失</t>
        </is>
      </c>
      <c r="G179" s="26" t="n"/>
      <c r="H179" s="29" t="n"/>
      <c r="I179" s="30" t="n"/>
      <c r="J179" s="30" t="n"/>
      <c r="K179" s="30" t="n"/>
      <c r="L179" s="30" t="n"/>
      <c r="M179" s="31" t="n"/>
      <c r="N179" s="29" t="n"/>
      <c r="O179" s="31" t="n"/>
    </row>
    <row r="180" ht="29.85" customHeight="1" s="16">
      <c r="A180" s="26" t="n">
        <v>179</v>
      </c>
      <c r="B180" s="26" t="n">
        <v>28</v>
      </c>
      <c r="C180" s="26" t="n">
        <v>278</v>
      </c>
      <c r="D180" s="27" t="inlineStr">
        <is>
          <t>所在地方</t>
        </is>
      </c>
      <c r="E180" s="32" t="inlineStr">
        <is>
          <t>以官銀備償該使所失</t>
        </is>
      </c>
      <c r="F180" s="27" t="inlineStr">
        <is>
          <t>該地方不能常時着意巡緝</t>
        </is>
      </c>
      <c r="G180" s="26" t="inlineStr">
        <is>
          <t>●</t>
        </is>
      </c>
      <c r="H180" s="29" t="n"/>
      <c r="I180" s="30" t="n"/>
      <c r="J180" s="30" t="n"/>
      <c r="K180" s="30" t="n"/>
      <c r="L180" s="30" t="n"/>
      <c r="M180" s="31" t="n"/>
      <c r="N180" s="29" t="n"/>
      <c r="O180" s="31" t="n"/>
    </row>
    <row r="181" ht="15" customHeight="1" s="16">
      <c r="A181" s="26" t="n">
        <v>180</v>
      </c>
      <c r="B181" s="26" t="n">
        <v>28</v>
      </c>
      <c r="C181" s="26" t="n">
        <v>279</v>
      </c>
      <c r="D181" s="27" t="inlineStr">
        <is>
          <t>以官銀備償該使所失</t>
        </is>
      </c>
      <c r="E181" s="28" t="inlineStr">
        <is>
          <t>該地方不能常時着意巡緝</t>
        </is>
      </c>
      <c r="F181" s="27" t="inlineStr">
        <is>
          <t>致有遠人負屈鳴寃</t>
        </is>
      </c>
      <c r="G181" s="26" t="n"/>
      <c r="H181" s="29" t="n"/>
      <c r="I181" s="30" t="n"/>
      <c r="J181" s="30" t="n"/>
      <c r="K181" s="30" t="n"/>
      <c r="L181" s="30" t="n"/>
      <c r="M181" s="31" t="n"/>
      <c r="N181" s="29" t="n"/>
      <c r="O181" s="31" t="n"/>
    </row>
    <row r="182" ht="15" customHeight="1" s="16">
      <c r="A182" s="26" t="n">
        <v>181</v>
      </c>
      <c r="B182" s="26" t="n">
        <v>28</v>
      </c>
      <c r="C182" s="26" t="n">
        <v>292</v>
      </c>
      <c r="D182" s="27" t="inlineStr">
        <is>
          <t>大抵義州刷驅輩</t>
        </is>
      </c>
      <c r="E182" s="28" t="inlineStr">
        <is>
          <t>太半歹人</t>
        </is>
      </c>
      <c r="F182" s="27" t="inlineStr">
        <is>
          <t>專以燕行資生</t>
        </is>
      </c>
      <c r="G182" s="26" t="n"/>
      <c r="H182" s="29" t="n"/>
      <c r="I182" s="30" t="n"/>
      <c r="J182" s="30" t="n"/>
      <c r="K182" s="30" t="n"/>
      <c r="L182" s="30" t="n"/>
      <c r="M182" s="31" t="n"/>
      <c r="N182" s="29" t="n"/>
      <c r="O182" s="31" t="n"/>
    </row>
    <row r="183" ht="15" customHeight="1" s="16">
      <c r="A183" s="26" t="n">
        <v>182</v>
      </c>
      <c r="B183" s="26" t="n">
        <v>28</v>
      </c>
      <c r="C183" s="26" t="n">
        <v>293</v>
      </c>
      <c r="D183" s="27" t="inlineStr">
        <is>
          <t>太半歹人</t>
        </is>
      </c>
      <c r="E183" s="32" t="inlineStr">
        <is>
          <t>專以燕行資生</t>
        </is>
      </c>
      <c r="F183" s="27" t="inlineStr">
        <is>
          <t>年年赴行</t>
        </is>
      </c>
      <c r="G183" s="26" t="inlineStr">
        <is>
          <t>●</t>
        </is>
      </c>
      <c r="H183" s="29" t="n"/>
      <c r="I183" s="30" t="n"/>
      <c r="J183" s="30" t="n"/>
      <c r="K183" s="30" t="n"/>
      <c r="L183" s="30" t="n"/>
      <c r="M183" s="31" t="n"/>
      <c r="N183" s="29" t="n"/>
      <c r="O183" s="31" t="n"/>
    </row>
    <row r="184" ht="15" customHeight="1" s="16">
      <c r="A184" s="26" t="n">
        <v>183</v>
      </c>
      <c r="B184" s="26" t="n">
        <v>28</v>
      </c>
      <c r="C184" s="26" t="n">
        <v>294</v>
      </c>
      <c r="D184" s="27" t="inlineStr">
        <is>
          <t>專以燕行資生</t>
        </is>
      </c>
      <c r="E184" s="28" t="inlineStr">
        <is>
          <t>年年赴行</t>
        </is>
      </c>
      <c r="F184" s="27" t="inlineStr">
        <is>
          <t>如履門庭</t>
        </is>
      </c>
      <c r="G184" s="26" t="n"/>
      <c r="H184" s="29" t="n"/>
      <c r="I184" s="30" t="n"/>
      <c r="J184" s="30" t="n"/>
      <c r="K184" s="30" t="n"/>
      <c r="L184" s="30" t="n"/>
      <c r="M184" s="31" t="n"/>
      <c r="N184" s="29" t="n"/>
      <c r="O184" s="31" t="n"/>
    </row>
    <row r="185" ht="15" customHeight="1" s="16">
      <c r="A185" s="26" t="n">
        <v>184</v>
      </c>
      <c r="B185" s="26" t="n">
        <v>28</v>
      </c>
      <c r="C185" s="26" t="n">
        <v>296</v>
      </c>
      <c r="D185" s="27" t="inlineStr">
        <is>
          <t>如履門庭</t>
        </is>
      </c>
      <c r="E185" s="28" t="inlineStr">
        <is>
          <t>灣府所以給</t>
        </is>
      </c>
      <c r="F185" s="27" t="inlineStr">
        <is>
          <t>資者</t>
        </is>
      </c>
      <c r="G185" s="26" t="n"/>
      <c r="H185" s="29" t="n"/>
      <c r="I185" s="30" t="n"/>
      <c r="J185" s="30" t="n"/>
      <c r="K185" s="30" t="n"/>
      <c r="L185" s="30" t="n"/>
      <c r="M185" s="31" t="n"/>
      <c r="N185" s="29" t="n"/>
      <c r="O185" s="31" t="n"/>
    </row>
    <row r="186" ht="15" customHeight="1" s="16">
      <c r="A186" s="26" t="n">
        <v>185</v>
      </c>
      <c r="B186" s="26" t="n">
        <v>28</v>
      </c>
      <c r="C186" s="26" t="n">
        <v>297</v>
      </c>
      <c r="D186" s="27" t="inlineStr">
        <is>
          <t>灣府所以給</t>
        </is>
      </c>
      <c r="E186" s="32" t="inlineStr">
        <is>
          <t>資者</t>
        </is>
      </c>
      <c r="F186" s="27" t="inlineStr">
        <is>
          <t>不過人給六十卷白紙</t>
        </is>
      </c>
      <c r="G186" s="26" t="inlineStr">
        <is>
          <t>●</t>
        </is>
      </c>
      <c r="H186" s="29" t="n"/>
      <c r="I186" s="30" t="n"/>
      <c r="J186" s="30" t="n"/>
      <c r="K186" s="30" t="n"/>
      <c r="L186" s="30" t="n"/>
      <c r="M186" s="31" t="n"/>
      <c r="N186" s="29" t="n"/>
      <c r="O186" s="31" t="n"/>
    </row>
    <row r="187" ht="15" customHeight="1" s="16">
      <c r="A187" s="26" t="n">
        <v>186</v>
      </c>
      <c r="B187" s="26" t="n">
        <v>28</v>
      </c>
      <c r="C187" s="26" t="n">
        <v>298</v>
      </c>
      <c r="D187" s="27" t="inlineStr">
        <is>
          <t>資者</t>
        </is>
      </c>
      <c r="E187" s="28" t="inlineStr">
        <is>
          <t>不過人給六十卷白紙</t>
        </is>
      </c>
      <c r="F187" s="27" t="inlineStr">
        <is>
          <t>百餘刷驅</t>
        </is>
      </c>
      <c r="G187" s="26" t="n"/>
      <c r="H187" s="29" t="n"/>
      <c r="I187" s="30" t="n"/>
      <c r="J187" s="30" t="n"/>
      <c r="K187" s="30" t="n"/>
      <c r="L187" s="30" t="n"/>
      <c r="M187" s="31" t="n"/>
      <c r="N187" s="29" t="n"/>
      <c r="O187" s="31" t="n"/>
    </row>
    <row r="188" ht="15" customHeight="1" s="16">
      <c r="A188" s="26" t="n">
        <v>187</v>
      </c>
      <c r="B188" s="26" t="n">
        <v>28</v>
      </c>
      <c r="C188" s="26" t="n">
        <v>332</v>
      </c>
      <c r="D188" s="27" t="inlineStr">
        <is>
          <t>去年冬至</t>
        </is>
      </c>
      <c r="E188" s="28" t="inlineStr">
        <is>
          <t>使行時</t>
        </is>
      </c>
      <c r="F188" s="27" t="inlineStr">
        <is>
          <t>有一灣賈</t>
        </is>
      </c>
      <c r="G188" s="26" t="n"/>
      <c r="H188" s="29" t="n"/>
      <c r="I188" s="30" t="n"/>
      <c r="J188" s="30" t="n"/>
      <c r="K188" s="30" t="n"/>
      <c r="L188" s="30" t="n"/>
      <c r="M188" s="31" t="n"/>
      <c r="N188" s="29" t="n"/>
      <c r="O188" s="31" t="n"/>
    </row>
    <row r="189" ht="15" customHeight="1" s="16">
      <c r="A189" s="26" t="n">
        <v>188</v>
      </c>
      <c r="B189" s="26" t="n">
        <v>28</v>
      </c>
      <c r="C189" s="26" t="n">
        <v>333</v>
      </c>
      <c r="D189" s="27" t="inlineStr">
        <is>
          <t>使行時</t>
        </is>
      </c>
      <c r="E189" s="32" t="inlineStr">
        <is>
          <t>有一灣賈</t>
        </is>
      </c>
      <c r="F189" s="27" t="inlineStr">
        <is>
          <t>潛越銀貨</t>
        </is>
      </c>
      <c r="G189" s="26" t="inlineStr">
        <is>
          <t>●</t>
        </is>
      </c>
      <c r="H189" s="29" t="n"/>
      <c r="I189" s="30" t="n"/>
      <c r="J189" s="30" t="n"/>
      <c r="K189" s="30" t="n"/>
      <c r="L189" s="30" t="n"/>
      <c r="M189" s="31" t="n"/>
      <c r="N189" s="29" t="n"/>
      <c r="O189" s="31" t="n"/>
    </row>
    <row r="190" ht="15" customHeight="1" s="16">
      <c r="A190" s="26" t="n">
        <v>189</v>
      </c>
      <c r="B190" s="26" t="n">
        <v>28</v>
      </c>
      <c r="C190" s="26" t="n">
        <v>334</v>
      </c>
      <c r="D190" s="27" t="inlineStr">
        <is>
          <t>有一灣賈</t>
        </is>
      </c>
      <c r="E190" s="32" t="inlineStr">
        <is>
          <t>潛越銀貨</t>
        </is>
      </c>
      <c r="F190" s="27" t="inlineStr">
        <is>
          <t>爲刷驅所殺</t>
        </is>
      </c>
      <c r="G190" s="26" t="inlineStr">
        <is>
          <t>●</t>
        </is>
      </c>
      <c r="H190" s="29" t="n"/>
      <c r="I190" s="30" t="n"/>
      <c r="J190" s="30" t="n"/>
      <c r="K190" s="30" t="n"/>
      <c r="L190" s="30" t="n"/>
      <c r="M190" s="31" t="n"/>
      <c r="N190" s="29" t="n"/>
      <c r="O190" s="31" t="n"/>
    </row>
    <row r="191" ht="15" customHeight="1" s="16">
      <c r="A191" s="26" t="n">
        <v>190</v>
      </c>
      <c r="B191" s="26" t="n">
        <v>28</v>
      </c>
      <c r="C191" s="26" t="n">
        <v>335</v>
      </c>
      <c r="D191" s="27" t="inlineStr">
        <is>
          <t>潛越銀貨</t>
        </is>
      </c>
      <c r="E191" s="28" t="inlineStr">
        <is>
          <t>爲刷驅所殺</t>
        </is>
      </c>
      <c r="F191" s="27" t="inlineStr">
        <is>
          <t>兩馬皆縱鞚還渡</t>
        </is>
      </c>
      <c r="G191" s="26" t="n"/>
      <c r="H191" s="29" t="n"/>
      <c r="I191" s="30" t="n"/>
      <c r="J191" s="30" t="n"/>
      <c r="K191" s="30" t="n"/>
      <c r="L191" s="30" t="n"/>
      <c r="M191" s="31" t="n"/>
      <c r="N191" s="29" t="n"/>
      <c r="O191" s="31" t="n"/>
    </row>
    <row r="192" ht="15" customHeight="1" s="16">
      <c r="A192" s="26" t="n">
        <v>191</v>
      </c>
      <c r="B192" s="26" t="n">
        <v>28</v>
      </c>
      <c r="C192" s="26" t="n">
        <v>341</v>
      </c>
      <c r="D192" s="27" t="inlineStr">
        <is>
          <t>其</t>
        </is>
      </c>
      <c r="E192" s="28" t="inlineStr">
        <is>
          <t>凶險若此</t>
        </is>
      </c>
      <c r="F192" s="27" t="inlineStr">
        <is>
          <t>今此失銀</t>
        </is>
      </c>
      <c r="G192" s="26" t="n"/>
      <c r="H192" s="29" t="n"/>
      <c r="I192" s="30" t="n"/>
      <c r="J192" s="30" t="n"/>
      <c r="K192" s="30" t="n"/>
      <c r="L192" s="30" t="n"/>
      <c r="M192" s="31" t="n"/>
      <c r="N192" s="29" t="n"/>
      <c r="O192" s="31" t="n"/>
    </row>
    <row r="193" ht="15" customHeight="1" s="16">
      <c r="A193" s="26" t="n">
        <v>192</v>
      </c>
      <c r="B193" s="26" t="n">
        <v>28</v>
      </c>
      <c r="C193" s="26" t="n">
        <v>342</v>
      </c>
      <c r="D193" s="27" t="inlineStr">
        <is>
          <t>凶險若此</t>
        </is>
      </c>
      <c r="E193" s="32" t="inlineStr">
        <is>
          <t>今此失銀</t>
        </is>
      </c>
      <c r="F193" s="27" t="inlineStr">
        <is>
          <t>安知非此輩所爲乎</t>
        </is>
      </c>
      <c r="G193" s="26" t="inlineStr">
        <is>
          <t>●</t>
        </is>
      </c>
      <c r="H193" s="29" t="n"/>
      <c r="I193" s="30" t="n"/>
      <c r="J193" s="30" t="n"/>
      <c r="K193" s="30" t="n"/>
      <c r="L193" s="30" t="n"/>
      <c r="M193" s="31" t="n"/>
      <c r="N193" s="29" t="n"/>
      <c r="O193" s="31" t="n"/>
    </row>
    <row r="194" ht="15" customHeight="1" s="16">
      <c r="A194" s="26" t="n">
        <v>193</v>
      </c>
      <c r="B194" s="26" t="n">
        <v>28</v>
      </c>
      <c r="C194" s="26" t="n">
        <v>343</v>
      </c>
      <c r="D194" s="27" t="inlineStr">
        <is>
          <t>今此失銀</t>
        </is>
      </c>
      <c r="E194" s="28" t="inlineStr">
        <is>
          <t>安知非此輩所爲乎</t>
        </is>
      </c>
      <c r="F194" s="27" t="inlineStr">
        <is>
          <t>此猶細事</t>
        </is>
      </c>
      <c r="G194" s="26" t="n"/>
      <c r="H194" s="29" t="n"/>
      <c r="I194" s="30" t="n"/>
      <c r="J194" s="30" t="n"/>
      <c r="K194" s="30" t="n"/>
      <c r="L194" s="30" t="n"/>
      <c r="M194" s="31" t="n"/>
      <c r="N194" s="29" t="n"/>
      <c r="O194" s="31" t="n"/>
    </row>
    <row r="195" ht="15" customHeight="1" s="16">
      <c r="A195" s="26" t="n">
        <v>194</v>
      </c>
      <c r="B195" s="26" t="n">
        <v>29</v>
      </c>
      <c r="C195" s="26" t="n">
        <v>27</v>
      </c>
      <c r="D195" s="27" t="inlineStr">
        <is>
          <t>日高三竿矣</t>
        </is>
      </c>
      <c r="E195" s="28" t="inlineStr">
        <is>
          <t>東南大海連天</t>
        </is>
      </c>
      <c r="F195" s="27" t="inlineStr">
        <is>
          <t>數萬商船</t>
        </is>
      </c>
      <c r="G195" s="26" t="n"/>
      <c r="H195" s="29" t="n"/>
      <c r="I195" s="30" t="n"/>
      <c r="J195" s="30" t="n"/>
      <c r="K195" s="30" t="n"/>
      <c r="L195" s="30" t="n"/>
      <c r="M195" s="31" t="n"/>
      <c r="N195" s="29" t="n"/>
      <c r="O195" s="31" t="n"/>
    </row>
    <row r="196" ht="15" customHeight="1" s="16">
      <c r="A196" s="26" t="n">
        <v>195</v>
      </c>
      <c r="B196" s="26" t="n">
        <v>29</v>
      </c>
      <c r="C196" s="26" t="n">
        <v>28</v>
      </c>
      <c r="D196" s="27" t="inlineStr">
        <is>
          <t>東南大海連天</t>
        </is>
      </c>
      <c r="E196" s="32" t="inlineStr">
        <is>
          <t>數萬商船</t>
        </is>
      </c>
      <c r="F196" s="27" t="inlineStr">
        <is>
          <t>爲夜風所驅</t>
        </is>
      </c>
      <c r="G196" s="26" t="inlineStr">
        <is>
          <t>●</t>
        </is>
      </c>
      <c r="H196" s="29" t="n"/>
      <c r="I196" s="30" t="n"/>
      <c r="J196" s="30" t="n"/>
      <c r="K196" s="30" t="n"/>
      <c r="L196" s="30" t="n"/>
      <c r="M196" s="31" t="n"/>
      <c r="N196" s="29" t="n"/>
      <c r="O196" s="31" t="n"/>
    </row>
    <row r="197" ht="15" customHeight="1" s="16">
      <c r="A197" s="26" t="n">
        <v>196</v>
      </c>
      <c r="B197" s="26" t="n">
        <v>29</v>
      </c>
      <c r="C197" s="26" t="n">
        <v>29</v>
      </c>
      <c r="D197" s="27" t="inlineStr">
        <is>
          <t>數萬商船</t>
        </is>
      </c>
      <c r="E197" s="28" t="inlineStr">
        <is>
          <t>爲夜風所驅</t>
        </is>
      </c>
      <c r="F197" s="27" t="inlineStr">
        <is>
          <t>入倚小島</t>
        </is>
      </c>
      <c r="G197" s="26" t="n"/>
      <c r="H197" s="29" t="n"/>
      <c r="I197" s="30" t="n"/>
      <c r="J197" s="30" t="n"/>
      <c r="K197" s="30" t="n"/>
      <c r="L197" s="30" t="n"/>
      <c r="M197" s="31" t="n"/>
      <c r="N197" s="29" t="n"/>
      <c r="O197" s="31" t="n"/>
    </row>
    <row r="198" ht="15" customHeight="1" s="16">
      <c r="A198" s="26" t="n">
        <v>197</v>
      </c>
      <c r="B198" s="26" t="n">
        <v>29</v>
      </c>
      <c r="C198" s="26" t="n">
        <v>69</v>
      </c>
      <c r="D198" s="27" t="inlineStr">
        <is>
          <t>榱桷樑椽</t>
        </is>
      </c>
      <c r="E198" s="28" t="inlineStr">
        <is>
          <t>甍簷窓楹</t>
        </is>
      </c>
      <c r="F198" s="27" t="inlineStr">
        <is>
          <t>不資寸木</t>
        </is>
      </c>
      <c r="G198" s="26" t="n"/>
      <c r="H198" s="29" t="n"/>
      <c r="I198" s="30" t="n"/>
      <c r="J198" s="30" t="n"/>
      <c r="K198" s="30" t="n"/>
      <c r="L198" s="30" t="n"/>
      <c r="M198" s="31" t="n"/>
      <c r="N198" s="29" t="n"/>
      <c r="O198" s="31" t="n"/>
    </row>
    <row r="199" ht="15" customHeight="1" s="16">
      <c r="A199" s="26" t="n">
        <v>198</v>
      </c>
      <c r="B199" s="26" t="n">
        <v>29</v>
      </c>
      <c r="C199" s="26" t="n">
        <v>70</v>
      </c>
      <c r="D199" s="27" t="inlineStr">
        <is>
          <t>甍簷窓楹</t>
        </is>
      </c>
      <c r="E199" s="32" t="inlineStr">
        <is>
          <t>不資寸木</t>
        </is>
      </c>
      <c r="F199" s="27" t="inlineStr">
        <is>
          <t>大樂樓</t>
        </is>
      </c>
      <c r="G199" s="26" t="inlineStr">
        <is>
          <t>●</t>
        </is>
      </c>
      <c r="H199" s="29" t="n"/>
      <c r="I199" s="30" t="n"/>
      <c r="J199" s="30" t="n"/>
      <c r="K199" s="30" t="n"/>
      <c r="L199" s="30" t="n"/>
      <c r="M199" s="31" t="n"/>
      <c r="N199" s="29" t="n"/>
      <c r="O199" s="31" t="n"/>
    </row>
    <row r="200" ht="15" customHeight="1" s="16">
      <c r="A200" s="26" t="n">
        <v>199</v>
      </c>
      <c r="B200" s="26" t="n">
        <v>29</v>
      </c>
      <c r="C200" s="26" t="n">
        <v>71</v>
      </c>
      <c r="D200" s="27" t="inlineStr">
        <is>
          <t>不資寸木</t>
        </is>
      </c>
      <c r="E200" s="28" t="inlineStr">
        <is>
          <t>大樂樓</t>
        </is>
      </c>
      <c r="F200" s="27" t="inlineStr">
        <is>
          <t>以五色文石</t>
        </is>
      </c>
      <c r="G200" s="26" t="n"/>
      <c r="H200" s="29" t="n"/>
      <c r="I200" s="30" t="n"/>
      <c r="J200" s="30" t="n"/>
      <c r="K200" s="30" t="n"/>
      <c r="L200" s="30" t="n"/>
      <c r="M200" s="31" t="n"/>
      <c r="N200" s="29" t="n"/>
      <c r="O200" s="31" t="n"/>
    </row>
    <row r="201" ht="15" customHeight="1" s="16">
      <c r="A201" s="26" t="n">
        <v>200</v>
      </c>
      <c r="B201" s="26" t="n">
        <v>31</v>
      </c>
      <c r="C201" s="26" t="n">
        <v>53</v>
      </c>
      <c r="D201" s="27" t="inlineStr">
        <is>
          <t>者弛鏡停筆曰</t>
        </is>
      </c>
      <c r="E201" s="28" t="inlineStr">
        <is>
          <t>尊客遠臨</t>
        </is>
      </c>
      <c r="F201" s="27" t="inlineStr">
        <is>
          <t>沿道奚囊必富</t>
        </is>
      </c>
      <c r="G201" s="26" t="n"/>
      <c r="H201" s="29" t="n"/>
      <c r="I201" s="30" t="n"/>
      <c r="J201" s="30" t="n"/>
      <c r="K201" s="30" t="n"/>
      <c r="L201" s="30" t="n"/>
      <c r="M201" s="31" t="n"/>
      <c r="N201" s="29" t="n"/>
      <c r="O201" s="31" t="n"/>
    </row>
    <row r="202" ht="15" customHeight="1" s="16">
      <c r="A202" s="26" t="n">
        <v>201</v>
      </c>
      <c r="B202" s="26" t="n">
        <v>31</v>
      </c>
      <c r="C202" s="26" t="n">
        <v>54</v>
      </c>
      <c r="D202" s="27" t="inlineStr">
        <is>
          <t>尊客遠臨</t>
        </is>
      </c>
      <c r="E202" s="32" t="inlineStr">
        <is>
          <t>沿道奚囊必富</t>
        </is>
      </c>
      <c r="F202" s="27" t="inlineStr">
        <is>
          <t>願留一二佳句</t>
        </is>
      </c>
      <c r="G202" s="26" t="inlineStr">
        <is>
          <t>●</t>
        </is>
      </c>
      <c r="H202" s="29" t="n"/>
      <c r="I202" s="30" t="n"/>
      <c r="J202" s="30" t="n"/>
      <c r="K202" s="30" t="n"/>
      <c r="L202" s="30" t="n"/>
      <c r="M202" s="31" t="n"/>
      <c r="N202" s="29" t="n"/>
      <c r="O202" s="31" t="n"/>
    </row>
    <row r="203" ht="15" customHeight="1" s="16">
      <c r="A203" s="26" t="n">
        <v>202</v>
      </c>
      <c r="B203" s="26" t="n">
        <v>31</v>
      </c>
      <c r="C203" s="26" t="n">
        <v>55</v>
      </c>
      <c r="D203" s="27" t="inlineStr">
        <is>
          <t>沿道奚囊必富</t>
        </is>
      </c>
      <c r="E203" s="28" t="inlineStr">
        <is>
          <t>願留一二佳句</t>
        </is>
      </c>
      <c r="F203" s="27" t="inlineStr">
        <is>
          <t>所抄筆法雖拙</t>
        </is>
      </c>
      <c r="G203" s="26" t="n"/>
      <c r="H203" s="29" t="n"/>
      <c r="I203" s="30" t="n"/>
      <c r="J203" s="30" t="n"/>
      <c r="K203" s="30" t="n"/>
      <c r="L203" s="30" t="n"/>
      <c r="M203" s="31" t="n"/>
      <c r="N203" s="29" t="n"/>
      <c r="O203" s="31" t="n"/>
    </row>
    <row r="204" ht="15" customHeight="1" s="16">
      <c r="A204" s="26" t="n">
        <v>203</v>
      </c>
      <c r="B204" s="26" t="n">
        <v>31</v>
      </c>
      <c r="C204" s="26" t="n">
        <v>75</v>
      </c>
      <c r="D204" s="27" t="inlineStr">
        <is>
          <t>有髻無笄</t>
        </is>
      </c>
      <c r="E204" s="28" t="inlineStr">
        <is>
          <t>無</t>
        </is>
      </c>
      <c r="F204" s="27" t="inlineStr">
        <is>
          <t>論貧富</t>
        </is>
      </c>
      <c r="G204" s="26" t="n"/>
      <c r="H204" s="29" t="n"/>
      <c r="I204" s="30" t="n"/>
      <c r="J204" s="30" t="n"/>
      <c r="K204" s="30" t="n"/>
      <c r="L204" s="30" t="n"/>
      <c r="M204" s="31" t="n"/>
      <c r="N204" s="29" t="n"/>
      <c r="O204" s="31" t="n"/>
    </row>
    <row r="205" ht="15" customHeight="1" s="16">
      <c r="A205" s="26" t="n">
        <v>204</v>
      </c>
      <c r="B205" s="26" t="n">
        <v>31</v>
      </c>
      <c r="C205" s="26" t="n">
        <v>76</v>
      </c>
      <c r="D205" s="27" t="inlineStr">
        <is>
          <t>無</t>
        </is>
      </c>
      <c r="E205" s="32" t="inlineStr">
        <is>
          <t>論貧富</t>
        </is>
      </c>
      <c r="F205" s="27" t="inlineStr">
        <is>
          <t>民婦無冠</t>
        </is>
      </c>
      <c r="G205" s="26" t="inlineStr">
        <is>
          <t>●</t>
        </is>
      </c>
      <c r="H205" s="29" t="n"/>
      <c r="I205" s="30" t="n"/>
      <c r="J205" s="30" t="n"/>
      <c r="K205" s="30" t="n"/>
      <c r="L205" s="30" t="n"/>
      <c r="M205" s="31" t="n"/>
      <c r="N205" s="29" t="n"/>
      <c r="O205" s="31" t="n"/>
    </row>
    <row r="206" ht="15" customHeight="1" s="16">
      <c r="A206" s="26" t="n">
        <v>205</v>
      </c>
      <c r="B206" s="26" t="n">
        <v>31</v>
      </c>
      <c r="C206" s="26" t="n">
        <v>77</v>
      </c>
      <c r="D206" s="27" t="inlineStr">
        <is>
          <t>論貧富</t>
        </is>
      </c>
      <c r="E206" s="28" t="inlineStr">
        <is>
          <t>民婦無冠</t>
        </is>
      </c>
      <c r="F206" s="27" t="inlineStr">
        <is>
          <t>惟命婦有冠</t>
        </is>
      </c>
      <c r="G206" s="26" t="n"/>
      <c r="H206" s="29" t="n"/>
      <c r="I206" s="30" t="n"/>
      <c r="J206" s="30" t="n"/>
      <c r="K206" s="30" t="n"/>
      <c r="L206" s="30" t="n"/>
      <c r="M206" s="31" t="n"/>
      <c r="N206" s="29" t="n"/>
      <c r="O206" s="31" t="n"/>
    </row>
    <row r="207" ht="15" customHeight="1" s="16">
      <c r="A207" s="26" t="n">
        <v>206</v>
      </c>
      <c r="B207" s="26" t="n">
        <v>31</v>
      </c>
      <c r="C207" s="26" t="n">
        <v>97</v>
      </c>
      <c r="D207" s="27" t="inlineStr">
        <is>
          <t>旱路距皇京一千五百里</t>
        </is>
      </c>
      <c r="E207" s="28" t="inlineStr">
        <is>
          <t>今俺們舟往金州</t>
        </is>
      </c>
      <c r="F207" s="27" t="inlineStr">
        <is>
          <t>買綿花住此</t>
        </is>
      </c>
      <c r="G207" s="26" t="n"/>
      <c r="H207" s="29" t="n"/>
      <c r="I207" s="30" t="n"/>
      <c r="J207" s="30" t="n"/>
      <c r="K207" s="30" t="n"/>
      <c r="L207" s="30" t="n"/>
      <c r="M207" s="31" t="n"/>
      <c r="N207" s="29" t="n"/>
      <c r="O207" s="31" t="n"/>
    </row>
    <row r="208" ht="15" customHeight="1" s="16">
      <c r="A208" s="26" t="n">
        <v>207</v>
      </c>
      <c r="B208" s="26" t="n">
        <v>31</v>
      </c>
      <c r="C208" s="26" t="n">
        <v>98</v>
      </c>
      <c r="D208" s="27" t="inlineStr">
        <is>
          <t>今俺們舟往金州</t>
        </is>
      </c>
      <c r="E208" s="32" t="inlineStr">
        <is>
          <t>買綿花住此</t>
        </is>
      </c>
      <c r="F208" s="27" t="inlineStr">
        <is>
          <t>其</t>
        </is>
      </c>
      <c r="G208" s="26" t="inlineStr">
        <is>
          <t>●</t>
        </is>
      </c>
      <c r="H208" s="29" t="n"/>
      <c r="I208" s="30" t="n"/>
      <c r="J208" s="30" t="n"/>
      <c r="K208" s="30" t="n"/>
      <c r="L208" s="30" t="n"/>
      <c r="M208" s="31" t="n"/>
      <c r="N208" s="29" t="n"/>
      <c r="O208" s="31" t="n"/>
    </row>
    <row r="209" ht="15" customHeight="1" s="16">
      <c r="A209" s="26" t="n">
        <v>208</v>
      </c>
      <c r="B209" s="26" t="n">
        <v>31</v>
      </c>
      <c r="C209" s="26" t="n">
        <v>99</v>
      </c>
      <c r="D209" s="27" t="inlineStr">
        <is>
          <t>買綿花住此</t>
        </is>
      </c>
      <c r="E209" s="28" t="inlineStr">
        <is>
          <t>其</t>
        </is>
      </c>
      <c r="F209" s="27" t="inlineStr">
        <is>
          <t>所抄</t>
        </is>
      </c>
      <c r="G209" s="26" t="n"/>
      <c r="H209" s="29" t="n"/>
      <c r="I209" s="30" t="n"/>
      <c r="J209" s="30" t="n"/>
      <c r="K209" s="30" t="n"/>
      <c r="L209" s="30" t="n"/>
      <c r="M209" s="31" t="n"/>
      <c r="N209" s="29" t="n"/>
      <c r="O209" s="31" t="n"/>
    </row>
    <row r="210" ht="29.85" customHeight="1" s="16">
      <c r="A210" s="26" t="n">
        <v>209</v>
      </c>
      <c r="B210" s="26" t="n">
        <v>31</v>
      </c>
      <c r="C210" s="26" t="n">
        <v>153</v>
      </c>
      <c r="D210" s="27" t="inlineStr">
        <is>
          <t>手中猶餘半紙</t>
        </is>
      </c>
      <c r="E210" s="28" t="inlineStr">
        <is>
          <t>王舒公辛酉十一月十一日時生</t>
        </is>
      </c>
      <c r="F210" s="27" t="inlineStr">
        <is>
          <t>富鄭公甲正月二十日巳時生</t>
        </is>
      </c>
      <c r="G210" s="26" t="n"/>
      <c r="H210" s="29" t="n"/>
      <c r="I210" s="30" t="n"/>
      <c r="J210" s="30" t="n"/>
      <c r="K210" s="30" t="n"/>
      <c r="L210" s="30" t="n"/>
      <c r="M210" s="31" t="n"/>
      <c r="N210" s="29" t="n"/>
      <c r="O210" s="31" t="n"/>
    </row>
    <row r="211" ht="29.85" customHeight="1" s="16">
      <c r="A211" s="26" t="n">
        <v>210</v>
      </c>
      <c r="B211" s="26" t="n">
        <v>31</v>
      </c>
      <c r="C211" s="26" t="n">
        <v>154</v>
      </c>
      <c r="D211" s="27" t="inlineStr">
        <is>
          <t>王舒公辛酉十一月十一日時生</t>
        </is>
      </c>
      <c r="E211" s="32" t="inlineStr">
        <is>
          <t>富鄭公甲正月二十日巳時生</t>
        </is>
      </c>
      <c r="F211" s="27" t="inlineStr">
        <is>
          <t>蘇子容庚申</t>
        </is>
      </c>
      <c r="G211" s="26" t="inlineStr">
        <is>
          <t>●</t>
        </is>
      </c>
      <c r="H211" s="29" t="n"/>
      <c r="I211" s="30" t="n"/>
      <c r="J211" s="30" t="n"/>
      <c r="K211" s="30" t="n"/>
      <c r="L211" s="30" t="n"/>
      <c r="M211" s="31" t="n"/>
      <c r="N211" s="29" t="n"/>
      <c r="O211" s="31" t="n"/>
    </row>
    <row r="212" ht="29.85" customHeight="1" s="16">
      <c r="A212" s="26" t="n">
        <v>211</v>
      </c>
      <c r="B212" s="26" t="n">
        <v>31</v>
      </c>
      <c r="C212" s="26" t="n">
        <v>155</v>
      </c>
      <c r="D212" s="27" t="inlineStr">
        <is>
          <t>富鄭公甲正月二十日巳時生</t>
        </is>
      </c>
      <c r="E212" s="28" t="inlineStr">
        <is>
          <t>蘇子容庚申</t>
        </is>
      </c>
      <c r="F212" s="27" t="inlineStr">
        <is>
          <t>二月二十二日巳時生</t>
        </is>
      </c>
      <c r="G212" s="26" t="n"/>
      <c r="H212" s="29" t="n"/>
      <c r="I212" s="30" t="n"/>
      <c r="J212" s="30" t="n"/>
      <c r="K212" s="30" t="n"/>
      <c r="L212" s="30" t="n"/>
      <c r="M212" s="31" t="n"/>
      <c r="N212" s="29" t="n"/>
      <c r="O212" s="31" t="n"/>
    </row>
    <row r="213" ht="15" customHeight="1" s="16">
      <c r="A213" s="26" t="n">
        <v>212</v>
      </c>
      <c r="B213" s="26" t="n">
        <v>31</v>
      </c>
      <c r="C213" s="26" t="n">
        <v>174</v>
      </c>
      <c r="D213" s="27" t="inlineStr">
        <is>
          <t>石後有丈餘芭蕉</t>
        </is>
      </c>
      <c r="E213" s="28" t="inlineStr">
        <is>
          <t>雨餘物色</t>
        </is>
      </c>
      <c r="F213" s="27" t="inlineStr">
        <is>
          <t>倍新欄邊</t>
        </is>
      </c>
      <c r="G213" s="26" t="n"/>
      <c r="H213" s="29" t="n"/>
      <c r="I213" s="30" t="n"/>
      <c r="J213" s="30" t="n"/>
      <c r="K213" s="30" t="n"/>
      <c r="L213" s="30" t="n"/>
      <c r="M213" s="31" t="n"/>
      <c r="N213" s="29" t="n"/>
      <c r="O213" s="31" t="n"/>
    </row>
    <row r="214" ht="15" customHeight="1" s="16">
      <c r="A214" s="26" t="n">
        <v>213</v>
      </c>
      <c r="B214" s="26" t="n">
        <v>31</v>
      </c>
      <c r="C214" s="26" t="n">
        <v>175</v>
      </c>
      <c r="D214" s="27" t="inlineStr">
        <is>
          <t>雨餘物色</t>
        </is>
      </c>
      <c r="E214" s="32" t="inlineStr">
        <is>
          <t>倍新欄邊</t>
        </is>
      </c>
      <c r="F214" s="27" t="inlineStr">
        <is>
          <t>獨有一人倚坐卓上</t>
        </is>
      </c>
      <c r="G214" s="26" t="inlineStr">
        <is>
          <t>●</t>
        </is>
      </c>
      <c r="H214" s="29" t="n"/>
      <c r="I214" s="30" t="n"/>
      <c r="J214" s="30" t="n"/>
      <c r="K214" s="30" t="n"/>
      <c r="L214" s="30" t="n"/>
      <c r="M214" s="31" t="n"/>
      <c r="N214" s="29" t="n"/>
      <c r="O214" s="31" t="n"/>
    </row>
    <row r="215" ht="15" customHeight="1" s="16">
      <c r="A215" s="26" t="n">
        <v>214</v>
      </c>
      <c r="B215" s="26" t="n">
        <v>31</v>
      </c>
      <c r="C215" s="26" t="n">
        <v>176</v>
      </c>
      <c r="D215" s="27" t="inlineStr">
        <is>
          <t>倍新欄邊</t>
        </is>
      </c>
      <c r="E215" s="28" t="inlineStr">
        <is>
          <t>獨有一人倚坐卓上</t>
        </is>
      </c>
      <c r="F215" s="27" t="inlineStr">
        <is>
          <t>筆硯俱佳</t>
        </is>
      </c>
      <c r="G215" s="26" t="n"/>
      <c r="H215" s="29" t="n"/>
      <c r="I215" s="30" t="n"/>
      <c r="J215" s="30" t="n"/>
      <c r="K215" s="30" t="n"/>
      <c r="L215" s="30" t="n"/>
      <c r="M215" s="31" t="n"/>
      <c r="N215" s="29" t="n"/>
      <c r="O215" s="31" t="n"/>
    </row>
    <row r="216" ht="15" customHeight="1" s="16">
      <c r="A216" s="26" t="n">
        <v>215</v>
      </c>
      <c r="B216" s="26" t="n">
        <v>31</v>
      </c>
      <c r="C216" s="26" t="n">
        <v>247</v>
      </c>
      <c r="D216" s="27" t="inlineStr">
        <is>
          <t>合盥盆</t>
        </is>
      </c>
      <c r="E216" s="28" t="inlineStr">
        <is>
          <t>而重不可遠致</t>
        </is>
      </c>
      <c r="F216" s="27" t="inlineStr">
        <is>
          <t>問其價</t>
        </is>
      </c>
      <c r="G216" s="26" t="n"/>
      <c r="H216" s="29" t="n"/>
      <c r="I216" s="30" t="n"/>
      <c r="J216" s="30" t="n"/>
      <c r="K216" s="30" t="n"/>
      <c r="L216" s="30" t="n"/>
      <c r="M216" s="31" t="n"/>
      <c r="N216" s="29" t="n"/>
      <c r="O216" s="31" t="n"/>
    </row>
    <row r="217" ht="15" customHeight="1" s="16">
      <c r="A217" s="26" t="n">
        <v>216</v>
      </c>
      <c r="B217" s="26" t="n">
        <v>31</v>
      </c>
      <c r="C217" s="26" t="n">
        <v>248</v>
      </c>
      <c r="D217" s="27" t="inlineStr">
        <is>
          <t>而重不可遠致</t>
        </is>
      </c>
      <c r="E217" s="32" t="inlineStr">
        <is>
          <t>問其價</t>
        </is>
      </c>
      <c r="F217" s="27" t="inlineStr">
        <is>
          <t>爲一鈔</t>
        </is>
      </c>
      <c r="G217" s="26" t="inlineStr">
        <is>
          <t>●</t>
        </is>
      </c>
      <c r="H217" s="29" t="n"/>
      <c r="I217" s="30" t="n"/>
      <c r="J217" s="30" t="n"/>
      <c r="K217" s="30" t="n"/>
      <c r="L217" s="30" t="n"/>
      <c r="M217" s="31" t="n"/>
      <c r="N217" s="29" t="n"/>
      <c r="O217" s="31" t="n"/>
    </row>
    <row r="218" ht="15" customHeight="1" s="16">
      <c r="A218" s="26" t="n">
        <v>217</v>
      </c>
      <c r="B218" s="26" t="n">
        <v>31</v>
      </c>
      <c r="C218" s="26" t="n">
        <v>249</v>
      </c>
      <c r="D218" s="27" t="inlineStr">
        <is>
          <t>問其價</t>
        </is>
      </c>
      <c r="E218" s="28" t="inlineStr">
        <is>
          <t>爲一鈔</t>
        </is>
      </c>
      <c r="F218" s="27" t="inlineStr">
        <is>
          <t>一鈔爲一百六十三分</t>
        </is>
      </c>
      <c r="G218" s="26" t="n"/>
      <c r="H218" s="29" t="n"/>
      <c r="I218" s="30" t="n"/>
      <c r="J218" s="30" t="n"/>
      <c r="K218" s="30" t="n"/>
      <c r="L218" s="30" t="n"/>
      <c r="M218" s="31" t="n"/>
      <c r="N218" s="29" t="n"/>
      <c r="O218" s="31" t="n"/>
    </row>
    <row r="219" ht="15" customHeight="1" s="16">
      <c r="A219" s="26" t="n">
        <v>218</v>
      </c>
      <c r="B219" s="26" t="n">
        <v>31</v>
      </c>
      <c r="C219" s="26" t="n">
        <v>250</v>
      </c>
      <c r="D219" s="27" t="inlineStr">
        <is>
          <t>爲一鈔</t>
        </is>
      </c>
      <c r="E219" s="28" t="inlineStr">
        <is>
          <t>一鈔爲一百六十三分</t>
        </is>
      </c>
      <c r="F219" s="27" t="inlineStr">
        <is>
          <t>爲銀不過三錢矣</t>
        </is>
      </c>
      <c r="G219" s="26" t="n"/>
      <c r="H219" s="29" t="n"/>
      <c r="I219" s="30" t="n"/>
      <c r="J219" s="30" t="n"/>
      <c r="K219" s="30" t="n"/>
      <c r="L219" s="30" t="n"/>
      <c r="M219" s="31" t="n"/>
      <c r="N219" s="29" t="n"/>
      <c r="O219" s="31" t="n"/>
    </row>
    <row r="220" ht="15" customHeight="1" s="16">
      <c r="A220" s="26" t="n">
        <v>219</v>
      </c>
      <c r="B220" s="26" t="n">
        <v>31</v>
      </c>
      <c r="C220" s="26" t="n">
        <v>251</v>
      </c>
      <c r="D220" s="27" t="inlineStr">
        <is>
          <t>一鈔爲一百六十三分</t>
        </is>
      </c>
      <c r="E220" s="32" t="inlineStr">
        <is>
          <t>爲銀不過三錢矣</t>
        </is>
      </c>
      <c r="F220" s="27" t="inlineStr">
        <is>
          <t>象三言此在皇京</t>
        </is>
      </c>
      <c r="G220" s="26" t="inlineStr">
        <is>
          <t>●</t>
        </is>
      </c>
      <c r="H220" s="29" t="n"/>
      <c r="I220" s="30" t="n"/>
      <c r="J220" s="30" t="n"/>
      <c r="K220" s="30" t="n"/>
      <c r="L220" s="30" t="n"/>
      <c r="M220" s="31" t="n"/>
      <c r="N220" s="29" t="n"/>
      <c r="O220" s="31" t="n"/>
    </row>
    <row r="221" ht="15" customHeight="1" s="16">
      <c r="A221" s="26" t="n">
        <v>220</v>
      </c>
      <c r="B221" s="26" t="n">
        <v>31</v>
      </c>
      <c r="C221" s="26" t="n">
        <v>252</v>
      </c>
      <c r="D221" s="27" t="inlineStr">
        <is>
          <t>爲銀不過三錢矣</t>
        </is>
      </c>
      <c r="E221" s="28" t="inlineStr">
        <is>
          <t>象三言此在皇京</t>
        </is>
      </c>
      <c r="F221" s="27" t="inlineStr">
        <is>
          <t>不</t>
        </is>
      </c>
      <c r="G221" s="26" t="n"/>
      <c r="H221" s="29" t="n"/>
      <c r="I221" s="30" t="n"/>
      <c r="J221" s="30" t="n"/>
      <c r="K221" s="30" t="n"/>
      <c r="L221" s="30" t="n"/>
      <c r="M221" s="31" t="n"/>
      <c r="N221" s="29" t="n"/>
      <c r="O221" s="31" t="n"/>
    </row>
    <row r="222" ht="15" customHeight="1" s="16">
      <c r="A222" s="26" t="n">
        <v>221</v>
      </c>
      <c r="B222" s="26" t="n">
        <v>31</v>
      </c>
      <c r="C222" s="26" t="n">
        <v>253</v>
      </c>
      <c r="D222" s="27" t="inlineStr">
        <is>
          <t>象三言此在皇京</t>
        </is>
      </c>
      <c r="E222" s="28" t="inlineStr">
        <is>
          <t>不</t>
        </is>
      </c>
      <c r="F222" s="27" t="inlineStr">
        <is>
          <t>過售銀二錢</t>
        </is>
      </c>
      <c r="G222" s="26" t="n"/>
      <c r="H222" s="29" t="n"/>
      <c r="I222" s="30" t="n"/>
      <c r="J222" s="30" t="n"/>
      <c r="K222" s="30" t="n"/>
      <c r="L222" s="30" t="n"/>
      <c r="M222" s="31" t="n"/>
      <c r="N222" s="29" t="n"/>
      <c r="O222" s="31" t="n"/>
    </row>
    <row r="223" ht="15" customHeight="1" s="16">
      <c r="A223" s="26" t="n">
        <v>222</v>
      </c>
      <c r="B223" s="26" t="n">
        <v>31</v>
      </c>
      <c r="C223" s="26" t="n">
        <v>254</v>
      </c>
      <c r="D223" s="27" t="inlineStr">
        <is>
          <t>不</t>
        </is>
      </c>
      <c r="E223" s="32" t="inlineStr">
        <is>
          <t>過售銀二錢</t>
        </is>
      </c>
      <c r="F223" s="27" t="inlineStr">
        <is>
          <t>而肉重難輸</t>
        </is>
      </c>
      <c r="G223" s="26" t="inlineStr">
        <is>
          <t>●</t>
        </is>
      </c>
      <c r="H223" s="29" t="n"/>
      <c r="I223" s="30" t="n"/>
      <c r="J223" s="30" t="n"/>
      <c r="K223" s="30" t="n"/>
      <c r="L223" s="30" t="n"/>
      <c r="M223" s="31" t="n"/>
      <c r="N223" s="29" t="n"/>
      <c r="O223" s="31" t="n"/>
    </row>
    <row r="224" ht="15" customHeight="1" s="16">
      <c r="A224" s="26" t="n">
        <v>223</v>
      </c>
      <c r="B224" s="26" t="n">
        <v>31</v>
      </c>
      <c r="C224" s="26" t="n">
        <v>255</v>
      </c>
      <c r="D224" s="27" t="inlineStr">
        <is>
          <t>過售銀二錢</t>
        </is>
      </c>
      <c r="E224" s="28" t="inlineStr">
        <is>
          <t>而肉重難輸</t>
        </is>
      </c>
      <c r="F224" s="27" t="inlineStr">
        <is>
          <t>明知其出境爲希寶</t>
        </is>
      </c>
      <c r="G224" s="26" t="n"/>
      <c r="H224" s="29" t="n"/>
      <c r="I224" s="30" t="n"/>
      <c r="J224" s="30" t="n"/>
      <c r="K224" s="30" t="n"/>
      <c r="L224" s="30" t="n"/>
      <c r="M224" s="31" t="n"/>
      <c r="N224" s="29" t="n"/>
      <c r="O224" s="31" t="n"/>
    </row>
    <row r="225" ht="15" customHeight="1" s="16">
      <c r="A225" s="26" t="n">
        <v>224</v>
      </c>
      <c r="B225" s="26" t="n">
        <v>31</v>
      </c>
      <c r="C225" s="26" t="n">
        <v>260</v>
      </c>
      <c r="D225" s="27" t="inlineStr">
        <is>
          <t>又至一舖</t>
        </is>
      </c>
      <c r="E225" s="28" t="inlineStr">
        <is>
          <t>亦有三個登</t>
        </is>
      </c>
      <c r="F225" s="27" t="inlineStr">
        <is>
          <t>州客商</t>
        </is>
      </c>
      <c r="G225" s="26" t="n"/>
      <c r="H225" s="29" t="n"/>
      <c r="I225" s="30" t="n"/>
      <c r="J225" s="30" t="n"/>
      <c r="K225" s="30" t="n"/>
      <c r="L225" s="30" t="n"/>
      <c r="M225" s="31" t="n"/>
      <c r="N225" s="29" t="n"/>
      <c r="O225" s="31" t="n"/>
    </row>
    <row r="226" ht="15" customHeight="1" s="16">
      <c r="A226" s="26" t="n">
        <v>225</v>
      </c>
      <c r="B226" s="26" t="n">
        <v>31</v>
      </c>
      <c r="C226" s="26" t="n">
        <v>261</v>
      </c>
      <c r="D226" s="27" t="inlineStr">
        <is>
          <t>亦有三個登</t>
        </is>
      </c>
      <c r="E226" s="32" t="inlineStr">
        <is>
          <t>州客商</t>
        </is>
      </c>
      <c r="F226" s="27" t="inlineStr">
        <is>
          <t>爲榨綿繅繭船</t>
        </is>
      </c>
      <c r="G226" s="26" t="inlineStr">
        <is>
          <t>●</t>
        </is>
      </c>
      <c r="H226" s="29" t="n"/>
      <c r="I226" s="30" t="n"/>
      <c r="J226" s="30" t="n"/>
      <c r="K226" s="30" t="n"/>
      <c r="L226" s="30" t="n"/>
      <c r="M226" s="31" t="n"/>
      <c r="N226" s="29" t="n"/>
      <c r="O226" s="31" t="n"/>
    </row>
    <row r="227" ht="15" customHeight="1" s="16">
      <c r="A227" s="26" t="n">
        <v>226</v>
      </c>
      <c r="B227" s="26" t="n">
        <v>31</v>
      </c>
      <c r="C227" s="26" t="n">
        <v>262</v>
      </c>
      <c r="D227" s="27" t="inlineStr">
        <is>
          <t>州客商</t>
        </is>
      </c>
      <c r="E227" s="28" t="inlineStr">
        <is>
          <t>爲榨綿繅繭船</t>
        </is>
      </c>
      <c r="F227" s="27" t="inlineStr">
        <is>
          <t>往金州</t>
        </is>
      </c>
      <c r="G227" s="26" t="n"/>
      <c r="H227" s="29" t="n"/>
      <c r="I227" s="30" t="n"/>
      <c r="J227" s="30" t="n"/>
      <c r="K227" s="30" t="n"/>
      <c r="L227" s="30" t="n"/>
      <c r="M227" s="31" t="n"/>
      <c r="N227" s="29" t="n"/>
      <c r="O227" s="31" t="n"/>
    </row>
    <row r="228" ht="15" customHeight="1" s="16">
      <c r="A228" s="26" t="n">
        <v>227</v>
      </c>
      <c r="B228" s="26" t="n">
        <v>32</v>
      </c>
      <c r="C228" s="26" t="n">
        <v>38</v>
      </c>
      <c r="D228" s="27" t="inlineStr">
        <is>
          <t>未知默禱者何等</t>
        </is>
      </c>
      <c r="E228" s="28" t="inlineStr">
        <is>
          <t>而可謂所持者狹</t>
        </is>
      </c>
      <c r="F228" s="27" t="inlineStr">
        <is>
          <t>而所欲者奢矣</t>
        </is>
      </c>
      <c r="G228" s="26" t="n"/>
      <c r="H228" s="29" t="n"/>
      <c r="I228" s="30" t="n"/>
      <c r="J228" s="30" t="n"/>
      <c r="K228" s="30" t="n"/>
      <c r="L228" s="30" t="n"/>
      <c r="M228" s="31" t="n"/>
      <c r="N228" s="29" t="n"/>
      <c r="O228" s="31" t="n"/>
    </row>
    <row r="229" ht="15" customHeight="1" s="16">
      <c r="A229" s="26" t="n">
        <v>228</v>
      </c>
      <c r="B229" s="26" t="n">
        <v>32</v>
      </c>
      <c r="C229" s="26" t="n">
        <v>39</v>
      </c>
      <c r="D229" s="27" t="inlineStr">
        <is>
          <t>而可謂所持者狹</t>
        </is>
      </c>
      <c r="E229" s="32" t="inlineStr">
        <is>
          <t>而所欲者奢矣</t>
        </is>
      </c>
      <c r="F229" s="27" t="inlineStr">
        <is>
          <t>門內</t>
        </is>
      </c>
      <c r="G229" s="26" t="inlineStr">
        <is>
          <t>●</t>
        </is>
      </c>
      <c r="H229" s="29" t="n"/>
      <c r="I229" s="30" t="n"/>
      <c r="J229" s="30" t="n"/>
      <c r="K229" s="30" t="n"/>
      <c r="L229" s="30" t="n"/>
      <c r="M229" s="31" t="n"/>
      <c r="N229" s="29" t="n"/>
      <c r="O229" s="31" t="n"/>
    </row>
    <row r="230" ht="15" customHeight="1" s="16">
      <c r="A230" s="26" t="n">
        <v>229</v>
      </c>
      <c r="B230" s="26" t="n">
        <v>32</v>
      </c>
      <c r="C230" s="26" t="n">
        <v>40</v>
      </c>
      <c r="D230" s="27" t="inlineStr">
        <is>
          <t>而所欲者奢矣</t>
        </is>
      </c>
      <c r="E230" s="28" t="inlineStr">
        <is>
          <t>門內</t>
        </is>
      </c>
      <c r="F230" s="27" t="inlineStr">
        <is>
          <t>響墻所畵靑獅可觀</t>
        </is>
      </c>
      <c r="G230" s="26" t="n"/>
      <c r="H230" s="29" t="n"/>
      <c r="I230" s="30" t="n"/>
      <c r="J230" s="30" t="n"/>
      <c r="K230" s="30" t="n"/>
      <c r="L230" s="30" t="n"/>
      <c r="M230" s="31" t="n"/>
      <c r="N230" s="29" t="n"/>
      <c r="O230" s="31" t="n"/>
    </row>
    <row r="231" ht="15" customHeight="1" s="16">
      <c r="A231" s="26" t="n">
        <v>230</v>
      </c>
      <c r="B231" s="26" t="n">
        <v>32</v>
      </c>
      <c r="C231" s="26" t="n">
        <v>54</v>
      </c>
      <c r="D231" s="27" t="inlineStr">
        <is>
          <t>舖中所造工人</t>
        </is>
      </c>
      <c r="E231" s="28" t="inlineStr">
        <is>
          <t>不下百人</t>
        </is>
      </c>
      <c r="F231" s="27" t="inlineStr">
        <is>
          <t>灣商已充斥其中</t>
        </is>
      </c>
      <c r="G231" s="26" t="n"/>
      <c r="H231" s="29" t="n"/>
      <c r="I231" s="30" t="n"/>
      <c r="J231" s="30" t="n"/>
      <c r="K231" s="30" t="n"/>
      <c r="L231" s="30" t="n"/>
      <c r="M231" s="31" t="n"/>
      <c r="N231" s="29" t="n"/>
      <c r="O231" s="31" t="n"/>
    </row>
    <row r="232" ht="15" customHeight="1" s="16">
      <c r="A232" s="26" t="n">
        <v>231</v>
      </c>
      <c r="B232" s="26" t="n">
        <v>32</v>
      </c>
      <c r="C232" s="26" t="n">
        <v>55</v>
      </c>
      <c r="D232" s="27" t="inlineStr">
        <is>
          <t>不下百人</t>
        </is>
      </c>
      <c r="E232" s="32" t="inlineStr">
        <is>
          <t>灣商已充斥其中</t>
        </is>
      </c>
      <c r="F232" s="27" t="inlineStr">
        <is>
          <t>爲約帽</t>
        </is>
      </c>
      <c r="G232" s="26" t="inlineStr">
        <is>
          <t>●</t>
        </is>
      </c>
      <c r="H232" s="29" t="n"/>
      <c r="I232" s="30" t="n"/>
      <c r="J232" s="30" t="n"/>
      <c r="K232" s="30" t="n"/>
      <c r="L232" s="30" t="n"/>
      <c r="M232" s="31" t="n"/>
      <c r="N232" s="29" t="n"/>
      <c r="O232" s="31" t="n"/>
    </row>
    <row r="233" ht="15" customHeight="1" s="16">
      <c r="A233" s="26" t="n">
        <v>232</v>
      </c>
      <c r="B233" s="26" t="n">
        <v>32</v>
      </c>
      <c r="C233" s="26" t="n">
        <v>56</v>
      </c>
      <c r="D233" s="27" t="inlineStr">
        <is>
          <t>灣商已充斥其中</t>
        </is>
      </c>
      <c r="E233" s="28" t="inlineStr">
        <is>
          <t>爲約帽</t>
        </is>
      </c>
      <c r="F233" s="27" t="inlineStr">
        <is>
          <t>回</t>
        </is>
      </c>
      <c r="G233" s="26" t="n"/>
      <c r="H233" s="29" t="n"/>
      <c r="I233" s="30" t="n"/>
      <c r="J233" s="30" t="n"/>
      <c r="K233" s="30" t="n"/>
      <c r="L233" s="30" t="n"/>
      <c r="M233" s="31" t="n"/>
      <c r="N233" s="29" t="n"/>
      <c r="O233" s="31" t="n"/>
    </row>
    <row r="234" ht="15" customHeight="1" s="16">
      <c r="A234" s="26" t="n">
        <v>233</v>
      </c>
      <c r="B234" s="26" t="n">
        <v>32</v>
      </c>
      <c r="C234" s="26" t="n">
        <v>65</v>
      </c>
      <c r="D234" s="27" t="inlineStr">
        <is>
          <t>百萬口</t>
        </is>
      </c>
      <c r="E234" s="28" t="inlineStr">
        <is>
          <t>人着一帽</t>
        </is>
      </c>
      <c r="F234" s="27" t="inlineStr">
        <is>
          <t>然後爲禦冬之資</t>
        </is>
      </c>
      <c r="G234" s="26" t="n"/>
      <c r="H234" s="29" t="n"/>
      <c r="I234" s="30" t="n"/>
      <c r="J234" s="30" t="n"/>
      <c r="K234" s="30" t="n"/>
      <c r="L234" s="30" t="n"/>
      <c r="M234" s="31" t="n"/>
      <c r="N234" s="29" t="n"/>
      <c r="O234" s="31" t="n"/>
    </row>
    <row r="235" ht="15" customHeight="1" s="16">
      <c r="A235" s="26" t="n">
        <v>234</v>
      </c>
      <c r="B235" s="26" t="n">
        <v>32</v>
      </c>
      <c r="C235" s="26" t="n">
        <v>66</v>
      </c>
      <c r="D235" s="27" t="inlineStr">
        <is>
          <t>人着一帽</t>
        </is>
      </c>
      <c r="E235" s="32" t="inlineStr">
        <is>
          <t>然後爲禦冬之資</t>
        </is>
      </c>
      <c r="F235" s="27" t="inlineStr">
        <is>
          <t>計冬至使行</t>
        </is>
      </c>
      <c r="G235" s="26" t="inlineStr">
        <is>
          <t>●</t>
        </is>
      </c>
      <c r="H235" s="29" t="n"/>
      <c r="I235" s="30" t="n"/>
      <c r="J235" s="30" t="n"/>
      <c r="K235" s="30" t="n"/>
      <c r="L235" s="30" t="n"/>
      <c r="M235" s="31" t="n"/>
      <c r="N235" s="29" t="n"/>
      <c r="O235" s="31" t="n"/>
    </row>
    <row r="236" ht="15" customHeight="1" s="16">
      <c r="A236" s="26" t="n">
        <v>235</v>
      </c>
      <c r="B236" s="26" t="n">
        <v>32</v>
      </c>
      <c r="C236" s="26" t="n">
        <v>67</v>
      </c>
      <c r="D236" s="27" t="inlineStr">
        <is>
          <t>然後爲禦冬之資</t>
        </is>
      </c>
      <c r="E236" s="28" t="inlineStr">
        <is>
          <t>計冬至使行</t>
        </is>
      </c>
      <c r="F236" s="27" t="inlineStr">
        <is>
          <t>黃曆賫咨所帶銀貨</t>
        </is>
      </c>
      <c r="G236" s="26" t="n"/>
      <c r="H236" s="29" t="n"/>
      <c r="I236" s="30" t="n"/>
      <c r="J236" s="30" t="n"/>
      <c r="K236" s="30" t="n"/>
      <c r="L236" s="30" t="n"/>
      <c r="M236" s="31" t="n"/>
      <c r="N236" s="29" t="n"/>
      <c r="O236" s="31" t="n"/>
    </row>
    <row r="237" ht="15" customHeight="1" s="16">
      <c r="A237" s="26" t="n">
        <v>236</v>
      </c>
      <c r="B237" s="26" t="n">
        <v>32</v>
      </c>
      <c r="C237" s="26" t="n">
        <v>68</v>
      </c>
      <c r="D237" s="27" t="inlineStr">
        <is>
          <t>計冬至使行</t>
        </is>
      </c>
      <c r="E237" s="32" t="inlineStr">
        <is>
          <t>黃曆賫咨所帶銀貨</t>
        </is>
      </c>
      <c r="F237" s="27" t="inlineStr">
        <is>
          <t>不下十萬兩</t>
        </is>
      </c>
      <c r="G237" s="26" t="inlineStr">
        <is>
          <t>●</t>
        </is>
      </c>
      <c r="H237" s="29" t="n"/>
      <c r="I237" s="30" t="n"/>
      <c r="J237" s="30" t="n"/>
      <c r="K237" s="30" t="n"/>
      <c r="L237" s="30" t="n"/>
      <c r="M237" s="31" t="n"/>
      <c r="N237" s="29" t="n"/>
      <c r="O237" s="31" t="n"/>
    </row>
    <row r="238" ht="15" customHeight="1" s="16">
      <c r="A238" s="26" t="n">
        <v>237</v>
      </c>
      <c r="B238" s="26" t="n">
        <v>32</v>
      </c>
      <c r="C238" s="26" t="n">
        <v>69</v>
      </c>
      <c r="D238" s="27" t="inlineStr">
        <is>
          <t>黃曆賫咨所帶銀貨</t>
        </is>
      </c>
      <c r="E238" s="28" t="inlineStr">
        <is>
          <t>不下十萬兩</t>
        </is>
      </c>
      <c r="F238" s="27" t="inlineStr">
        <is>
          <t>通計十年</t>
        </is>
      </c>
      <c r="G238" s="26" t="n"/>
      <c r="H238" s="29" t="n"/>
      <c r="I238" s="30" t="n"/>
      <c r="J238" s="30" t="n"/>
      <c r="K238" s="30" t="n"/>
      <c r="L238" s="30" t="n"/>
      <c r="M238" s="31" t="n"/>
      <c r="N238" s="29" t="n"/>
      <c r="O238" s="31" t="n"/>
    </row>
    <row r="239" ht="15" customHeight="1" s="16">
      <c r="A239" s="26" t="n">
        <v>238</v>
      </c>
      <c r="B239" s="26" t="n">
        <v>32</v>
      </c>
      <c r="C239" s="26" t="n">
        <v>72</v>
      </c>
      <c r="D239" s="27" t="inlineStr">
        <is>
          <t>則爲百</t>
        </is>
      </c>
      <c r="E239" s="28" t="inlineStr">
        <is>
          <t>萬兩</t>
        </is>
      </c>
      <c r="F239" s="27" t="inlineStr">
        <is>
          <t>帽爲一人三冬之資</t>
        </is>
      </c>
      <c r="G239" s="26" t="n"/>
      <c r="H239" s="29" t="n"/>
      <c r="I239" s="30" t="n"/>
      <c r="J239" s="30" t="n"/>
      <c r="K239" s="30" t="n"/>
      <c r="L239" s="30" t="n"/>
      <c r="M239" s="31" t="n"/>
      <c r="N239" s="29" t="n"/>
      <c r="O239" s="31" t="n"/>
    </row>
    <row r="240" ht="15" customHeight="1" s="16">
      <c r="A240" s="26" t="n">
        <v>239</v>
      </c>
      <c r="B240" s="26" t="n">
        <v>32</v>
      </c>
      <c r="C240" s="26" t="n">
        <v>73</v>
      </c>
      <c r="D240" s="27" t="inlineStr">
        <is>
          <t>萬兩</t>
        </is>
      </c>
      <c r="E240" s="32" t="inlineStr">
        <is>
          <t>帽爲一人三冬之資</t>
        </is>
      </c>
      <c r="F240" s="27" t="inlineStr">
        <is>
          <t>春後弊落則棄之耳</t>
        </is>
      </c>
      <c r="G240" s="26" t="inlineStr">
        <is>
          <t>●</t>
        </is>
      </c>
      <c r="H240" s="29" t="n"/>
      <c r="I240" s="30" t="n"/>
      <c r="J240" s="30" t="n"/>
      <c r="K240" s="30" t="n"/>
      <c r="L240" s="30" t="n"/>
      <c r="M240" s="31" t="n"/>
      <c r="N240" s="29" t="n"/>
      <c r="O240" s="31" t="n"/>
    </row>
    <row r="241" ht="15" customHeight="1" s="16">
      <c r="A241" s="26" t="n">
        <v>240</v>
      </c>
      <c r="B241" s="26" t="n">
        <v>32</v>
      </c>
      <c r="C241" s="26" t="n">
        <v>74</v>
      </c>
      <c r="D241" s="27" t="inlineStr">
        <is>
          <t>帽爲一人三冬之資</t>
        </is>
      </c>
      <c r="E241" s="28" t="inlineStr">
        <is>
          <t>春後弊落則棄之耳</t>
        </is>
      </c>
      <c r="F241" s="27" t="inlineStr">
        <is>
          <t>以千年不壞之銀</t>
        </is>
      </c>
      <c r="G241" s="26" t="n"/>
      <c r="H241" s="29" t="n"/>
      <c r="I241" s="30" t="n"/>
      <c r="J241" s="30" t="n"/>
      <c r="K241" s="30" t="n"/>
      <c r="L241" s="30" t="n"/>
      <c r="M241" s="31" t="n"/>
      <c r="N241" s="29" t="n"/>
      <c r="O241" s="31" t="n"/>
    </row>
    <row r="242" ht="15" customHeight="1" s="16">
      <c r="A242" s="26" t="n">
        <v>241</v>
      </c>
      <c r="B242" s="26" t="n">
        <v>32</v>
      </c>
      <c r="C242" s="26" t="n">
        <v>75</v>
      </c>
      <c r="D242" s="27" t="inlineStr">
        <is>
          <t>春後弊落則棄之耳</t>
        </is>
      </c>
      <c r="E242" s="32" t="inlineStr">
        <is>
          <t>以千年不壞之銀</t>
        </is>
      </c>
      <c r="F242" s="27" t="inlineStr">
        <is>
          <t>易三冬弊棄之帽</t>
        </is>
      </c>
      <c r="G242" s="26" t="inlineStr">
        <is>
          <t>●</t>
        </is>
      </c>
      <c r="H242" s="29" t="n"/>
      <c r="I242" s="30" t="n"/>
      <c r="J242" s="30" t="n"/>
      <c r="K242" s="30" t="n"/>
      <c r="L242" s="30" t="n"/>
      <c r="M242" s="31" t="n"/>
      <c r="N242" s="29" t="n"/>
      <c r="O242" s="31" t="n"/>
    </row>
    <row r="243" ht="15" customHeight="1" s="16">
      <c r="A243" s="26" t="n">
        <v>242</v>
      </c>
      <c r="B243" s="26" t="n">
        <v>32</v>
      </c>
      <c r="C243" s="26" t="n">
        <v>76</v>
      </c>
      <c r="D243" s="27" t="inlineStr">
        <is>
          <t>以千年不壞之銀</t>
        </is>
      </c>
      <c r="E243" s="28" t="inlineStr">
        <is>
          <t>易三冬弊棄之帽</t>
        </is>
      </c>
      <c r="F243" s="27" t="inlineStr">
        <is>
          <t>以採山有限之物</t>
        </is>
      </c>
      <c r="G243" s="26" t="n"/>
      <c r="H243" s="29" t="n"/>
      <c r="I243" s="30" t="n"/>
      <c r="J243" s="30" t="n"/>
      <c r="K243" s="30" t="n"/>
      <c r="L243" s="30" t="n"/>
      <c r="M243" s="31" t="n"/>
      <c r="N243" s="29" t="n"/>
      <c r="O243" s="31" t="n"/>
    </row>
    <row r="244" ht="15" customHeight="1" s="16">
      <c r="A244" s="26" t="n">
        <v>243</v>
      </c>
      <c r="B244" s="26" t="n">
        <v>32</v>
      </c>
      <c r="C244" s="26" t="n">
        <v>82</v>
      </c>
      <c r="D244" s="27" t="inlineStr">
        <is>
          <t>皆脫衣工作</t>
        </is>
      </c>
      <c r="E244" s="28" t="inlineStr">
        <is>
          <t>手若風雨</t>
        </is>
      </c>
      <c r="F244" s="27" t="inlineStr">
        <is>
          <t>我東銀貨</t>
        </is>
      </c>
      <c r="G244" s="26" t="n"/>
      <c r="H244" s="29" t="n"/>
      <c r="I244" s="30" t="n"/>
      <c r="J244" s="30" t="n"/>
      <c r="K244" s="30" t="n"/>
      <c r="L244" s="30" t="n"/>
      <c r="M244" s="31" t="n"/>
      <c r="N244" s="29" t="n"/>
      <c r="O244" s="31" t="n"/>
    </row>
    <row r="245" ht="15" customHeight="1" s="16">
      <c r="A245" s="26" t="n">
        <v>244</v>
      </c>
      <c r="B245" s="26" t="n">
        <v>32</v>
      </c>
      <c r="C245" s="26" t="n">
        <v>83</v>
      </c>
      <c r="D245" s="27" t="inlineStr">
        <is>
          <t>手若風雨</t>
        </is>
      </c>
      <c r="E245" s="32" t="inlineStr">
        <is>
          <t>我東銀貨</t>
        </is>
      </c>
      <c r="F245" s="27" t="inlineStr">
        <is>
          <t>半消此舖</t>
        </is>
      </c>
      <c r="G245" s="26" t="inlineStr">
        <is>
          <t>●</t>
        </is>
      </c>
      <c r="H245" s="29" t="n"/>
      <c r="I245" s="30" t="n"/>
      <c r="J245" s="30" t="n"/>
      <c r="K245" s="30" t="n"/>
      <c r="L245" s="30" t="n"/>
      <c r="M245" s="31" t="n"/>
      <c r="N245" s="29" t="n"/>
      <c r="O245" s="31" t="n"/>
    </row>
    <row r="246" ht="15" customHeight="1" s="16">
      <c r="A246" s="26" t="n">
        <v>245</v>
      </c>
      <c r="B246" s="26" t="n">
        <v>32</v>
      </c>
      <c r="C246" s="26" t="n">
        <v>84</v>
      </c>
      <c r="D246" s="27" t="inlineStr">
        <is>
          <t>我東銀貨</t>
        </is>
      </c>
      <c r="E246" s="28" t="inlineStr">
        <is>
          <t>半消此舖</t>
        </is>
      </c>
      <c r="F246" s="27" t="inlineStr">
        <is>
          <t>則舖人各定</t>
        </is>
      </c>
      <c r="G246" s="26" t="n"/>
      <c r="H246" s="29" t="n"/>
      <c r="I246" s="30" t="n"/>
      <c r="J246" s="30" t="n"/>
      <c r="K246" s="30" t="n"/>
      <c r="L246" s="30" t="n"/>
      <c r="M246" s="31" t="n"/>
      <c r="N246" s="29" t="n"/>
      <c r="O246" s="31" t="n"/>
    </row>
    <row r="247" ht="15" customHeight="1" s="16">
      <c r="A247" s="26" t="n">
        <v>246</v>
      </c>
      <c r="B247" s="26" t="n">
        <v>32</v>
      </c>
      <c r="C247" s="26" t="n">
        <v>86</v>
      </c>
      <c r="D247" s="27" t="inlineStr">
        <is>
          <t>則舖人各定</t>
        </is>
      </c>
      <c r="E247" s="28" t="inlineStr">
        <is>
          <t>主顧</t>
        </is>
      </c>
      <c r="F247" s="27" t="inlineStr">
        <is>
          <t>灣商之來</t>
        </is>
      </c>
      <c r="G247" s="26" t="n"/>
      <c r="H247" s="29" t="n"/>
      <c r="I247" s="30" t="n"/>
      <c r="J247" s="30" t="n"/>
      <c r="K247" s="30" t="n"/>
      <c r="L247" s="30" t="n"/>
      <c r="M247" s="31" t="n"/>
      <c r="N247" s="29" t="n"/>
      <c r="O247" s="31" t="n"/>
    </row>
    <row r="248" ht="15" customHeight="1" s="16">
      <c r="A248" s="26" t="n">
        <v>247</v>
      </c>
      <c r="B248" s="26" t="n">
        <v>32</v>
      </c>
      <c r="C248" s="26" t="n">
        <v>87</v>
      </c>
      <c r="D248" s="27" t="inlineStr">
        <is>
          <t>主顧</t>
        </is>
      </c>
      <c r="E248" s="32" t="inlineStr">
        <is>
          <t>灣商之來</t>
        </is>
      </c>
      <c r="F248" s="27" t="inlineStr">
        <is>
          <t>必大治酒食以接云</t>
        </is>
      </c>
      <c r="G248" s="26" t="inlineStr">
        <is>
          <t>●</t>
        </is>
      </c>
      <c r="H248" s="29" t="n"/>
      <c r="I248" s="30" t="n"/>
      <c r="J248" s="30" t="n"/>
      <c r="K248" s="30" t="n"/>
      <c r="L248" s="30" t="n"/>
      <c r="M248" s="31" t="n"/>
      <c r="N248" s="29" t="n"/>
      <c r="O248" s="31" t="n"/>
    </row>
    <row r="249" ht="15" customHeight="1" s="16">
      <c r="A249" s="26" t="n">
        <v>248</v>
      </c>
      <c r="B249" s="26" t="n">
        <v>32</v>
      </c>
      <c r="C249" s="26" t="n">
        <v>88</v>
      </c>
      <c r="D249" s="27" t="inlineStr">
        <is>
          <t>灣商之來</t>
        </is>
      </c>
      <c r="E249" s="28" t="inlineStr">
        <is>
          <t>必大治酒食以接云</t>
        </is>
      </c>
      <c r="F249" s="27" t="inlineStr">
        <is>
          <t>路中有道士三人</t>
        </is>
      </c>
      <c r="G249" s="26" t="n"/>
      <c r="H249" s="29" t="n"/>
      <c r="I249" s="30" t="n"/>
      <c r="J249" s="30" t="n"/>
      <c r="K249" s="30" t="n"/>
      <c r="L249" s="30" t="n"/>
      <c r="M249" s="31" t="n"/>
      <c r="N249" s="29" t="n"/>
      <c r="O249" s="31" t="n"/>
    </row>
    <row r="250" ht="15" customHeight="1" s="16">
      <c r="A250" s="26" t="n">
        <v>249</v>
      </c>
      <c r="B250" s="26" t="n">
        <v>32</v>
      </c>
      <c r="C250" s="26" t="n">
        <v>113</v>
      </c>
      <c r="D250" s="27" t="inlineStr">
        <is>
          <t>一人卷髮披肩</t>
        </is>
      </c>
      <c r="E250" s="28" t="inlineStr">
        <is>
          <t>以金環箍頭</t>
        </is>
      </c>
      <c r="F250" s="27" t="inlineStr">
        <is>
          <t>身披黑貢緞濶袖長衫</t>
        </is>
      </c>
      <c r="G250" s="26" t="n"/>
      <c r="H250" s="29" t="n"/>
      <c r="I250" s="30" t="n"/>
      <c r="J250" s="30" t="n"/>
      <c r="K250" s="30" t="n"/>
      <c r="L250" s="30" t="n"/>
      <c r="M250" s="31" t="n"/>
      <c r="N250" s="29" t="n"/>
      <c r="O250" s="31" t="n"/>
    </row>
    <row r="251" ht="15" customHeight="1" s="16">
      <c r="A251" s="26" t="n">
        <v>250</v>
      </c>
      <c r="B251" s="26" t="n">
        <v>32</v>
      </c>
      <c r="C251" s="26" t="n">
        <v>114</v>
      </c>
      <c r="D251" s="27" t="inlineStr">
        <is>
          <t>以金環箍頭</t>
        </is>
      </c>
      <c r="E251" s="32" t="inlineStr">
        <is>
          <t>身披黑貢緞濶袖長衫</t>
        </is>
      </c>
      <c r="F251" s="27" t="inlineStr">
        <is>
          <t>跣足而行</t>
        </is>
      </c>
      <c r="G251" s="26" t="inlineStr">
        <is>
          <t>●</t>
        </is>
      </c>
      <c r="H251" s="29" t="n"/>
      <c r="I251" s="30" t="n"/>
      <c r="J251" s="30" t="n"/>
      <c r="K251" s="30" t="n"/>
      <c r="L251" s="30" t="n"/>
      <c r="M251" s="31" t="n"/>
      <c r="N251" s="29" t="n"/>
      <c r="O251" s="31" t="n"/>
    </row>
    <row r="252" ht="15" customHeight="1" s="16">
      <c r="A252" s="26" t="n">
        <v>251</v>
      </c>
      <c r="B252" s="26" t="n">
        <v>32</v>
      </c>
      <c r="C252" s="26" t="n">
        <v>115</v>
      </c>
      <c r="D252" s="27" t="inlineStr">
        <is>
          <t>身披黑貢緞濶袖長衫</t>
        </is>
      </c>
      <c r="E252" s="28" t="inlineStr">
        <is>
          <t>跣足而行</t>
        </is>
      </c>
      <c r="F252" s="27" t="inlineStr">
        <is>
          <t>手持紅胡盧</t>
        </is>
      </c>
      <c r="G252" s="26" t="n"/>
      <c r="H252" s="29" t="n"/>
      <c r="I252" s="30" t="n"/>
      <c r="J252" s="30" t="n"/>
      <c r="K252" s="30" t="n"/>
      <c r="L252" s="30" t="n"/>
      <c r="M252" s="31" t="n"/>
      <c r="N252" s="29" t="n"/>
      <c r="O252" s="31" t="n"/>
    </row>
    <row r="253" ht="15" customHeight="1" s="16">
      <c r="A253" s="26" t="n">
        <v>252</v>
      </c>
      <c r="B253" s="26" t="n">
        <v>32</v>
      </c>
      <c r="C253" s="26" t="n">
        <v>136</v>
      </c>
      <c r="D253" s="27" t="inlineStr">
        <is>
          <t>墮水</t>
        </is>
      </c>
      <c r="E253" s="28" t="inlineStr">
        <is>
          <t>幾死驚極</t>
        </is>
      </c>
      <c r="F253" s="27" t="inlineStr">
        <is>
          <t>灣商有溺其銀帒者</t>
        </is>
      </c>
      <c r="G253" s="26" t="n"/>
      <c r="H253" s="29" t="n"/>
      <c r="I253" s="30" t="n"/>
      <c r="J253" s="30" t="n"/>
      <c r="K253" s="30" t="n"/>
      <c r="L253" s="30" t="n"/>
      <c r="M253" s="31" t="n"/>
      <c r="N253" s="29" t="n"/>
      <c r="O253" s="31" t="n"/>
    </row>
    <row r="254" ht="15" customHeight="1" s="16">
      <c r="A254" s="26" t="n">
        <v>253</v>
      </c>
      <c r="B254" s="26" t="n">
        <v>32</v>
      </c>
      <c r="C254" s="26" t="n">
        <v>137</v>
      </c>
      <c r="D254" s="27" t="inlineStr">
        <is>
          <t>幾死驚極</t>
        </is>
      </c>
      <c r="E254" s="32" t="inlineStr">
        <is>
          <t>灣商有溺其銀帒者</t>
        </is>
      </c>
      <c r="F254" s="27" t="inlineStr">
        <is>
          <t>臨河呼母而哭云</t>
        </is>
      </c>
      <c r="G254" s="26" t="inlineStr">
        <is>
          <t>●</t>
        </is>
      </c>
      <c r="H254" s="29" t="n"/>
      <c r="I254" s="30" t="n"/>
      <c r="J254" s="30" t="n"/>
      <c r="K254" s="30" t="n"/>
      <c r="L254" s="30" t="n"/>
      <c r="M254" s="31" t="n"/>
      <c r="N254" s="29" t="n"/>
      <c r="O254" s="31" t="n"/>
    </row>
    <row r="255" ht="15" customHeight="1" s="16">
      <c r="A255" s="26" t="n">
        <v>254</v>
      </c>
      <c r="B255" s="26" t="n">
        <v>32</v>
      </c>
      <c r="C255" s="26" t="n">
        <v>138</v>
      </c>
      <c r="D255" s="27" t="inlineStr">
        <is>
          <t>灣商有溺其銀帒者</t>
        </is>
      </c>
      <c r="E255" s="28" t="inlineStr">
        <is>
          <t>臨河呼母而哭云</t>
        </is>
      </c>
      <c r="F255" s="27" t="inlineStr">
        <is>
          <t>前屯衛市中設場戱</t>
        </is>
      </c>
      <c r="G255" s="26" t="n"/>
      <c r="H255" s="29" t="n"/>
      <c r="I255" s="30" t="n"/>
      <c r="J255" s="30" t="n"/>
      <c r="K255" s="30" t="n"/>
      <c r="L255" s="30" t="n"/>
      <c r="M255" s="31" t="n"/>
      <c r="N255" s="29" t="n"/>
      <c r="O255" s="31" t="n"/>
    </row>
    <row r="256" ht="15" customHeight="1" s="16">
      <c r="A256" s="26" t="n">
        <v>255</v>
      </c>
      <c r="B256" s="26" t="n">
        <v>33</v>
      </c>
      <c r="C256" s="26" t="n">
        <v>55</v>
      </c>
      <c r="D256" s="27" t="inlineStr">
        <is>
          <t>如飄雪舞蝶</t>
        </is>
      </c>
      <c r="E256" s="28" t="inlineStr">
        <is>
          <t>漢女</t>
        </is>
      </c>
      <c r="F256" s="27" t="inlineStr">
        <is>
          <t>無以資生</t>
        </is>
      </c>
      <c r="G256" s="26" t="n"/>
      <c r="H256" s="29" t="n"/>
      <c r="I256" s="30" t="n"/>
      <c r="J256" s="30" t="n"/>
      <c r="K256" s="30" t="n"/>
      <c r="L256" s="30" t="n"/>
      <c r="M256" s="31" t="n"/>
      <c r="N256" s="29" t="n"/>
      <c r="O256" s="31" t="n"/>
    </row>
    <row r="257" ht="15" customHeight="1" s="16">
      <c r="A257" s="26" t="n">
        <v>256</v>
      </c>
      <c r="B257" s="26" t="n">
        <v>33</v>
      </c>
      <c r="C257" s="26" t="n">
        <v>56</v>
      </c>
      <c r="D257" s="27" t="inlineStr">
        <is>
          <t>漢女</t>
        </is>
      </c>
      <c r="E257" s="32" t="inlineStr">
        <is>
          <t>無以資生</t>
        </is>
      </c>
      <c r="F257" s="27" t="inlineStr">
        <is>
          <t>非行乞則類爲此等云</t>
        </is>
      </c>
      <c r="G257" s="26" t="inlineStr">
        <is>
          <t>●</t>
        </is>
      </c>
      <c r="H257" s="29" t="n"/>
      <c r="I257" s="30" t="n"/>
      <c r="J257" s="30" t="n"/>
      <c r="K257" s="30" t="n"/>
      <c r="L257" s="30" t="n"/>
      <c r="M257" s="31" t="n"/>
      <c r="N257" s="29" t="n"/>
      <c r="O257" s="31" t="n"/>
    </row>
    <row r="258" ht="15" customHeight="1" s="16">
      <c r="A258" s="26" t="n">
        <v>257</v>
      </c>
      <c r="B258" s="26" t="n">
        <v>33</v>
      </c>
      <c r="C258" s="26" t="n">
        <v>57</v>
      </c>
      <c r="D258" s="27" t="inlineStr">
        <is>
          <t>無以資生</t>
        </is>
      </c>
      <c r="E258" s="28" t="inlineStr">
        <is>
          <t>非行乞則類爲此等云</t>
        </is>
      </c>
      <c r="F258" s="27" t="inlineStr">
        <is>
          <t>原上擺著一坐軍陣</t>
        </is>
      </c>
      <c r="G258" s="26" t="n"/>
      <c r="H258" s="29" t="n"/>
      <c r="I258" s="30" t="n"/>
      <c r="J258" s="30" t="n"/>
      <c r="K258" s="30" t="n"/>
      <c r="L258" s="30" t="n"/>
      <c r="M258" s="31" t="n"/>
      <c r="N258" s="29" t="n"/>
      <c r="O258" s="31" t="n"/>
    </row>
    <row r="259" ht="15" customHeight="1" s="16">
      <c r="A259" s="26" t="n">
        <v>258</v>
      </c>
      <c r="B259" s="26" t="n">
        <v>39</v>
      </c>
      <c r="C259" s="26" t="n">
        <v>27</v>
      </c>
      <c r="D259" s="27" t="inlineStr">
        <is>
          <t>前臨遼野</t>
        </is>
      </c>
      <c r="E259" s="28" t="inlineStr">
        <is>
          <t>右挾滄海</t>
        </is>
      </c>
      <c r="F259" s="27" t="inlineStr">
        <is>
          <t>禹貢所稱挾右碣石</t>
        </is>
      </c>
      <c r="G259" s="26" t="n"/>
      <c r="H259" s="29" t="n"/>
      <c r="I259" s="30" t="n"/>
      <c r="J259" s="30" t="n"/>
      <c r="K259" s="30" t="n"/>
      <c r="L259" s="30" t="n"/>
      <c r="M259" s="31" t="n"/>
      <c r="N259" s="29" t="n"/>
      <c r="O259" s="31" t="n"/>
    </row>
    <row r="260" ht="15" customHeight="1" s="16">
      <c r="A260" s="26" t="n">
        <v>259</v>
      </c>
      <c r="B260" s="26" t="n">
        <v>39</v>
      </c>
      <c r="C260" s="26" t="n">
        <v>28</v>
      </c>
      <c r="D260" s="27" t="inlineStr">
        <is>
          <t>右挾滄海</t>
        </is>
      </c>
      <c r="E260" s="32" t="inlineStr">
        <is>
          <t>禹貢所稱挾右碣石</t>
        </is>
      </c>
      <c r="F260" s="27" t="inlineStr">
        <is>
          <t>是也</t>
        </is>
      </c>
      <c r="G260" s="26" t="inlineStr">
        <is>
          <t>●</t>
        </is>
      </c>
      <c r="H260" s="29" t="n"/>
      <c r="I260" s="30" t="n"/>
      <c r="J260" s="30" t="n"/>
      <c r="K260" s="30" t="n"/>
      <c r="L260" s="30" t="n"/>
      <c r="M260" s="31" t="n"/>
      <c r="N260" s="29" t="n"/>
      <c r="O260" s="31" t="n"/>
    </row>
    <row r="261" ht="15" customHeight="1" s="16">
      <c r="A261" s="26" t="n">
        <v>260</v>
      </c>
      <c r="B261" s="26" t="n">
        <v>39</v>
      </c>
      <c r="C261" s="26" t="n">
        <v>29</v>
      </c>
      <c r="D261" s="27" t="inlineStr">
        <is>
          <t>禹貢所稱挾右碣石</t>
        </is>
      </c>
      <c r="E261" s="28" t="inlineStr">
        <is>
          <t>是也</t>
        </is>
      </c>
      <c r="F261" s="27" t="inlineStr">
        <is>
          <t>長城從醫巫閭山</t>
        </is>
      </c>
      <c r="G261" s="26" t="n"/>
      <c r="H261" s="29" t="n"/>
      <c r="I261" s="30" t="n"/>
      <c r="J261" s="30" t="n"/>
      <c r="K261" s="30" t="n"/>
      <c r="L261" s="30" t="n"/>
      <c r="M261" s="31" t="n"/>
      <c r="N261" s="29" t="n"/>
      <c r="O261" s="31" t="n"/>
    </row>
    <row r="262" ht="15" customHeight="1" s="16">
      <c r="A262" s="26" t="n">
        <v>261</v>
      </c>
      <c r="B262" s="26" t="n">
        <v>39</v>
      </c>
      <c r="C262" s="26" t="n">
        <v>56</v>
      </c>
      <c r="D262" s="27" t="inlineStr">
        <is>
          <t>文武成班</t>
        </is>
      </c>
      <c r="E262" s="28" t="inlineStr">
        <is>
          <t>如入瀋陽時</t>
        </is>
      </c>
      <c r="F262" s="27" t="inlineStr">
        <is>
          <t>稅官及守備</t>
        </is>
      </c>
      <c r="G262" s="26" t="n"/>
      <c r="H262" s="29" t="n"/>
      <c r="I262" s="30" t="n"/>
      <c r="J262" s="30" t="n"/>
      <c r="K262" s="30" t="n"/>
      <c r="L262" s="30" t="n"/>
      <c r="M262" s="31" t="n"/>
      <c r="N262" s="29" t="n"/>
      <c r="O262" s="31" t="n"/>
    </row>
    <row r="263" ht="15" customHeight="1" s="16">
      <c r="A263" s="26" t="n">
        <v>262</v>
      </c>
      <c r="B263" s="26" t="n">
        <v>39</v>
      </c>
      <c r="C263" s="26" t="n">
        <v>57</v>
      </c>
      <c r="D263" s="27" t="inlineStr">
        <is>
          <t>如入瀋陽時</t>
        </is>
      </c>
      <c r="E263" s="32" t="inlineStr">
        <is>
          <t>稅官及守備</t>
        </is>
      </c>
      <c r="F263" s="27" t="inlineStr">
        <is>
          <t>坐關內翼廊</t>
        </is>
      </c>
      <c r="G263" s="26" t="inlineStr">
        <is>
          <t>●</t>
        </is>
      </c>
      <c r="H263" s="29" t="n"/>
      <c r="I263" s="30" t="n"/>
      <c r="J263" s="30" t="n"/>
      <c r="K263" s="30" t="n"/>
      <c r="L263" s="30" t="n"/>
      <c r="M263" s="31" t="n"/>
      <c r="N263" s="29" t="n"/>
      <c r="O263" s="31" t="n"/>
    </row>
    <row r="264" ht="15" customHeight="1" s="16">
      <c r="A264" s="26" t="n">
        <v>263</v>
      </c>
      <c r="B264" s="26" t="n">
        <v>39</v>
      </c>
      <c r="C264" s="26" t="n">
        <v>58</v>
      </c>
      <c r="D264" s="27" t="inlineStr">
        <is>
          <t>稅官及守備</t>
        </is>
      </c>
      <c r="E264" s="28" t="inlineStr">
        <is>
          <t>坐關內翼廊</t>
        </is>
      </c>
      <c r="F264" s="27" t="inlineStr">
        <is>
          <t>點閱人馬</t>
        </is>
      </c>
      <c r="G264" s="26" t="n"/>
      <c r="H264" s="29" t="n"/>
      <c r="I264" s="30" t="n"/>
      <c r="J264" s="30" t="n"/>
      <c r="K264" s="30" t="n"/>
      <c r="L264" s="30" t="n"/>
      <c r="M264" s="31" t="n"/>
      <c r="N264" s="29" t="n"/>
      <c r="O264" s="31" t="n"/>
    </row>
    <row r="265" ht="15" customHeight="1" s="16">
      <c r="A265" s="26" t="n">
        <v>264</v>
      </c>
      <c r="B265" s="26" t="n">
        <v>39</v>
      </c>
      <c r="C265" s="26" t="n">
        <v>60</v>
      </c>
      <c r="D265" s="27" t="inlineStr">
        <is>
          <t>點閱人馬</t>
        </is>
      </c>
      <c r="E265" s="28" t="inlineStr">
        <is>
          <t>照準鳳城淸單</t>
        </is>
      </c>
      <c r="F265" s="27" t="inlineStr">
        <is>
          <t>大凡中國商旅</t>
        </is>
      </c>
      <c r="G265" s="26" t="n"/>
      <c r="H265" s="29" t="n"/>
      <c r="I265" s="30" t="n"/>
      <c r="J265" s="30" t="n"/>
      <c r="K265" s="30" t="n"/>
      <c r="L265" s="30" t="n"/>
      <c r="M265" s="31" t="n"/>
      <c r="N265" s="29" t="n"/>
      <c r="O265" s="31" t="n"/>
    </row>
    <row r="266" ht="29.85" customHeight="1" s="16">
      <c r="A266" s="26" t="n">
        <v>265</v>
      </c>
      <c r="B266" s="26" t="n">
        <v>39</v>
      </c>
      <c r="C266" s="26" t="n">
        <v>61</v>
      </c>
      <c r="D266" s="27" t="inlineStr">
        <is>
          <t>照準鳳城淸單</t>
        </is>
      </c>
      <c r="E266" s="32" t="inlineStr">
        <is>
          <t>大凡中國商旅</t>
        </is>
      </c>
      <c r="F266" s="27" t="inlineStr">
        <is>
          <t>亦皆簿錄姓名居住物貨名數</t>
        </is>
      </c>
      <c r="G266" s="26" t="inlineStr">
        <is>
          <t>●</t>
        </is>
      </c>
      <c r="H266" s="29" t="n"/>
      <c r="I266" s="30" t="n"/>
      <c r="J266" s="30" t="n"/>
      <c r="K266" s="30" t="n"/>
      <c r="L266" s="30" t="n"/>
      <c r="M266" s="31" t="n"/>
      <c r="N266" s="29" t="n"/>
      <c r="O266" s="31" t="n"/>
    </row>
    <row r="267" ht="15" customHeight="1" s="16">
      <c r="A267" s="26" t="n">
        <v>266</v>
      </c>
      <c r="B267" s="26" t="n">
        <v>39</v>
      </c>
      <c r="C267" s="26" t="n">
        <v>62</v>
      </c>
      <c r="D267" s="27" t="inlineStr">
        <is>
          <t>大凡中國商旅</t>
        </is>
      </c>
      <c r="E267" s="32" t="inlineStr">
        <is>
          <t>亦皆簿錄姓名居住物貨名數</t>
        </is>
      </c>
      <c r="F267" s="27" t="inlineStr">
        <is>
          <t>詰姦防僞</t>
        </is>
      </c>
      <c r="G267" s="26" t="inlineStr">
        <is>
          <t>●</t>
        </is>
      </c>
      <c r="H267" s="29" t="n"/>
      <c r="I267" s="30" t="n"/>
      <c r="J267" s="30" t="n"/>
      <c r="K267" s="30" t="n"/>
      <c r="L267" s="30" t="n"/>
      <c r="M267" s="31" t="n"/>
      <c r="N267" s="29" t="n"/>
      <c r="O267" s="31" t="n"/>
    </row>
    <row r="268" ht="29.85" customHeight="1" s="16">
      <c r="A268" s="26" t="n">
        <v>267</v>
      </c>
      <c r="B268" s="26" t="n">
        <v>39</v>
      </c>
      <c r="C268" s="26" t="n">
        <v>63</v>
      </c>
      <c r="D268" s="27" t="inlineStr">
        <is>
          <t>亦皆簿錄姓名居住物貨名數</t>
        </is>
      </c>
      <c r="E268" s="28" t="inlineStr">
        <is>
          <t>詰姦防僞</t>
        </is>
      </c>
      <c r="F268" s="27" t="inlineStr">
        <is>
          <t>極爲</t>
        </is>
      </c>
      <c r="G268" s="26" t="n"/>
      <c r="H268" s="29" t="n"/>
      <c r="I268" s="30" t="n"/>
      <c r="J268" s="30" t="n"/>
      <c r="K268" s="30" t="n"/>
      <c r="L268" s="30" t="n"/>
      <c r="M268" s="31" t="n"/>
      <c r="N268" s="29" t="n"/>
      <c r="O268" s="31" t="n"/>
    </row>
    <row r="269" ht="15" customHeight="1" s="16">
      <c r="A269" s="26" t="n">
        <v>268</v>
      </c>
      <c r="B269" s="26" t="n">
        <v>39</v>
      </c>
      <c r="C269" s="26" t="n">
        <v>82</v>
      </c>
      <c r="D269" s="27" t="inlineStr">
        <is>
          <t>車馬最盛</t>
        </is>
      </c>
      <c r="E269" s="28" t="inlineStr">
        <is>
          <t>士女尤爲都冶</t>
        </is>
      </c>
      <c r="F269" s="27" t="inlineStr">
        <is>
          <t>其繁華富麗</t>
        </is>
      </c>
      <c r="G269" s="26" t="n"/>
      <c r="H269" s="29" t="n"/>
      <c r="I269" s="30" t="n"/>
      <c r="J269" s="30" t="n"/>
      <c r="K269" s="30" t="n"/>
      <c r="L269" s="30" t="n"/>
      <c r="M269" s="31" t="n"/>
      <c r="N269" s="29" t="n"/>
      <c r="O269" s="31" t="n"/>
    </row>
    <row r="270" ht="15" customHeight="1" s="16">
      <c r="A270" s="26" t="n">
        <v>269</v>
      </c>
      <c r="B270" s="26" t="n">
        <v>39</v>
      </c>
      <c r="C270" s="26" t="n">
        <v>83</v>
      </c>
      <c r="D270" s="27" t="inlineStr">
        <is>
          <t>士女尤爲都冶</t>
        </is>
      </c>
      <c r="E270" s="32" t="inlineStr">
        <is>
          <t>其繁華富麗</t>
        </is>
      </c>
      <c r="F270" s="27" t="inlineStr">
        <is>
          <t>沿道莫比</t>
        </is>
      </c>
      <c r="G270" s="26" t="inlineStr">
        <is>
          <t>●</t>
        </is>
      </c>
      <c r="H270" s="29" t="n"/>
      <c r="I270" s="30" t="n"/>
      <c r="J270" s="30" t="n"/>
      <c r="K270" s="30" t="n"/>
      <c r="L270" s="30" t="n"/>
      <c r="M270" s="31" t="n"/>
      <c r="N270" s="29" t="n"/>
      <c r="O270" s="31" t="n"/>
    </row>
    <row r="271" ht="15" customHeight="1" s="16">
      <c r="A271" s="26" t="n">
        <v>270</v>
      </c>
      <c r="B271" s="26" t="n">
        <v>39</v>
      </c>
      <c r="C271" s="26" t="n">
        <v>84</v>
      </c>
      <c r="D271" s="27" t="inlineStr">
        <is>
          <t>其繁華富麗</t>
        </is>
      </c>
      <c r="E271" s="28" t="inlineStr">
        <is>
          <t>沿道莫比</t>
        </is>
      </c>
      <c r="F271" s="27" t="inlineStr">
        <is>
          <t>蓋此爲天下雄關</t>
        </is>
      </c>
      <c r="G271" s="26" t="n"/>
      <c r="H271" s="29" t="n"/>
      <c r="I271" s="30" t="n"/>
      <c r="J271" s="30" t="n"/>
      <c r="K271" s="30" t="n"/>
      <c r="L271" s="30" t="n"/>
      <c r="M271" s="31" t="n"/>
      <c r="N271" s="29" t="n"/>
      <c r="O271" s="31" t="n"/>
    </row>
    <row r="272" ht="29.85" customHeight="1" s="16">
      <c r="A272" s="26" t="n">
        <v>271</v>
      </c>
      <c r="B272" s="26" t="n">
        <v>39</v>
      </c>
      <c r="C272" s="26" t="n">
        <v>103</v>
      </c>
      <c r="D272" s="27" t="inlineStr">
        <is>
          <t>而吳三桂開關迎入之不暇也</t>
        </is>
      </c>
      <c r="E272" s="28" t="inlineStr">
        <is>
          <t>當天下無事之日</t>
        </is>
      </c>
      <c r="F272" s="27" t="inlineStr">
        <is>
          <t>徒爲商旅之譏征</t>
        </is>
      </c>
      <c r="G272" s="26" t="n"/>
      <c r="H272" s="29" t="n"/>
      <c r="I272" s="30" t="n"/>
      <c r="J272" s="30" t="n"/>
      <c r="K272" s="30" t="n"/>
      <c r="L272" s="30" t="n"/>
      <c r="M272" s="31" t="n"/>
      <c r="N272" s="29" t="n"/>
      <c r="O272" s="31" t="n"/>
    </row>
    <row r="273" ht="15" customHeight="1" s="16">
      <c r="A273" s="26" t="n">
        <v>272</v>
      </c>
      <c r="B273" s="26" t="n">
        <v>39</v>
      </c>
      <c r="C273" s="26" t="n">
        <v>104</v>
      </c>
      <c r="D273" s="27" t="inlineStr">
        <is>
          <t>當天下無事之日</t>
        </is>
      </c>
      <c r="E273" s="32" t="inlineStr">
        <is>
          <t>徒爲商旅之譏征</t>
        </is>
      </c>
      <c r="F273" s="27" t="inlineStr">
        <is>
          <t>則吾於關亦奚足云</t>
        </is>
      </c>
      <c r="G273" s="26" t="inlineStr">
        <is>
          <t>●</t>
        </is>
      </c>
      <c r="H273" s="29" t="n"/>
      <c r="I273" s="30" t="n"/>
      <c r="J273" s="30" t="n"/>
      <c r="K273" s="30" t="n"/>
      <c r="L273" s="30" t="n"/>
      <c r="M273" s="31" t="n"/>
      <c r="N273" s="29" t="n"/>
      <c r="O273" s="31" t="n"/>
    </row>
    <row r="274" ht="15" customHeight="1" s="16">
      <c r="A274" s="26" t="n">
        <v>273</v>
      </c>
      <c r="B274" s="26" t="n">
        <v>39</v>
      </c>
      <c r="C274" s="26" t="n">
        <v>105</v>
      </c>
      <c r="D274" s="27" t="inlineStr">
        <is>
          <t>徒爲商旅之譏征</t>
        </is>
      </c>
      <c r="E274" s="28" t="inlineStr">
        <is>
          <t>則吾於關亦奚足云</t>
        </is>
      </c>
      <c r="F274" s="27" t="n"/>
      <c r="G274" s="26" t="n"/>
      <c r="H274" s="29" t="n"/>
      <c r="I274" s="30" t="n"/>
      <c r="J274" s="30" t="n"/>
      <c r="K274" s="30" t="n"/>
      <c r="L274" s="30" t="n"/>
      <c r="M274" s="31" t="n"/>
      <c r="N274" s="29" t="n"/>
      <c r="O274" s="31" t="n"/>
    </row>
  </sheetData>
  <dataValidations count="4">
    <dataValidation sqref="H2:H274" showDropDown="0" showInputMessage="0" showErrorMessage="0" allowBlank="1" type="list" errorStyle="stop" operator="between">
      <formula1>"Y,N"</formula1>
      <formula2>0</formula2>
    </dataValidation>
    <dataValidation sqref="I2:I274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274" showDropDown="0" showInputMessage="0" showErrorMessage="0" allowBlank="1" type="list" errorStyle="stop" operator="between">
      <formula1>"높음,보통,낮음"</formula1>
      <formula2>0</formula2>
    </dataValidation>
    <dataValidation sqref="J2:J274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4</v>
      </c>
      <c r="C2" s="26" t="n">
        <v>114</v>
      </c>
      <c r="D2" s="27" t="inlineStr">
        <is>
          <t>渭謂高麗紙</t>
        </is>
      </c>
      <c r="E2" s="28" t="inlineStr">
        <is>
          <t>不宜畵</t>
        </is>
      </c>
      <c r="F2" s="27" t="inlineStr">
        <is>
          <t>惟錢厚者稍佳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4</v>
      </c>
      <c r="C3" s="26" t="n">
        <v>115</v>
      </c>
      <c r="D3" s="27" t="inlineStr">
        <is>
          <t>不宜畵</t>
        </is>
      </c>
      <c r="E3" s="32" t="inlineStr">
        <is>
          <t>惟錢厚者稍佳</t>
        </is>
      </c>
      <c r="F3" s="27" t="inlineStr">
        <is>
          <t>其不見可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4</v>
      </c>
      <c r="C4" s="26" t="n">
        <v>116</v>
      </c>
      <c r="D4" s="27" t="inlineStr">
        <is>
          <t>惟錢厚者稍佳</t>
        </is>
      </c>
      <c r="E4" s="28" t="inlineStr">
        <is>
          <t>其不見可</t>
        </is>
      </c>
      <c r="F4" s="27" t="inlineStr">
        <is>
          <t>如此</t>
        </is>
      </c>
      <c r="G4" s="26" t="n"/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4</v>
      </c>
      <c r="C5" s="26" t="n">
        <v>208</v>
      </c>
      <c r="D5" s="27" t="inlineStr">
        <is>
          <t>余進至池邊</t>
        </is>
      </c>
      <c r="E5" s="28" t="inlineStr">
        <is>
          <t>暫倚欄干而立</t>
        </is>
      </c>
      <c r="F5" s="27" t="inlineStr">
        <is>
          <t>堂中寂然屛息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15" customHeight="1" s="16">
      <c r="A6" s="26" t="n">
        <v>5</v>
      </c>
      <c r="B6" s="26" t="n">
        <v>4</v>
      </c>
      <c r="C6" s="26" t="n">
        <v>209</v>
      </c>
      <c r="D6" s="27" t="inlineStr">
        <is>
          <t>暫倚欄干而立</t>
        </is>
      </c>
      <c r="E6" s="32" t="inlineStr">
        <is>
          <t>堂中寂然屛息</t>
        </is>
      </c>
      <c r="F6" s="27" t="inlineStr">
        <is>
          <t>隱暎從簾隙偸看</t>
        </is>
      </c>
      <c r="G6" s="26" t="inlineStr">
        <is>
          <t>●</t>
        </is>
      </c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4</v>
      </c>
      <c r="C7" s="26" t="n">
        <v>210</v>
      </c>
      <c r="D7" s="27" t="inlineStr">
        <is>
          <t>堂中寂然屛息</t>
        </is>
      </c>
      <c r="E7" s="28" t="inlineStr">
        <is>
          <t>隱暎從簾隙偸看</t>
        </is>
      </c>
      <c r="F7" s="27" t="inlineStr">
        <is>
          <t>余徘徊</t>
        </is>
      </c>
      <c r="G7" s="26" t="n"/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4</v>
      </c>
      <c r="C8" s="26" t="n">
        <v>314</v>
      </c>
      <c r="D8" s="27" t="inlineStr">
        <is>
          <t>至昌黎諸濱海之縣</t>
        </is>
      </c>
      <c r="E8" s="28" t="inlineStr">
        <is>
          <t>山氣尤佳</t>
        </is>
      </c>
      <c r="F8" s="27" t="inlineStr">
        <is>
          <t>禹貢碣石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4</v>
      </c>
      <c r="C9" s="26" t="n">
        <v>315</v>
      </c>
      <c r="D9" s="27" t="inlineStr">
        <is>
          <t>山氣尤佳</t>
        </is>
      </c>
      <c r="E9" s="32" t="inlineStr">
        <is>
          <t>禹貢碣石</t>
        </is>
      </c>
      <c r="F9" s="27" t="inlineStr">
        <is>
          <t>近在縣西二十里</t>
        </is>
      </c>
      <c r="G9" s="26" t="inlineStr">
        <is>
          <t>●</t>
        </is>
      </c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4</v>
      </c>
      <c r="C10" s="26" t="n">
        <v>316</v>
      </c>
      <c r="D10" s="27" t="inlineStr">
        <is>
          <t>禹貢碣石</t>
        </is>
      </c>
      <c r="E10" s="28" t="inlineStr">
        <is>
          <t>近在縣西二十里</t>
        </is>
      </c>
      <c r="F10" s="27" t="inlineStr">
        <is>
          <t>曹操詩</t>
        </is>
      </c>
      <c r="G10" s="26" t="n"/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4</v>
      </c>
      <c r="C11" s="26" t="n">
        <v>353</v>
      </c>
      <c r="D11" s="27" t="inlineStr">
        <is>
          <t>抱城逶迤</t>
        </is>
      </c>
      <c r="E11" s="28" t="inlineStr">
        <is>
          <t>地形甚似平壤</t>
        </is>
      </c>
      <c r="F11" s="27" t="inlineStr">
        <is>
          <t>而昭曠倍之</t>
        </is>
      </c>
      <c r="G11" s="26" t="n"/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15" customHeight="1" s="16">
      <c r="A12" s="26" t="n">
        <v>11</v>
      </c>
      <c r="B12" s="26" t="n">
        <v>4</v>
      </c>
      <c r="C12" s="26" t="n">
        <v>354</v>
      </c>
      <c r="D12" s="27" t="inlineStr">
        <is>
          <t>地形甚似平壤</t>
        </is>
      </c>
      <c r="E12" s="32" t="inlineStr">
        <is>
          <t>而昭曠倍之</t>
        </is>
      </c>
      <c r="F12" s="27" t="inlineStr">
        <is>
          <t>而但無大同淸江耳</t>
        </is>
      </c>
      <c r="G12" s="26" t="inlineStr">
        <is>
          <t>●</t>
        </is>
      </c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4</v>
      </c>
      <c r="C13" s="26" t="n">
        <v>355</v>
      </c>
      <c r="D13" s="27" t="inlineStr">
        <is>
          <t>而昭曠倍之</t>
        </is>
      </c>
      <c r="E13" s="28" t="inlineStr">
        <is>
          <t>而但無大同淸江耳</t>
        </is>
      </c>
      <c r="F13" s="27" t="inlineStr">
        <is>
          <t>世傳金學士黃元登浮</t>
        </is>
      </c>
      <c r="G13" s="26" t="n"/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4</v>
      </c>
      <c r="C14" s="26" t="n">
        <v>389</v>
      </c>
      <c r="D14" s="27" t="inlineStr">
        <is>
          <t>輔之地</t>
        </is>
      </c>
      <c r="E14" s="28" t="inlineStr">
        <is>
          <t>廬舍市舖</t>
        </is>
      </c>
      <c r="F14" s="27" t="inlineStr">
        <is>
          <t>繁富倍他</t>
        </is>
      </c>
      <c r="G14" s="26" t="n"/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4</v>
      </c>
      <c r="C15" s="26" t="n">
        <v>390</v>
      </c>
      <c r="D15" s="27" t="inlineStr">
        <is>
          <t>廬舍市舖</t>
        </is>
      </c>
      <c r="E15" s="32" t="inlineStr">
        <is>
          <t>繁富倍他</t>
        </is>
      </c>
      <c r="F15" s="27" t="inlineStr">
        <is>
          <t>進士牌額</t>
        </is>
      </c>
      <c r="G15" s="26" t="inlineStr">
        <is>
          <t>●</t>
        </is>
      </c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15" customHeight="1" s="16">
      <c r="A16" s="26" t="n">
        <v>15</v>
      </c>
      <c r="B16" s="26" t="n">
        <v>4</v>
      </c>
      <c r="C16" s="26" t="n">
        <v>391</v>
      </c>
      <c r="D16" s="27" t="inlineStr">
        <is>
          <t>繁富倍他</t>
        </is>
      </c>
      <c r="E16" s="28" t="inlineStr">
        <is>
          <t>進士牌額</t>
        </is>
      </c>
      <c r="F16" s="27" t="inlineStr">
        <is>
          <t>比撫寧尤盛</t>
        </is>
      </c>
      <c r="G16" s="26" t="n"/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15" customHeight="1" s="16">
      <c r="A17" s="26" t="n">
        <v>16</v>
      </c>
      <c r="B17" s="26" t="n">
        <v>4</v>
      </c>
      <c r="C17" s="26" t="n">
        <v>397</v>
      </c>
      <c r="D17" s="27" t="inlineStr">
        <is>
          <t>偶入一宅</t>
        </is>
      </c>
      <c r="E17" s="28" t="inlineStr">
        <is>
          <t>方張燈</t>
        </is>
      </c>
      <c r="F17" s="27" t="inlineStr">
        <is>
          <t>刻高麗進貢圖</t>
        </is>
      </c>
      <c r="G17" s="26" t="n"/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15" customHeight="1" s="16">
      <c r="A18" s="26" t="n">
        <v>17</v>
      </c>
      <c r="B18" s="26" t="n">
        <v>4</v>
      </c>
      <c r="C18" s="26" t="n">
        <v>398</v>
      </c>
      <c r="D18" s="27" t="inlineStr">
        <is>
          <t>方張燈</t>
        </is>
      </c>
      <c r="E18" s="32" t="inlineStr">
        <is>
          <t>刻高麗進貢圖</t>
        </is>
      </c>
      <c r="F18" s="27" t="inlineStr">
        <is>
          <t>沿路店壁</t>
        </is>
      </c>
      <c r="G18" s="26" t="inlineStr">
        <is>
          <t>●</t>
        </is>
      </c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4</v>
      </c>
      <c r="C19" s="26" t="n">
        <v>399</v>
      </c>
      <c r="D19" s="27" t="inlineStr">
        <is>
          <t>刻高麗進貢圖</t>
        </is>
      </c>
      <c r="E19" s="28" t="inlineStr">
        <is>
          <t>沿路店壁</t>
        </is>
      </c>
      <c r="F19" s="27" t="inlineStr">
        <is>
          <t>多貼此畵</t>
        </is>
      </c>
      <c r="G19" s="26" t="n"/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15" customHeight="1" s="16">
      <c r="A20" s="26" t="n">
        <v>19</v>
      </c>
      <c r="B20" s="26" t="n">
        <v>4</v>
      </c>
      <c r="C20" s="26" t="n">
        <v>435</v>
      </c>
      <c r="D20" s="27" t="inlineStr">
        <is>
          <t>墨鱗成堆</t>
        </is>
      </c>
      <c r="E20" s="28" t="inlineStr">
        <is>
          <t>破敗荒陋</t>
        </is>
      </c>
      <c r="F20" s="27" t="inlineStr">
        <is>
          <t>不直一錢</t>
        </is>
      </c>
      <c r="G20" s="26" t="n"/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15" customHeight="1" s="16">
      <c r="A21" s="26" t="n">
        <v>20</v>
      </c>
      <c r="B21" s="26" t="n">
        <v>4</v>
      </c>
      <c r="C21" s="26" t="n">
        <v>436</v>
      </c>
      <c r="D21" s="27" t="inlineStr">
        <is>
          <t>破敗荒陋</t>
        </is>
      </c>
      <c r="E21" s="32" t="inlineStr">
        <is>
          <t>不直一錢</t>
        </is>
      </c>
      <c r="F21" s="27" t="inlineStr">
        <is>
          <t>第觀胡生擧措</t>
        </is>
      </c>
      <c r="G21" s="26" t="inlineStr">
        <is>
          <t>●</t>
        </is>
      </c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15" customHeight="1" s="16">
      <c r="A22" s="26" t="n">
        <v>21</v>
      </c>
      <c r="B22" s="26" t="n">
        <v>4</v>
      </c>
      <c r="C22" s="26" t="n">
        <v>437</v>
      </c>
      <c r="D22" s="27" t="inlineStr">
        <is>
          <t>不直一錢</t>
        </is>
      </c>
      <c r="E22" s="28" t="inlineStr">
        <is>
          <t>第觀胡生擧措</t>
        </is>
      </c>
      <c r="F22" s="27" t="inlineStr">
        <is>
          <t>眞若絶世奇寶</t>
        </is>
      </c>
      <c r="G22" s="26" t="n"/>
      <c r="H22" s="29" t="n"/>
      <c r="I22" s="30" t="n"/>
      <c r="J22" s="30" t="n"/>
      <c r="K22" s="30" t="n"/>
      <c r="L22" s="30" t="n"/>
      <c r="M22" s="31" t="n"/>
      <c r="N22" s="29" t="n"/>
      <c r="O22" s="31" t="n"/>
    </row>
    <row r="23" ht="15" customHeight="1" s="16">
      <c r="A23" s="26" t="n">
        <v>22</v>
      </c>
      <c r="B23" s="26" t="n">
        <v>4</v>
      </c>
      <c r="C23" s="26" t="n">
        <v>457</v>
      </c>
      <c r="D23" s="27" t="inlineStr">
        <is>
          <t>曰</t>
        </is>
      </c>
      <c r="E23" s="28" t="inlineStr">
        <is>
          <t>晡刻貴國金相公</t>
        </is>
      </c>
      <c r="F23" s="27" t="inlineStr">
        <is>
          <t>來弊舖賣此</t>
        </is>
      </c>
      <c r="G23" s="26" t="n"/>
      <c r="H23" s="29" t="n"/>
      <c r="I23" s="30" t="n"/>
      <c r="J23" s="30" t="n"/>
      <c r="K23" s="30" t="n"/>
      <c r="L23" s="30" t="n"/>
      <c r="M23" s="31" t="n"/>
      <c r="N23" s="29" t="n"/>
      <c r="O23" s="31" t="n"/>
    </row>
    <row r="24" ht="15" customHeight="1" s="16">
      <c r="A24" s="26" t="n">
        <v>23</v>
      </c>
      <c r="B24" s="26" t="n">
        <v>4</v>
      </c>
      <c r="C24" s="26" t="n">
        <v>458</v>
      </c>
      <c r="D24" s="27" t="inlineStr">
        <is>
          <t>晡刻貴國金相公</t>
        </is>
      </c>
      <c r="E24" s="32" t="inlineStr">
        <is>
          <t>來弊舖賣此</t>
        </is>
      </c>
      <c r="F24" s="27" t="inlineStr">
        <is>
          <t>金相公老實人</t>
        </is>
      </c>
      <c r="G24" s="26" t="inlineStr">
        <is>
          <t>●</t>
        </is>
      </c>
      <c r="H24" s="29" t="n"/>
      <c r="I24" s="30" t="n"/>
      <c r="J24" s="30" t="n"/>
      <c r="K24" s="30" t="n"/>
      <c r="L24" s="30" t="n"/>
      <c r="M24" s="31" t="n"/>
      <c r="N24" s="29" t="n"/>
      <c r="O24" s="31" t="n"/>
    </row>
    <row r="25" ht="15" customHeight="1" s="16">
      <c r="A25" s="26" t="n">
        <v>24</v>
      </c>
      <c r="B25" s="26" t="n">
        <v>4</v>
      </c>
      <c r="C25" s="26" t="n">
        <v>459</v>
      </c>
      <c r="D25" s="27" t="inlineStr">
        <is>
          <t>來弊舖賣此</t>
        </is>
      </c>
      <c r="E25" s="28" t="inlineStr">
        <is>
          <t>金相公老實人</t>
        </is>
      </c>
      <c r="F25" s="27" t="inlineStr">
        <is>
          <t>與俺情同嫡親兄弟</t>
        </is>
      </c>
      <c r="G25" s="26" t="n"/>
      <c r="H25" s="29" t="n"/>
      <c r="I25" s="30" t="n"/>
      <c r="J25" s="30" t="n"/>
      <c r="K25" s="30" t="n"/>
      <c r="L25" s="30" t="n"/>
      <c r="M25" s="31" t="n"/>
      <c r="N25" s="29" t="n"/>
      <c r="O25" s="31" t="n"/>
    </row>
    <row r="26" ht="15" customHeight="1" s="16">
      <c r="A26" s="26" t="n">
        <v>25</v>
      </c>
      <c r="B26" s="26" t="n">
        <v>4</v>
      </c>
      <c r="C26" s="26" t="n">
        <v>460</v>
      </c>
      <c r="D26" s="27" t="inlineStr">
        <is>
          <t>金相公老實人</t>
        </is>
      </c>
      <c r="E26" s="28" t="inlineStr">
        <is>
          <t>與俺情同嫡親兄弟</t>
        </is>
      </c>
      <c r="F26" s="27" t="inlineStr">
        <is>
          <t>俺以三兩五分紋銀收買</t>
        </is>
      </c>
      <c r="G26" s="26" t="n"/>
      <c r="H26" s="29" t="n"/>
      <c r="I26" s="30" t="n"/>
      <c r="J26" s="30" t="n"/>
      <c r="K26" s="30" t="n"/>
      <c r="L26" s="30" t="n"/>
      <c r="M26" s="31" t="n"/>
      <c r="N26" s="29" t="n"/>
      <c r="O26" s="31" t="n"/>
    </row>
    <row r="27" ht="15" customHeight="1" s="16">
      <c r="A27" s="26" t="n">
        <v>26</v>
      </c>
      <c r="B27" s="26" t="n">
        <v>4</v>
      </c>
      <c r="C27" s="26" t="n">
        <v>461</v>
      </c>
      <c r="D27" s="27" t="inlineStr">
        <is>
          <t>與俺情同嫡親兄弟</t>
        </is>
      </c>
      <c r="E27" s="32" t="inlineStr">
        <is>
          <t>俺以三兩五分紋銀收買</t>
        </is>
      </c>
      <c r="F27" s="27" t="inlineStr">
        <is>
          <t>改裝時直不下七兩</t>
        </is>
      </c>
      <c r="G27" s="26" t="inlineStr">
        <is>
          <t>●</t>
        </is>
      </c>
      <c r="H27" s="29" t="n"/>
      <c r="I27" s="30" t="n"/>
      <c r="J27" s="30" t="n"/>
      <c r="K27" s="30" t="n"/>
      <c r="L27" s="30" t="n"/>
      <c r="M27" s="31" t="n"/>
      <c r="N27" s="29" t="n"/>
      <c r="O27" s="31" t="n"/>
    </row>
    <row r="28" ht="15" customHeight="1" s="16">
      <c r="A28" s="26" t="n">
        <v>27</v>
      </c>
      <c r="B28" s="26" t="n">
        <v>4</v>
      </c>
      <c r="C28" s="26" t="n">
        <v>462</v>
      </c>
      <c r="D28" s="27" t="inlineStr">
        <is>
          <t>俺以三兩五分紋銀收買</t>
        </is>
      </c>
      <c r="E28" s="28" t="inlineStr">
        <is>
          <t>改裝時直不下七兩</t>
        </is>
      </c>
      <c r="F28" s="27" t="inlineStr">
        <is>
          <t>但無畵</t>
        </is>
      </c>
      <c r="G28" s="26" t="n"/>
      <c r="H28" s="29" t="n"/>
      <c r="I28" s="30" t="n"/>
      <c r="J28" s="30" t="n"/>
      <c r="K28" s="30" t="n"/>
      <c r="L28" s="30" t="n"/>
      <c r="M28" s="31" t="n"/>
      <c r="N28" s="29" t="n"/>
      <c r="O28" s="31" t="n"/>
    </row>
    <row r="29" ht="15" customHeight="1" s="16">
      <c r="A29" s="26" t="n">
        <v>28</v>
      </c>
      <c r="B29" s="26" t="n">
        <v>4</v>
      </c>
      <c r="C29" s="26" t="n">
        <v>469</v>
      </c>
      <c r="D29" s="27" t="inlineStr">
        <is>
          <t>主人亦設酒果</t>
        </is>
      </c>
      <c r="E29" s="28" t="inlineStr">
        <is>
          <t>大約我國書畵</t>
        </is>
      </c>
      <c r="F29" s="27" t="inlineStr">
        <is>
          <t>什無年號</t>
        </is>
      </c>
      <c r="G29" s="26" t="n"/>
      <c r="H29" s="29" t="n"/>
      <c r="I29" s="30" t="n"/>
      <c r="J29" s="30" t="n"/>
      <c r="K29" s="30" t="n"/>
      <c r="L29" s="30" t="n"/>
      <c r="M29" s="31" t="n"/>
      <c r="N29" s="29" t="n"/>
      <c r="O29" s="31" t="n"/>
    </row>
    <row r="30" ht="15" customHeight="1" s="16">
      <c r="A30" s="26" t="n">
        <v>29</v>
      </c>
      <c r="B30" s="26" t="n">
        <v>4</v>
      </c>
      <c r="C30" s="26" t="n">
        <v>470</v>
      </c>
      <c r="D30" s="27" t="inlineStr">
        <is>
          <t>大約我國書畵</t>
        </is>
      </c>
      <c r="E30" s="32" t="inlineStr">
        <is>
          <t>什無年號</t>
        </is>
      </c>
      <c r="F30" s="27" t="inlineStr">
        <is>
          <t>又不肯書名字</t>
        </is>
      </c>
      <c r="G30" s="26" t="inlineStr">
        <is>
          <t>●</t>
        </is>
      </c>
      <c r="H30" s="29" t="n"/>
      <c r="I30" s="30" t="n"/>
      <c r="J30" s="30" t="n"/>
      <c r="K30" s="30" t="n"/>
      <c r="L30" s="30" t="n"/>
      <c r="M30" s="31" t="n"/>
      <c r="N30" s="29" t="n"/>
      <c r="O30" s="31" t="n"/>
    </row>
    <row r="31" ht="15" customHeight="1" s="16">
      <c r="A31" s="26" t="n">
        <v>30</v>
      </c>
      <c r="B31" s="26" t="n">
        <v>4</v>
      </c>
      <c r="C31" s="26" t="n">
        <v>471</v>
      </c>
      <c r="D31" s="27" t="inlineStr">
        <is>
          <t>什無年號</t>
        </is>
      </c>
      <c r="E31" s="28" t="inlineStr">
        <is>
          <t>又不肯書名字</t>
        </is>
      </c>
      <c r="F31" s="27" t="inlineStr">
        <is>
          <t>詩軸所題</t>
        </is>
      </c>
      <c r="G31" s="26" t="n"/>
      <c r="H31" s="29" t="n"/>
      <c r="I31" s="30" t="n"/>
      <c r="J31" s="30" t="n"/>
      <c r="K31" s="30" t="n"/>
      <c r="L31" s="30" t="n"/>
      <c r="M31" s="31" t="n"/>
      <c r="N31" s="29" t="n"/>
      <c r="O31" s="31" t="n"/>
    </row>
    <row r="32" ht="15" customHeight="1" s="16">
      <c r="A32" s="26" t="n">
        <v>31</v>
      </c>
      <c r="B32" s="26" t="n">
        <v>4</v>
      </c>
      <c r="C32" s="26" t="n">
        <v>492</v>
      </c>
      <c r="D32" s="27" t="inlineStr">
        <is>
          <t>故到處向人</t>
        </is>
      </c>
      <c r="E32" s="28" t="inlineStr">
        <is>
          <t>輒呼炒卵二字</t>
        </is>
      </c>
      <c r="F32" s="27" t="inlineStr">
        <is>
          <t>以試其舌頭利澀</t>
        </is>
      </c>
      <c r="G32" s="26" t="n"/>
      <c r="H32" s="29" t="n"/>
      <c r="I32" s="30" t="n"/>
      <c r="J32" s="30" t="n"/>
      <c r="K32" s="30" t="n"/>
      <c r="L32" s="30" t="n"/>
      <c r="M32" s="31" t="n"/>
      <c r="N32" s="29" t="n"/>
      <c r="O32" s="31" t="n"/>
    </row>
    <row r="33" ht="15" customHeight="1" s="16">
      <c r="A33" s="26" t="n">
        <v>32</v>
      </c>
      <c r="B33" s="26" t="n">
        <v>4</v>
      </c>
      <c r="C33" s="26" t="n">
        <v>493</v>
      </c>
      <c r="D33" s="27" t="inlineStr">
        <is>
          <t>輒呼炒卵二字</t>
        </is>
      </c>
      <c r="E33" s="32" t="inlineStr">
        <is>
          <t>以試其舌頭利澀</t>
        </is>
      </c>
      <c r="F33" s="27" t="inlineStr">
        <is>
          <t>因此號鄭爲炒卵公</t>
        </is>
      </c>
      <c r="G33" s="26" t="inlineStr">
        <is>
          <t>●</t>
        </is>
      </c>
      <c r="H33" s="29" t="n"/>
      <c r="I33" s="30" t="n"/>
      <c r="J33" s="30" t="n"/>
      <c r="K33" s="30" t="n"/>
      <c r="L33" s="30" t="n"/>
      <c r="M33" s="31" t="n"/>
      <c r="N33" s="29" t="n"/>
      <c r="O33" s="31" t="n"/>
    </row>
    <row r="34" ht="15" customHeight="1" s="16">
      <c r="A34" s="26" t="n">
        <v>33</v>
      </c>
      <c r="B34" s="26" t="n">
        <v>4</v>
      </c>
      <c r="C34" s="26" t="n">
        <v>494</v>
      </c>
      <c r="D34" s="27" t="inlineStr">
        <is>
          <t>以試其舌頭利澀</t>
        </is>
      </c>
      <c r="E34" s="28" t="inlineStr">
        <is>
          <t>因此號鄭爲炒卵公</t>
        </is>
      </c>
      <c r="F34" s="27" t="inlineStr">
        <is>
          <t>我東優戱爲假面</t>
        </is>
      </c>
      <c r="G34" s="26" t="n"/>
      <c r="H34" s="29" t="n"/>
      <c r="I34" s="30" t="n"/>
      <c r="J34" s="30" t="n"/>
      <c r="K34" s="30" t="n"/>
      <c r="L34" s="30" t="n"/>
      <c r="M34" s="31" t="n"/>
      <c r="N34" s="29" t="n"/>
      <c r="O34" s="31" t="n"/>
    </row>
    <row r="35" ht="15" customHeight="1" s="16">
      <c r="A35" s="26" t="n">
        <v>34</v>
      </c>
      <c r="B35" s="26" t="n">
        <v>4</v>
      </c>
      <c r="C35" s="26" t="n">
        <v>502</v>
      </c>
      <c r="D35" s="27" t="inlineStr">
        <is>
          <t>相與大笑</t>
        </is>
      </c>
      <c r="E35" s="28" t="inlineStr">
        <is>
          <t>備說其由</t>
        </is>
      </c>
      <c r="F35" s="27" t="inlineStr">
        <is>
          <t>欲贈其價</t>
        </is>
      </c>
      <c r="G35" s="26" t="n"/>
      <c r="H35" s="29" t="n"/>
      <c r="I35" s="30" t="n"/>
      <c r="J35" s="30" t="n"/>
      <c r="K35" s="30" t="n"/>
      <c r="L35" s="30" t="n"/>
      <c r="M35" s="31" t="n"/>
      <c r="N35" s="29" t="n"/>
      <c r="O35" s="31" t="n"/>
    </row>
    <row r="36" ht="15" customHeight="1" s="16">
      <c r="A36" s="26" t="n">
        <v>35</v>
      </c>
      <c r="B36" s="26" t="n">
        <v>4</v>
      </c>
      <c r="C36" s="26" t="n">
        <v>503</v>
      </c>
      <c r="D36" s="27" t="inlineStr">
        <is>
          <t>備說其由</t>
        </is>
      </c>
      <c r="E36" s="32" t="inlineStr">
        <is>
          <t>欲贈其價</t>
        </is>
      </c>
      <c r="F36" s="27" t="inlineStr">
        <is>
          <t>主人大慚曰</t>
        </is>
      </c>
      <c r="G36" s="26" t="inlineStr">
        <is>
          <t>●</t>
        </is>
      </c>
      <c r="H36" s="29" t="n"/>
      <c r="I36" s="30" t="n"/>
      <c r="J36" s="30" t="n"/>
      <c r="K36" s="30" t="n"/>
      <c r="L36" s="30" t="n"/>
      <c r="M36" s="31" t="n"/>
      <c r="N36" s="29" t="n"/>
      <c r="O36" s="31" t="n"/>
    </row>
    <row r="37" ht="15" customHeight="1" s="16">
      <c r="A37" s="26" t="n">
        <v>36</v>
      </c>
      <c r="B37" s="26" t="n">
        <v>4</v>
      </c>
      <c r="C37" s="26" t="n">
        <v>504</v>
      </c>
      <c r="D37" s="27" t="inlineStr">
        <is>
          <t>欲贈其價</t>
        </is>
      </c>
      <c r="E37" s="28" t="inlineStr">
        <is>
          <t>主人大慚曰</t>
        </is>
      </c>
      <c r="F37" s="27" t="inlineStr">
        <is>
          <t>此非酒飯店</t>
        </is>
      </c>
      <c r="G37" s="26" t="n"/>
      <c r="H37" s="29" t="n"/>
      <c r="I37" s="30" t="n"/>
      <c r="J37" s="30" t="n"/>
      <c r="K37" s="30" t="n"/>
      <c r="L37" s="30" t="n"/>
      <c r="M37" s="31" t="n"/>
      <c r="N37" s="29" t="n"/>
      <c r="O37" s="31" t="n"/>
    </row>
    <row r="38" ht="15" customHeight="1" s="16">
      <c r="A38" s="26" t="n">
        <v>37</v>
      </c>
      <c r="B38" s="26" t="n">
        <v>36</v>
      </c>
      <c r="C38" s="26" t="n">
        <v>27</v>
      </c>
      <c r="D38" s="27" t="inlineStr">
        <is>
          <t>朝氣微凉</t>
        </is>
      </c>
      <c r="E38" s="28" t="inlineStr">
        <is>
          <t>城外臨水開市</t>
        </is>
      </c>
      <c r="F38" s="27" t="inlineStr">
        <is>
          <t>百貨塡咽</t>
        </is>
      </c>
      <c r="G38" s="26" t="n"/>
      <c r="H38" s="29" t="n"/>
      <c r="I38" s="30" t="n"/>
      <c r="J38" s="30" t="n"/>
      <c r="K38" s="30" t="n"/>
      <c r="L38" s="30" t="n"/>
      <c r="M38" s="31" t="n"/>
      <c r="N38" s="29" t="n"/>
      <c r="O38" s="31" t="n"/>
    </row>
    <row r="39" ht="15" customHeight="1" s="16">
      <c r="A39" s="26" t="n">
        <v>38</v>
      </c>
      <c r="B39" s="26" t="n">
        <v>36</v>
      </c>
      <c r="C39" s="26" t="n">
        <v>28</v>
      </c>
      <c r="D39" s="27" t="inlineStr">
        <is>
          <t>城外臨水開市</t>
        </is>
      </c>
      <c r="E39" s="32" t="inlineStr">
        <is>
          <t>百貨塡咽</t>
        </is>
      </c>
      <c r="F39" s="27" t="inlineStr">
        <is>
          <t>車馬縱橫</t>
        </is>
      </c>
      <c r="G39" s="26" t="inlineStr">
        <is>
          <t>●</t>
        </is>
      </c>
      <c r="H39" s="29" t="n"/>
      <c r="I39" s="30" t="n"/>
      <c r="J39" s="30" t="n"/>
      <c r="K39" s="30" t="n"/>
      <c r="L39" s="30" t="n"/>
      <c r="M39" s="31" t="n"/>
      <c r="N39" s="29" t="n"/>
      <c r="O39" s="31" t="n"/>
    </row>
    <row r="40" ht="15" customHeight="1" s="16">
      <c r="A40" s="26" t="n">
        <v>39</v>
      </c>
      <c r="B40" s="26" t="n">
        <v>36</v>
      </c>
      <c r="C40" s="26" t="n">
        <v>29</v>
      </c>
      <c r="D40" s="27" t="inlineStr">
        <is>
          <t>百貨塡咽</t>
        </is>
      </c>
      <c r="E40" s="28" t="inlineStr">
        <is>
          <t>車馬縱橫</t>
        </is>
      </c>
      <c r="F40" s="27" t="inlineStr">
        <is>
          <t>自入市中</t>
        </is>
      </c>
      <c r="G40" s="26" t="n"/>
      <c r="H40" s="29" t="n"/>
      <c r="I40" s="30" t="n"/>
      <c r="J40" s="30" t="n"/>
      <c r="K40" s="30" t="n"/>
      <c r="L40" s="30" t="n"/>
      <c r="M40" s="31" t="n"/>
      <c r="N40" s="29" t="n"/>
      <c r="O40" s="31" t="n"/>
    </row>
    <row r="41" ht="15" customHeight="1" s="16">
      <c r="A41" s="26" t="n">
        <v>40</v>
      </c>
      <c r="B41" s="26" t="n">
        <v>36</v>
      </c>
      <c r="C41" s="26" t="n">
        <v>30</v>
      </c>
      <c r="D41" s="27" t="inlineStr">
        <is>
          <t>車馬縱橫</t>
        </is>
      </c>
      <c r="E41" s="28" t="inlineStr">
        <is>
          <t>自入市中</t>
        </is>
      </c>
      <c r="F41" s="27" t="inlineStr">
        <is>
          <t>買兩個蘋果</t>
        </is>
      </c>
      <c r="G41" s="26" t="n"/>
      <c r="H41" s="29" t="n"/>
      <c r="I41" s="30" t="n"/>
      <c r="J41" s="30" t="n"/>
      <c r="K41" s="30" t="n"/>
      <c r="L41" s="30" t="n"/>
      <c r="M41" s="31" t="n"/>
      <c r="N41" s="29" t="n"/>
      <c r="O41" s="31" t="n"/>
    </row>
    <row r="42" ht="15" customHeight="1" s="16">
      <c r="A42" s="26" t="n">
        <v>41</v>
      </c>
      <c r="B42" s="26" t="n">
        <v>36</v>
      </c>
      <c r="C42" s="26" t="n">
        <v>31</v>
      </c>
      <c r="D42" s="27" t="inlineStr">
        <is>
          <t>自入市中</t>
        </is>
      </c>
      <c r="E42" s="32" t="inlineStr">
        <is>
          <t>買兩個蘋果</t>
        </is>
      </c>
      <c r="F42" s="27" t="inlineStr">
        <is>
          <t>傍有擔籠者</t>
        </is>
      </c>
      <c r="G42" s="26" t="inlineStr">
        <is>
          <t>●</t>
        </is>
      </c>
      <c r="H42" s="29" t="n"/>
      <c r="I42" s="30" t="n"/>
      <c r="J42" s="30" t="n"/>
      <c r="K42" s="30" t="n"/>
      <c r="L42" s="30" t="n"/>
      <c r="M42" s="31" t="n"/>
      <c r="N42" s="29" t="n"/>
      <c r="O42" s="31" t="n"/>
    </row>
    <row r="43" ht="15" customHeight="1" s="16">
      <c r="A43" s="26" t="n">
        <v>42</v>
      </c>
      <c r="B43" s="26" t="n">
        <v>36</v>
      </c>
      <c r="C43" s="26" t="n">
        <v>32</v>
      </c>
      <c r="D43" s="27" t="inlineStr">
        <is>
          <t>買兩個蘋果</t>
        </is>
      </c>
      <c r="E43" s="28" t="inlineStr">
        <is>
          <t>傍有擔籠者</t>
        </is>
      </c>
      <c r="F43" s="27" t="inlineStr">
        <is>
          <t>開籠出水晶盒五</t>
        </is>
      </c>
      <c r="G43" s="26" t="n"/>
      <c r="H43" s="29" t="n"/>
      <c r="I43" s="30" t="n"/>
      <c r="J43" s="30" t="n"/>
      <c r="K43" s="30" t="n"/>
      <c r="L43" s="30" t="n"/>
      <c r="M43" s="31" t="n"/>
      <c r="N43" s="29" t="n"/>
      <c r="O43" s="31" t="n"/>
    </row>
    <row r="44" ht="15" customHeight="1" s="16">
      <c r="A44" s="26" t="n">
        <v>43</v>
      </c>
      <c r="B44" s="26" t="n">
        <v>36</v>
      </c>
      <c r="C44" s="26" t="n">
        <v>133</v>
      </c>
      <c r="D44" s="27" t="inlineStr">
        <is>
          <t>寒戰搐搦</t>
        </is>
      </c>
      <c r="E44" s="28" t="inlineStr">
        <is>
          <t>緊閉兩目</t>
        </is>
      </c>
      <c r="F44" s="27" t="inlineStr">
        <is>
          <t>氣息將絶</t>
        </is>
      </c>
      <c r="G44" s="26" t="n"/>
      <c r="H44" s="29" t="n"/>
      <c r="I44" s="30" t="n"/>
      <c r="J44" s="30" t="n"/>
      <c r="K44" s="30" t="n"/>
      <c r="L44" s="30" t="n"/>
      <c r="M44" s="31" t="n"/>
      <c r="N44" s="29" t="n"/>
      <c r="O44" s="31" t="n"/>
    </row>
    <row r="45" ht="15" customHeight="1" s="16">
      <c r="A45" s="26" t="n">
        <v>44</v>
      </c>
      <c r="B45" s="26" t="n">
        <v>36</v>
      </c>
      <c r="C45" s="26" t="n">
        <v>134</v>
      </c>
      <c r="D45" s="27" t="inlineStr">
        <is>
          <t>緊閉兩目</t>
        </is>
      </c>
      <c r="E45" s="32" t="inlineStr">
        <is>
          <t>氣息將絶</t>
        </is>
      </c>
      <c r="F45" s="27" t="inlineStr">
        <is>
          <t>少焉風雨小歇</t>
        </is>
      </c>
      <c r="G45" s="26" t="inlineStr">
        <is>
          <t>●</t>
        </is>
      </c>
      <c r="H45" s="29" t="n"/>
      <c r="I45" s="30" t="n"/>
      <c r="J45" s="30" t="n"/>
      <c r="K45" s="30" t="n"/>
      <c r="L45" s="30" t="n"/>
      <c r="M45" s="31" t="n"/>
      <c r="N45" s="29" t="n"/>
      <c r="O45" s="31" t="n"/>
    </row>
    <row r="46" ht="15" customHeight="1" s="16">
      <c r="A46" s="26" t="n">
        <v>45</v>
      </c>
      <c r="B46" s="26" t="n">
        <v>36</v>
      </c>
      <c r="C46" s="26" t="n">
        <v>135</v>
      </c>
      <c r="D46" s="27" t="inlineStr">
        <is>
          <t>氣息將絶</t>
        </is>
      </c>
      <c r="E46" s="28" t="inlineStr">
        <is>
          <t>少焉風雨小歇</t>
        </is>
      </c>
      <c r="F46" s="27" t="inlineStr">
        <is>
          <t>面面相視</t>
        </is>
      </c>
      <c r="G46" s="26" t="n"/>
      <c r="H46" s="29" t="n"/>
      <c r="I46" s="30" t="n"/>
      <c r="J46" s="30" t="n"/>
      <c r="K46" s="30" t="n"/>
      <c r="L46" s="30" t="n"/>
      <c r="M46" s="31" t="n"/>
      <c r="N46" s="29" t="n"/>
      <c r="O46" s="31" t="n"/>
    </row>
    <row r="47" ht="15" customHeight="1" s="16">
      <c r="A47" s="26" t="n">
        <v>46</v>
      </c>
      <c r="B47" s="26" t="n">
        <v>40</v>
      </c>
      <c r="C47" s="26" t="n">
        <v>62</v>
      </c>
      <c r="D47" s="27" t="inlineStr">
        <is>
          <t>有愚人者</t>
        </is>
      </c>
      <c r="E47" s="28" t="inlineStr">
        <is>
          <t>復曰淡菜似龍眼</t>
        </is>
      </c>
      <c r="F47" s="27" t="inlineStr">
        <is>
          <t>錢塘似飛燕</t>
        </is>
      </c>
      <c r="G47" s="26" t="n"/>
      <c r="H47" s="29" t="n"/>
      <c r="I47" s="30" t="n"/>
      <c r="J47" s="30" t="n"/>
      <c r="K47" s="30" t="n"/>
      <c r="L47" s="30" t="n"/>
      <c r="M47" s="31" t="n"/>
      <c r="N47" s="29" t="n"/>
      <c r="O47" s="31" t="n"/>
    </row>
    <row r="48" ht="15" customHeight="1" s="16">
      <c r="A48" s="26" t="n">
        <v>47</v>
      </c>
      <c r="B48" s="26" t="n">
        <v>40</v>
      </c>
      <c r="C48" s="26" t="n">
        <v>63</v>
      </c>
      <c r="D48" s="27" t="inlineStr">
        <is>
          <t>復曰淡菜似龍眼</t>
        </is>
      </c>
      <c r="E48" s="32" t="inlineStr">
        <is>
          <t>錢塘似飛燕</t>
        </is>
      </c>
      <c r="F48" s="27" t="inlineStr">
        <is>
          <t>何如爾哉</t>
        </is>
      </c>
      <c r="G48" s="26" t="inlineStr">
        <is>
          <t>●</t>
        </is>
      </c>
      <c r="H48" s="29" t="n"/>
      <c r="I48" s="30" t="n"/>
      <c r="J48" s="30" t="n"/>
      <c r="K48" s="30" t="n"/>
      <c r="L48" s="30" t="n"/>
      <c r="M48" s="31" t="n"/>
      <c r="N48" s="29" t="n"/>
      <c r="O48" s="31" t="n"/>
    </row>
    <row r="49" ht="15" customHeight="1" s="16">
      <c r="A49" s="26" t="n">
        <v>48</v>
      </c>
      <c r="B49" s="26" t="n">
        <v>40</v>
      </c>
      <c r="C49" s="26" t="n">
        <v>64</v>
      </c>
      <c r="D49" s="27" t="inlineStr">
        <is>
          <t>錢塘似飛燕</t>
        </is>
      </c>
      <c r="E49" s="28" t="inlineStr">
        <is>
          <t>何如爾哉</t>
        </is>
      </c>
      <c r="F49" s="27" t="n"/>
      <c r="G49" s="26" t="n"/>
      <c r="H49" s="29" t="n"/>
      <c r="I49" s="30" t="n"/>
      <c r="J49" s="30" t="n"/>
      <c r="K49" s="30" t="n"/>
      <c r="L49" s="30" t="n"/>
      <c r="M49" s="31" t="n"/>
      <c r="N49" s="29" t="n"/>
      <c r="O49" s="31" t="n"/>
    </row>
    <row r="50" ht="15" customHeight="1" s="16">
      <c r="A50" s="26" t="n">
        <v>49</v>
      </c>
      <c r="B50" s="26" t="n">
        <v>43</v>
      </c>
      <c r="C50" s="26" t="n">
        <v>116</v>
      </c>
      <c r="D50" s="27" t="inlineStr">
        <is>
          <t>首視盆中</t>
        </is>
      </c>
      <c r="E50" s="28" t="inlineStr">
        <is>
          <t>爲不忘春秋之義也</t>
        </is>
      </c>
      <c r="F50" s="27" t="inlineStr">
        <is>
          <t>遂相與賦詩</t>
        </is>
      </c>
      <c r="G50" s="26" t="n"/>
      <c r="H50" s="29" t="n"/>
      <c r="I50" s="30" t="n"/>
      <c r="J50" s="30" t="n"/>
      <c r="K50" s="30" t="n"/>
      <c r="L50" s="30" t="n"/>
      <c r="M50" s="31" t="n"/>
      <c r="N50" s="29" t="n"/>
      <c r="O50" s="31" t="n"/>
    </row>
    <row r="51" ht="15" customHeight="1" s="16">
      <c r="A51" s="26" t="n">
        <v>50</v>
      </c>
      <c r="B51" s="26" t="n">
        <v>43</v>
      </c>
      <c r="C51" s="26" t="n">
        <v>117</v>
      </c>
      <c r="D51" s="27" t="inlineStr">
        <is>
          <t>爲不忘春秋之義也</t>
        </is>
      </c>
      <c r="E51" s="32" t="inlineStr">
        <is>
          <t>遂相與賦詩</t>
        </is>
      </c>
      <c r="F51" s="27" t="inlineStr">
        <is>
          <t>一童子題之曰</t>
        </is>
      </c>
      <c r="G51" s="26" t="inlineStr">
        <is>
          <t>●</t>
        </is>
      </c>
      <c r="H51" s="29" t="n"/>
      <c r="I51" s="30" t="n"/>
      <c r="J51" s="30" t="n"/>
      <c r="K51" s="30" t="n"/>
      <c r="L51" s="30" t="n"/>
      <c r="M51" s="31" t="n"/>
      <c r="N51" s="29" t="n"/>
      <c r="O51" s="31" t="n"/>
    </row>
    <row r="52" ht="15" customHeight="1" s="16">
      <c r="A52" s="26" t="n">
        <v>51</v>
      </c>
      <c r="B52" s="26" t="n">
        <v>43</v>
      </c>
      <c r="C52" s="26" t="n">
        <v>118</v>
      </c>
      <c r="D52" s="27" t="inlineStr">
        <is>
          <t>遂相與賦詩</t>
        </is>
      </c>
      <c r="E52" s="28" t="inlineStr">
        <is>
          <t>一童子題之曰</t>
        </is>
      </c>
      <c r="F52" s="27" t="inlineStr">
        <is>
          <t>武王若敗崩</t>
        </is>
      </c>
      <c r="G52" s="26" t="n"/>
      <c r="H52" s="29" t="n"/>
      <c r="I52" s="30" t="n"/>
      <c r="J52" s="30" t="n"/>
      <c r="K52" s="30" t="n"/>
      <c r="L52" s="30" t="n"/>
      <c r="M52" s="31" t="n"/>
      <c r="N52" s="29" t="n"/>
      <c r="O52" s="31" t="n"/>
    </row>
    <row r="53" ht="15" customHeight="1" s="16">
      <c r="A53" s="26" t="n">
        <v>52</v>
      </c>
      <c r="B53" s="26" t="n">
        <v>43</v>
      </c>
      <c r="C53" s="26" t="n">
        <v>131</v>
      </c>
      <c r="D53" s="27" t="inlineStr">
        <is>
          <t>早辨</t>
        </is>
      </c>
      <c r="E53" s="28" t="inlineStr">
        <is>
          <t>故乃爲此恠談也</t>
        </is>
      </c>
      <c r="F53" s="27" t="inlineStr">
        <is>
          <t>可賦卽景</t>
        </is>
      </c>
      <c r="G53" s="26" t="n"/>
      <c r="H53" s="29" t="n"/>
      <c r="I53" s="30" t="n"/>
      <c r="J53" s="30" t="n"/>
      <c r="K53" s="30" t="n"/>
      <c r="L53" s="30" t="n"/>
      <c r="M53" s="31" t="n"/>
      <c r="N53" s="29" t="n"/>
      <c r="O53" s="31" t="n"/>
    </row>
    <row r="54" ht="15" customHeight="1" s="16">
      <c r="A54" s="26" t="n">
        <v>53</v>
      </c>
      <c r="B54" s="26" t="n">
        <v>43</v>
      </c>
      <c r="C54" s="26" t="n">
        <v>132</v>
      </c>
      <c r="D54" s="27" t="inlineStr">
        <is>
          <t>故乃爲此恠談也</t>
        </is>
      </c>
      <c r="E54" s="32" t="inlineStr">
        <is>
          <t>可賦卽景</t>
        </is>
      </c>
      <c r="F54" s="27" t="inlineStr">
        <is>
          <t>又有一童子題之曰</t>
        </is>
      </c>
      <c r="G54" s="26" t="inlineStr">
        <is>
          <t>●</t>
        </is>
      </c>
      <c r="H54" s="29" t="n"/>
      <c r="I54" s="30" t="n"/>
      <c r="J54" s="30" t="n"/>
      <c r="K54" s="30" t="n"/>
      <c r="L54" s="30" t="n"/>
      <c r="M54" s="31" t="n"/>
      <c r="N54" s="29" t="n"/>
      <c r="O54" s="31" t="n"/>
    </row>
    <row r="55" ht="15" customHeight="1" s="16">
      <c r="A55" s="26" t="n">
        <v>54</v>
      </c>
      <c r="B55" s="26" t="n">
        <v>43</v>
      </c>
      <c r="C55" s="26" t="n">
        <v>133</v>
      </c>
      <c r="D55" s="27" t="inlineStr">
        <is>
          <t>可賦卽景</t>
        </is>
      </c>
      <c r="E55" s="28" t="inlineStr">
        <is>
          <t>又有一童子題之曰</t>
        </is>
      </c>
      <c r="F55" s="27" t="inlineStr">
        <is>
          <t>採薇不眞飽</t>
        </is>
      </c>
      <c r="G55" s="26" t="n"/>
      <c r="H55" s="29" t="n"/>
      <c r="I55" s="30" t="n"/>
      <c r="J55" s="30" t="n"/>
      <c r="K55" s="30" t="n"/>
      <c r="L55" s="30" t="n"/>
      <c r="M55" s="31" t="n"/>
      <c r="N55" s="29" t="n"/>
      <c r="O55" s="31" t="n"/>
    </row>
    <row r="56" ht="29.85" customHeight="1" s="16">
      <c r="A56" s="26" t="n">
        <v>55</v>
      </c>
      <c r="B56" s="26" t="n">
        <v>43</v>
      </c>
      <c r="C56" s="26" t="n">
        <v>241</v>
      </c>
      <c r="D56" s="27" t="inlineStr">
        <is>
          <t>大約唐畵美人圖中所見也</t>
        </is>
      </c>
      <c r="E56" s="28" t="inlineStr">
        <is>
          <t>老漢乃舘主</t>
        </is>
      </c>
      <c r="F56" s="27" t="inlineStr">
        <is>
          <t>兩少年皆山東客商</t>
        </is>
      </c>
      <c r="G56" s="26" t="n"/>
      <c r="H56" s="29" t="n"/>
      <c r="I56" s="30" t="n"/>
      <c r="J56" s="30" t="n"/>
      <c r="K56" s="30" t="n"/>
      <c r="L56" s="30" t="n"/>
      <c r="M56" s="31" t="n"/>
      <c r="N56" s="29" t="n"/>
      <c r="O56" s="31" t="n"/>
    </row>
    <row r="57" ht="15" customHeight="1" s="16">
      <c r="A57" s="26" t="n">
        <v>56</v>
      </c>
      <c r="B57" s="26" t="n">
        <v>43</v>
      </c>
      <c r="C57" s="26" t="n">
        <v>242</v>
      </c>
      <c r="D57" s="27" t="inlineStr">
        <is>
          <t>老漢乃舘主</t>
        </is>
      </c>
      <c r="E57" s="32" t="inlineStr">
        <is>
          <t>兩少年皆山東客商</t>
        </is>
      </c>
      <c r="F57" s="27" t="inlineStr">
        <is>
          <t>余</t>
        </is>
      </c>
      <c r="G57" s="26" t="inlineStr">
        <is>
          <t>●</t>
        </is>
      </c>
      <c r="H57" s="29" t="n"/>
      <c r="I57" s="30" t="n"/>
      <c r="J57" s="30" t="n"/>
      <c r="K57" s="30" t="n"/>
      <c r="L57" s="30" t="n"/>
      <c r="M57" s="31" t="n"/>
      <c r="N57" s="29" t="n"/>
      <c r="O57" s="31" t="n"/>
    </row>
    <row r="58" ht="15" customHeight="1" s="16">
      <c r="A58" s="26" t="n">
        <v>57</v>
      </c>
      <c r="B58" s="26" t="n">
        <v>43</v>
      </c>
      <c r="C58" s="26" t="n">
        <v>243</v>
      </c>
      <c r="D58" s="27" t="inlineStr">
        <is>
          <t>兩少年皆山東客商</t>
        </is>
      </c>
      <c r="E58" s="28" t="inlineStr">
        <is>
          <t>余</t>
        </is>
      </c>
      <c r="F58" s="27" t="inlineStr">
        <is>
          <t>目象三請其彈吹</t>
        </is>
      </c>
      <c r="G58" s="26" t="n"/>
      <c r="H58" s="29" t="n"/>
      <c r="I58" s="30" t="n"/>
      <c r="J58" s="30" t="n"/>
      <c r="K58" s="30" t="n"/>
      <c r="L58" s="30" t="n"/>
      <c r="M58" s="31" t="n"/>
      <c r="N58" s="29" t="n"/>
      <c r="O58" s="31" t="n"/>
    </row>
    <row r="59" ht="15" customHeight="1" s="16">
      <c r="A59" s="26" t="n">
        <v>58</v>
      </c>
      <c r="B59" s="26" t="n">
        <v>43</v>
      </c>
      <c r="C59" s="26" t="n">
        <v>274</v>
      </c>
      <c r="D59" s="27" t="inlineStr">
        <is>
          <t>否也</t>
        </is>
      </c>
      <c r="E59" s="28" t="inlineStr">
        <is>
          <t>俺</t>
        </is>
      </c>
      <c r="F59" s="27" t="inlineStr">
        <is>
          <t>是民家做賣買少年</t>
        </is>
      </c>
      <c r="G59" s="26" t="n"/>
      <c r="H59" s="29" t="n"/>
      <c r="I59" s="30" t="n"/>
      <c r="J59" s="30" t="n"/>
      <c r="K59" s="30" t="n"/>
      <c r="L59" s="30" t="n"/>
      <c r="M59" s="31" t="n"/>
      <c r="N59" s="29" t="n"/>
      <c r="O59" s="31" t="n"/>
    </row>
    <row r="60" ht="15" customHeight="1" s="16">
      <c r="A60" s="26" t="n">
        <v>59</v>
      </c>
      <c r="B60" s="26" t="n">
        <v>43</v>
      </c>
      <c r="C60" s="26" t="n">
        <v>275</v>
      </c>
      <c r="D60" s="27" t="inlineStr">
        <is>
          <t>俺</t>
        </is>
      </c>
      <c r="E60" s="32" t="inlineStr">
        <is>
          <t>是民家做賣買少年</t>
        </is>
      </c>
      <c r="F60" s="27" t="inlineStr">
        <is>
          <t>又唱一詞</t>
        </is>
      </c>
      <c r="G60" s="26" t="inlineStr">
        <is>
          <t>●</t>
        </is>
      </c>
      <c r="H60" s="29" t="n"/>
      <c r="I60" s="30" t="n"/>
      <c r="J60" s="30" t="n"/>
      <c r="K60" s="30" t="n"/>
      <c r="L60" s="30" t="n"/>
      <c r="M60" s="31" t="n"/>
      <c r="N60" s="29" t="n"/>
      <c r="O60" s="31" t="n"/>
    </row>
    <row r="61" ht="15" customHeight="1" s="16">
      <c r="A61" s="26" t="n">
        <v>60</v>
      </c>
      <c r="B61" s="26" t="n">
        <v>43</v>
      </c>
      <c r="C61" s="26" t="n">
        <v>276</v>
      </c>
      <c r="D61" s="27" t="inlineStr">
        <is>
          <t>是民家做賣買少年</t>
        </is>
      </c>
      <c r="E61" s="28" t="inlineStr">
        <is>
          <t>又唱一詞</t>
        </is>
      </c>
      <c r="F61" s="27" t="inlineStr">
        <is>
          <t>諸妓或皷檀板</t>
        </is>
      </c>
      <c r="G61" s="26" t="n"/>
      <c r="H61" s="29" t="n"/>
      <c r="I61" s="30" t="n"/>
      <c r="J61" s="30" t="n"/>
      <c r="K61" s="30" t="n"/>
      <c r="L61" s="30" t="n"/>
      <c r="M61" s="31" t="n"/>
      <c r="N61" s="29" t="n"/>
      <c r="O61" s="31" t="n"/>
    </row>
    <row r="62" ht="15" customHeight="1" s="16">
      <c r="A62" s="26" t="n">
        <v>61</v>
      </c>
      <c r="B62" s="26" t="n">
        <v>43</v>
      </c>
      <c r="C62" s="26" t="n">
        <v>291</v>
      </c>
      <c r="D62" s="27" t="inlineStr">
        <is>
          <t>塵埃野馬</t>
        </is>
      </c>
      <c r="E62" s="28" t="inlineStr">
        <is>
          <t>東流不盡江河瀉</t>
        </is>
      </c>
      <c r="F62" s="27" t="inlineStr">
        <is>
          <t>向來爭奪名利人</t>
        </is>
      </c>
      <c r="G62" s="26" t="n"/>
      <c r="H62" s="29" t="n"/>
      <c r="I62" s="30" t="n"/>
      <c r="J62" s="30" t="n"/>
      <c r="K62" s="30" t="n"/>
      <c r="L62" s="30" t="n"/>
      <c r="M62" s="31" t="n"/>
      <c r="N62" s="29" t="n"/>
      <c r="O62" s="31" t="n"/>
    </row>
    <row r="63" ht="15" customHeight="1" s="16">
      <c r="A63" s="26" t="n">
        <v>62</v>
      </c>
      <c r="B63" s="26" t="n">
        <v>43</v>
      </c>
      <c r="C63" s="26" t="n">
        <v>292</v>
      </c>
      <c r="D63" s="27" t="inlineStr">
        <is>
          <t>東流不盡江河瀉</t>
        </is>
      </c>
      <c r="E63" s="32" t="inlineStr">
        <is>
          <t>向來爭奪名利人</t>
        </is>
      </c>
      <c r="F63" s="27" t="inlineStr">
        <is>
          <t>百歲幾個長存者</t>
        </is>
      </c>
      <c r="G63" s="26" t="inlineStr">
        <is>
          <t>●</t>
        </is>
      </c>
      <c r="H63" s="29" t="n"/>
      <c r="I63" s="30" t="n"/>
      <c r="J63" s="30" t="n"/>
      <c r="K63" s="30" t="n"/>
      <c r="L63" s="30" t="n"/>
      <c r="M63" s="31" t="n"/>
      <c r="N63" s="29" t="n"/>
      <c r="O63" s="31" t="n"/>
    </row>
    <row r="64" ht="15" customHeight="1" s="16">
      <c r="A64" s="26" t="n">
        <v>63</v>
      </c>
      <c r="B64" s="26" t="n">
        <v>43</v>
      </c>
      <c r="C64" s="26" t="n">
        <v>293</v>
      </c>
      <c r="D64" s="27" t="inlineStr">
        <is>
          <t>向來爭奪名利人</t>
        </is>
      </c>
      <c r="E64" s="28" t="inlineStr">
        <is>
          <t>百歲幾個長存者</t>
        </is>
      </c>
      <c r="F64" s="27" t="inlineStr">
        <is>
          <t>柳絲絲繼唱曰</t>
        </is>
      </c>
      <c r="G64" s="26" t="n"/>
      <c r="H64" s="29" t="n"/>
      <c r="I64" s="30" t="n"/>
      <c r="J64" s="30" t="n"/>
      <c r="K64" s="30" t="n"/>
      <c r="L64" s="30" t="n"/>
      <c r="M64" s="31" t="n"/>
      <c r="N64" s="29" t="n"/>
      <c r="O64" s="31" t="n"/>
    </row>
    <row r="65" ht="15" customHeight="1" s="16">
      <c r="A65" s="26" t="n">
        <v>64</v>
      </c>
      <c r="B65" s="26" t="n">
        <v>43</v>
      </c>
      <c r="C65" s="26" t="n">
        <v>304</v>
      </c>
      <c r="D65" s="27" t="inlineStr">
        <is>
          <t>象三復請續唱</t>
        </is>
      </c>
      <c r="E65" s="28" t="inlineStr">
        <is>
          <t>絲絲流眼曰</t>
        </is>
      </c>
      <c r="F65" s="27" t="inlineStr">
        <is>
          <t>買菜乎求益也</t>
        </is>
      </c>
      <c r="G65" s="26" t="n"/>
      <c r="H65" s="29" t="n"/>
      <c r="I65" s="30" t="n"/>
      <c r="J65" s="30" t="n"/>
      <c r="K65" s="30" t="n"/>
      <c r="L65" s="30" t="n"/>
      <c r="M65" s="31" t="n"/>
      <c r="N65" s="29" t="n"/>
      <c r="O65" s="31" t="n"/>
    </row>
    <row r="66" ht="15" customHeight="1" s="16">
      <c r="A66" s="26" t="n">
        <v>65</v>
      </c>
      <c r="B66" s="26" t="n">
        <v>43</v>
      </c>
      <c r="C66" s="26" t="n">
        <v>305</v>
      </c>
      <c r="D66" s="27" t="inlineStr">
        <is>
          <t>絲絲流眼曰</t>
        </is>
      </c>
      <c r="E66" s="32" t="inlineStr">
        <is>
          <t>買菜乎求益也</t>
        </is>
      </c>
      <c r="F66" s="27" t="inlineStr">
        <is>
          <t>其少</t>
        </is>
      </c>
      <c r="G66" s="26" t="inlineStr">
        <is>
          <t>●</t>
        </is>
      </c>
      <c r="H66" s="29" t="n"/>
      <c r="I66" s="30" t="n"/>
      <c r="J66" s="30" t="n"/>
      <c r="K66" s="30" t="n"/>
      <c r="L66" s="30" t="n"/>
      <c r="M66" s="31" t="n"/>
      <c r="N66" s="29" t="n"/>
      <c r="O66" s="31" t="n"/>
    </row>
    <row r="67" ht="15" customHeight="1" s="16">
      <c r="A67" s="26" t="n">
        <v>66</v>
      </c>
      <c r="B67" s="26" t="n">
        <v>43</v>
      </c>
      <c r="C67" s="26" t="n">
        <v>306</v>
      </c>
      <c r="D67" s="27" t="inlineStr">
        <is>
          <t>買菜乎求益也</t>
        </is>
      </c>
      <c r="E67" s="28" t="inlineStr">
        <is>
          <t>其少</t>
        </is>
      </c>
      <c r="F67" s="27" t="inlineStr">
        <is>
          <t>年自鼓琵琶</t>
        </is>
      </c>
      <c r="G67" s="26" t="n"/>
      <c r="H67" s="29" t="n"/>
      <c r="I67" s="30" t="n"/>
      <c r="J67" s="30" t="n"/>
      <c r="K67" s="30" t="n"/>
      <c r="L67" s="30" t="n"/>
      <c r="M67" s="31" t="n"/>
      <c r="N67" s="29" t="n"/>
      <c r="O67" s="31" t="n"/>
    </row>
    <row r="68" ht="15" customHeight="1" s="16">
      <c r="A68" s="26" t="n">
        <v>67</v>
      </c>
      <c r="B68" s="26" t="n">
        <v>43</v>
      </c>
      <c r="C68" s="26" t="n">
        <v>321</v>
      </c>
      <c r="D68" s="27" t="inlineStr">
        <is>
          <t>且盡尊中美酒</t>
        </is>
      </c>
      <c r="E68" s="28" t="inlineStr">
        <is>
          <t>閒聽月下高歌</t>
        </is>
      </c>
      <c r="F68" s="27" t="inlineStr">
        <is>
          <t>功名富貴竟如何</t>
        </is>
      </c>
      <c r="G68" s="26" t="n"/>
      <c r="H68" s="29" t="n"/>
      <c r="I68" s="30" t="n"/>
      <c r="J68" s="30" t="n"/>
      <c r="K68" s="30" t="n"/>
      <c r="L68" s="30" t="n"/>
      <c r="M68" s="31" t="n"/>
      <c r="N68" s="29" t="n"/>
      <c r="O68" s="31" t="n"/>
    </row>
    <row r="69" ht="15" customHeight="1" s="16">
      <c r="A69" s="26" t="n">
        <v>68</v>
      </c>
      <c r="B69" s="26" t="n">
        <v>43</v>
      </c>
      <c r="C69" s="26" t="n">
        <v>322</v>
      </c>
      <c r="D69" s="27" t="inlineStr">
        <is>
          <t>閒聽月下高歌</t>
        </is>
      </c>
      <c r="E69" s="32" t="inlineStr">
        <is>
          <t>功名富貴竟如何</t>
        </is>
      </c>
      <c r="F69" s="27" t="inlineStr">
        <is>
          <t>莫問收塲結果</t>
        </is>
      </c>
      <c r="G69" s="26" t="inlineStr">
        <is>
          <t>●</t>
        </is>
      </c>
      <c r="H69" s="29" t="n"/>
      <c r="I69" s="30" t="n"/>
      <c r="J69" s="30" t="n"/>
      <c r="K69" s="30" t="n"/>
      <c r="L69" s="30" t="n"/>
      <c r="M69" s="31" t="n"/>
      <c r="N69" s="29" t="n"/>
      <c r="O69" s="31" t="n"/>
    </row>
    <row r="70" ht="15" customHeight="1" s="16">
      <c r="A70" s="26" t="n">
        <v>69</v>
      </c>
      <c r="B70" s="26" t="n">
        <v>43</v>
      </c>
      <c r="C70" s="26" t="n">
        <v>323</v>
      </c>
      <c r="D70" s="27" t="inlineStr">
        <is>
          <t>功名富貴竟如何</t>
        </is>
      </c>
      <c r="E70" s="28" t="inlineStr">
        <is>
          <t>莫問收塲結果</t>
        </is>
      </c>
      <c r="F70" s="27" t="inlineStr">
        <is>
          <t>音聲頗厲</t>
        </is>
      </c>
      <c r="G70" s="26" t="n"/>
      <c r="H70" s="29" t="n"/>
      <c r="I70" s="30" t="n"/>
      <c r="J70" s="30" t="n"/>
      <c r="K70" s="30" t="n"/>
      <c r="L70" s="30" t="n"/>
      <c r="M70" s="31" t="n"/>
      <c r="N70" s="29" t="n"/>
      <c r="O70" s="31" t="n"/>
    </row>
    <row r="71" ht="15" customHeight="1" s="16">
      <c r="A71" s="26" t="n">
        <v>70</v>
      </c>
      <c r="B71" s="26" t="n">
        <v>43</v>
      </c>
      <c r="C71" s="26" t="n">
        <v>328</v>
      </c>
      <c r="D71" s="27" t="inlineStr">
        <is>
          <t>再鳳亦隨出</t>
        </is>
      </c>
      <c r="E71" s="28" t="inlineStr">
        <is>
          <t>再鳳言象三</t>
        </is>
      </c>
      <c r="F71" s="27" t="inlineStr">
        <is>
          <t>給館主銀二兩</t>
        </is>
      </c>
      <c r="G71" s="26" t="n"/>
      <c r="H71" s="29" t="n"/>
      <c r="I71" s="30" t="n"/>
      <c r="J71" s="30" t="n"/>
      <c r="K71" s="30" t="n"/>
      <c r="L71" s="30" t="n"/>
      <c r="M71" s="31" t="n"/>
      <c r="N71" s="29" t="n"/>
      <c r="O71" s="31" t="n"/>
    </row>
    <row r="72" ht="15" customHeight="1" s="16">
      <c r="A72" s="26" t="n">
        <v>71</v>
      </c>
      <c r="B72" s="26" t="n">
        <v>43</v>
      </c>
      <c r="C72" s="26" t="n">
        <v>329</v>
      </c>
      <c r="D72" s="27" t="inlineStr">
        <is>
          <t>再鳳言象三</t>
        </is>
      </c>
      <c r="E72" s="32" t="inlineStr">
        <is>
          <t>給館主銀二兩</t>
        </is>
      </c>
      <c r="F72" s="27" t="inlineStr">
        <is>
          <t>大口魚</t>
        </is>
      </c>
      <c r="G72" s="26" t="inlineStr">
        <is>
          <t>●</t>
        </is>
      </c>
      <c r="H72" s="29" t="n"/>
      <c r="I72" s="30" t="n"/>
      <c r="J72" s="30" t="n"/>
      <c r="K72" s="30" t="n"/>
      <c r="L72" s="30" t="n"/>
      <c r="M72" s="31" t="n"/>
      <c r="N72" s="29" t="n"/>
      <c r="O72" s="31" t="n"/>
    </row>
    <row r="73" ht="15" customHeight="1" s="16">
      <c r="A73" s="26" t="n">
        <v>72</v>
      </c>
      <c r="B73" s="26" t="n">
        <v>43</v>
      </c>
      <c r="C73" s="26" t="n">
        <v>330</v>
      </c>
      <c r="D73" s="27" t="inlineStr">
        <is>
          <t>給館主銀二兩</t>
        </is>
      </c>
      <c r="E73" s="28" t="inlineStr">
        <is>
          <t>大口魚</t>
        </is>
      </c>
      <c r="F73" s="27" t="inlineStr">
        <is>
          <t>一尾</t>
        </is>
      </c>
      <c r="G73" s="26" t="n"/>
      <c r="H73" s="29" t="n"/>
      <c r="I73" s="30" t="n"/>
      <c r="J73" s="30" t="n"/>
      <c r="K73" s="30" t="n"/>
      <c r="L73" s="30" t="n"/>
      <c r="M73" s="31" t="n"/>
      <c r="N73" s="29" t="n"/>
      <c r="O73" s="31" t="n"/>
    </row>
    <row r="74" ht="15" customHeight="1" s="16">
      <c r="A74" s="26" t="n">
        <v>73</v>
      </c>
      <c r="B74" s="26" t="n">
        <v>43</v>
      </c>
      <c r="C74" s="26" t="n">
        <v>332</v>
      </c>
      <c r="D74" s="27" t="inlineStr">
        <is>
          <t>一尾</t>
        </is>
      </c>
      <c r="E74" s="28" t="inlineStr">
        <is>
          <t>扇一柄云</t>
        </is>
      </c>
      <c r="F74" s="27" t="inlineStr">
        <is>
          <t>尋息菴金公所觀</t>
        </is>
      </c>
      <c r="G74" s="26" t="n"/>
      <c r="H74" s="29" t="n"/>
      <c r="I74" s="30" t="n"/>
      <c r="J74" s="30" t="n"/>
      <c r="K74" s="30" t="n"/>
      <c r="L74" s="30" t="n"/>
      <c r="M74" s="31" t="n"/>
      <c r="N74" s="29" t="n"/>
      <c r="O74" s="31" t="n"/>
    </row>
    <row r="75" ht="15" customHeight="1" s="16">
      <c r="A75" s="26" t="n">
        <v>74</v>
      </c>
      <c r="B75" s="26" t="n">
        <v>43</v>
      </c>
      <c r="C75" s="26" t="n">
        <v>333</v>
      </c>
      <c r="D75" s="27" t="inlineStr">
        <is>
          <t>扇一柄云</t>
        </is>
      </c>
      <c r="E75" s="32" t="inlineStr">
        <is>
          <t>尋息菴金公所觀</t>
        </is>
      </c>
      <c r="F75" s="27" t="inlineStr">
        <is>
          <t>季文蘭題詩</t>
        </is>
      </c>
      <c r="G75" s="26" t="inlineStr">
        <is>
          <t>●</t>
        </is>
      </c>
      <c r="H75" s="29" t="n"/>
      <c r="I75" s="30" t="n"/>
      <c r="J75" s="30" t="n"/>
      <c r="K75" s="30" t="n"/>
      <c r="L75" s="30" t="n"/>
      <c r="M75" s="31" t="n"/>
      <c r="N75" s="29" t="n"/>
      <c r="O75" s="31" t="n"/>
    </row>
    <row r="76" ht="15" customHeight="1" s="16">
      <c r="A76" s="26" t="n">
        <v>75</v>
      </c>
      <c r="B76" s="26" t="n">
        <v>43</v>
      </c>
      <c r="C76" s="26" t="n">
        <v>334</v>
      </c>
      <c r="D76" s="27" t="inlineStr">
        <is>
          <t>尋息菴金公所觀</t>
        </is>
      </c>
      <c r="E76" s="28" t="inlineStr">
        <is>
          <t>季文蘭題詩</t>
        </is>
      </c>
      <c r="F76" s="27" t="inlineStr">
        <is>
          <t>而不可見矣</t>
        </is>
      </c>
      <c r="G76" s="26" t="n"/>
      <c r="H76" s="29" t="n"/>
      <c r="I76" s="30" t="n"/>
      <c r="J76" s="30" t="n"/>
      <c r="K76" s="30" t="n"/>
      <c r="L76" s="30" t="n"/>
      <c r="M76" s="31" t="n"/>
      <c r="N76" s="29" t="n"/>
      <c r="O76" s="31" t="n"/>
    </row>
    <row r="77" ht="15" customHeight="1" s="16">
      <c r="A77" s="26" t="n">
        <v>76</v>
      </c>
      <c r="B77" s="26" t="n">
        <v>43</v>
      </c>
      <c r="C77" s="26" t="n">
        <v>409</v>
      </c>
      <c r="D77" s="27" t="inlineStr">
        <is>
          <t>休休有長者風</t>
        </is>
      </c>
      <c r="E77" s="28" t="inlineStr">
        <is>
          <t>但酬酢之際</t>
        </is>
      </c>
      <c r="F77" s="27" t="inlineStr">
        <is>
          <t>不離賣買</t>
        </is>
      </c>
      <c r="G77" s="26" t="n"/>
      <c r="H77" s="29" t="n"/>
      <c r="I77" s="30" t="n"/>
      <c r="J77" s="30" t="n"/>
      <c r="K77" s="30" t="n"/>
      <c r="L77" s="30" t="n"/>
      <c r="M77" s="31" t="n"/>
      <c r="N77" s="29" t="n"/>
      <c r="O77" s="31" t="n"/>
    </row>
    <row r="78" ht="15" customHeight="1" s="16">
      <c r="A78" s="26" t="n">
        <v>77</v>
      </c>
      <c r="B78" s="26" t="n">
        <v>43</v>
      </c>
      <c r="C78" s="26" t="n">
        <v>410</v>
      </c>
      <c r="D78" s="27" t="inlineStr">
        <is>
          <t>但酬酢之際</t>
        </is>
      </c>
      <c r="E78" s="32" t="inlineStr">
        <is>
          <t>不離賣買</t>
        </is>
      </c>
      <c r="F78" s="27" t="inlineStr">
        <is>
          <t>胡生爲贈松下仙人圖</t>
        </is>
      </c>
      <c r="G78" s="26" t="inlineStr">
        <is>
          <t>●</t>
        </is>
      </c>
      <c r="H78" s="29" t="n"/>
      <c r="I78" s="30" t="n"/>
      <c r="J78" s="30" t="n"/>
      <c r="K78" s="30" t="n"/>
      <c r="L78" s="30" t="n"/>
      <c r="M78" s="31" t="n"/>
      <c r="N78" s="29" t="n"/>
      <c r="O78" s="31" t="n"/>
    </row>
    <row r="79" ht="15" customHeight="1" s="16">
      <c r="A79" s="26" t="n">
        <v>78</v>
      </c>
      <c r="B79" s="26" t="n">
        <v>43</v>
      </c>
      <c r="C79" s="26" t="n">
        <v>411</v>
      </c>
      <c r="D79" s="27" t="inlineStr">
        <is>
          <t>不離賣買</t>
        </is>
      </c>
      <c r="E79" s="28" t="inlineStr">
        <is>
          <t>胡生爲贈松下仙人圖</t>
        </is>
      </c>
      <c r="F79" s="27" t="inlineStr">
        <is>
          <t>林生亦贈畵扇一柄</t>
        </is>
      </c>
      <c r="G79" s="26" t="n"/>
      <c r="H79" s="29" t="n"/>
      <c r="I79" s="30" t="n"/>
      <c r="J79" s="30" t="n"/>
      <c r="K79" s="30" t="n"/>
      <c r="L79" s="30" t="n"/>
      <c r="M79" s="31" t="n"/>
      <c r="N79" s="29" t="n"/>
      <c r="O79" s="31" t="n"/>
    </row>
    <row r="80" ht="15" customHeight="1" s="16">
      <c r="A80" s="26" t="n">
        <v>79</v>
      </c>
      <c r="B80" s="26" t="n">
        <v>44</v>
      </c>
      <c r="C80" s="26" t="n">
        <v>43</v>
      </c>
      <c r="D80" s="27" t="inlineStr">
        <is>
          <t>行至高麗堡</t>
        </is>
      </c>
      <c r="E80" s="28" t="inlineStr">
        <is>
          <t>廬舍皆茅茨</t>
        </is>
      </c>
      <c r="F80" s="27" t="inlineStr">
        <is>
          <t>最寒儉</t>
        </is>
      </c>
      <c r="G80" s="26" t="n"/>
      <c r="H80" s="29" t="n"/>
      <c r="I80" s="30" t="n"/>
      <c r="J80" s="30" t="n"/>
      <c r="K80" s="30" t="n"/>
      <c r="L80" s="30" t="n"/>
      <c r="M80" s="31" t="n"/>
      <c r="N80" s="29" t="n"/>
      <c r="O80" s="31" t="n"/>
    </row>
    <row r="81" ht="15" customHeight="1" s="16">
      <c r="A81" s="26" t="n">
        <v>80</v>
      </c>
      <c r="B81" s="26" t="n">
        <v>44</v>
      </c>
      <c r="C81" s="26" t="n">
        <v>44</v>
      </c>
      <c r="D81" s="27" t="inlineStr">
        <is>
          <t>廬舍皆茅茨</t>
        </is>
      </c>
      <c r="E81" s="32" t="inlineStr">
        <is>
          <t>最寒儉</t>
        </is>
      </c>
      <c r="F81" s="27" t="inlineStr">
        <is>
          <t>不問可知爲高麗堡也</t>
        </is>
      </c>
      <c r="G81" s="26" t="inlineStr">
        <is>
          <t>●</t>
        </is>
      </c>
      <c r="H81" s="29" t="n"/>
      <c r="I81" s="30" t="n"/>
      <c r="J81" s="30" t="n"/>
      <c r="K81" s="30" t="n"/>
      <c r="L81" s="30" t="n"/>
      <c r="M81" s="31" t="n"/>
      <c r="N81" s="29" t="n"/>
      <c r="O81" s="31" t="n"/>
    </row>
    <row r="82" ht="15" customHeight="1" s="16">
      <c r="A82" s="26" t="n">
        <v>81</v>
      </c>
      <c r="B82" s="26" t="n">
        <v>44</v>
      </c>
      <c r="C82" s="26" t="n">
        <v>45</v>
      </c>
      <c r="D82" s="27" t="inlineStr">
        <is>
          <t>最寒儉</t>
        </is>
      </c>
      <c r="E82" s="28" t="inlineStr">
        <is>
          <t>不問可知爲高麗堡也</t>
        </is>
      </c>
      <c r="F82" s="27" t="inlineStr">
        <is>
          <t>丁丑被擄人</t>
        </is>
      </c>
      <c r="G82" s="26" t="n"/>
      <c r="H82" s="29" t="n"/>
      <c r="I82" s="30" t="n"/>
      <c r="J82" s="30" t="n"/>
      <c r="K82" s="30" t="n"/>
      <c r="L82" s="30" t="n"/>
      <c r="M82" s="31" t="n"/>
      <c r="N82" s="29" t="n"/>
      <c r="O82" s="31" t="n"/>
    </row>
    <row r="83" ht="15" customHeight="1" s="16">
      <c r="A83" s="26" t="n">
        <v>82</v>
      </c>
      <c r="B83" s="26" t="n">
        <v>44</v>
      </c>
      <c r="C83" s="26" t="n">
        <v>59</v>
      </c>
      <c r="D83" s="27" t="inlineStr">
        <is>
          <t>到古國</t>
        </is>
      </c>
      <c r="E83" s="28" t="inlineStr">
        <is>
          <t>多有流涕者</t>
        </is>
      </c>
      <c r="F83" s="27" t="inlineStr">
        <is>
          <t>馹卒輩因以爲利</t>
        </is>
      </c>
      <c r="G83" s="26" t="n"/>
      <c r="H83" s="29" t="n"/>
      <c r="I83" s="30" t="n"/>
      <c r="J83" s="30" t="n"/>
      <c r="K83" s="30" t="n"/>
      <c r="L83" s="30" t="n"/>
      <c r="M83" s="31" t="n"/>
      <c r="N83" s="29" t="n"/>
      <c r="O83" s="31" t="n"/>
    </row>
    <row r="84" ht="15" customHeight="1" s="16">
      <c r="A84" s="26" t="n">
        <v>83</v>
      </c>
      <c r="B84" s="26" t="n">
        <v>44</v>
      </c>
      <c r="C84" s="26" t="n">
        <v>60</v>
      </c>
      <c r="D84" s="27" t="inlineStr">
        <is>
          <t>多有流涕者</t>
        </is>
      </c>
      <c r="E84" s="32" t="inlineStr">
        <is>
          <t>馹卒輩因以爲利</t>
        </is>
      </c>
      <c r="F84" s="27" t="inlineStr">
        <is>
          <t>多白喫酒食</t>
        </is>
      </c>
      <c r="G84" s="26" t="inlineStr">
        <is>
          <t>●</t>
        </is>
      </c>
      <c r="H84" s="29" t="n"/>
      <c r="I84" s="30" t="n"/>
      <c r="J84" s="30" t="n"/>
      <c r="K84" s="30" t="n"/>
      <c r="L84" s="30" t="n"/>
      <c r="M84" s="31" t="n"/>
      <c r="N84" s="29" t="n"/>
      <c r="O84" s="31" t="n"/>
    </row>
    <row r="85" ht="15" customHeight="1" s="16">
      <c r="A85" s="26" t="n">
        <v>84</v>
      </c>
      <c r="B85" s="26" t="n">
        <v>44</v>
      </c>
      <c r="C85" s="26" t="n">
        <v>61</v>
      </c>
      <c r="D85" s="27" t="inlineStr">
        <is>
          <t>馹卒輩因以爲利</t>
        </is>
      </c>
      <c r="E85" s="28" t="inlineStr">
        <is>
          <t>多白喫酒食</t>
        </is>
      </c>
      <c r="F85" s="27" t="inlineStr">
        <is>
          <t>或別討器服</t>
        </is>
      </c>
      <c r="G85" s="26" t="n"/>
      <c r="H85" s="29" t="n"/>
      <c r="I85" s="30" t="n"/>
      <c r="J85" s="30" t="n"/>
      <c r="K85" s="30" t="n"/>
      <c r="L85" s="30" t="n"/>
      <c r="M85" s="31" t="n"/>
      <c r="N85" s="29" t="n"/>
      <c r="O85" s="31" t="n"/>
    </row>
    <row r="86" ht="15" customHeight="1" s="16">
      <c r="A86" s="26" t="n">
        <v>85</v>
      </c>
      <c r="B86" s="26" t="n">
        <v>44</v>
      </c>
      <c r="C86" s="26" t="n">
        <v>69</v>
      </c>
      <c r="D86" s="27" t="inlineStr">
        <is>
          <t>每値使行</t>
        </is>
      </c>
      <c r="E86" s="28" t="inlineStr">
        <is>
          <t>則閉藏酒食</t>
        </is>
      </c>
      <c r="F86" s="27" t="inlineStr">
        <is>
          <t>不肯賣買</t>
        </is>
      </c>
      <c r="G86" s="26" t="n"/>
      <c r="H86" s="29" t="n"/>
      <c r="I86" s="30" t="n"/>
      <c r="J86" s="30" t="n"/>
      <c r="K86" s="30" t="n"/>
      <c r="L86" s="30" t="n"/>
      <c r="M86" s="31" t="n"/>
      <c r="N86" s="29" t="n"/>
      <c r="O86" s="31" t="n"/>
    </row>
    <row r="87" ht="15" customHeight="1" s="16">
      <c r="A87" s="26" t="n">
        <v>86</v>
      </c>
      <c r="B87" s="26" t="n">
        <v>44</v>
      </c>
      <c r="C87" s="26" t="n">
        <v>70</v>
      </c>
      <c r="D87" s="27" t="inlineStr">
        <is>
          <t>則閉藏酒食</t>
        </is>
      </c>
      <c r="E87" s="32" t="inlineStr">
        <is>
          <t>不肯賣買</t>
        </is>
      </c>
      <c r="F87" s="27" t="inlineStr">
        <is>
          <t>懇要然後乃賣</t>
        </is>
      </c>
      <c r="G87" s="26" t="inlineStr">
        <is>
          <t>●</t>
        </is>
      </c>
      <c r="H87" s="29" t="n"/>
      <c r="I87" s="30" t="n"/>
      <c r="J87" s="30" t="n"/>
      <c r="K87" s="30" t="n"/>
      <c r="L87" s="30" t="n"/>
      <c r="M87" s="31" t="n"/>
      <c r="N87" s="29" t="n"/>
      <c r="O87" s="31" t="n"/>
    </row>
    <row r="88" ht="15" customHeight="1" s="16">
      <c r="A88" s="26" t="n">
        <v>87</v>
      </c>
      <c r="B88" s="26" t="n">
        <v>44</v>
      </c>
      <c r="C88" s="26" t="n">
        <v>71</v>
      </c>
      <c r="D88" s="27" t="inlineStr">
        <is>
          <t>不肯賣買</t>
        </is>
      </c>
      <c r="E88" s="32" t="inlineStr">
        <is>
          <t>懇要然後乃賣</t>
        </is>
      </c>
      <c r="F88" s="27" t="inlineStr">
        <is>
          <t>而必討厚價</t>
        </is>
      </c>
      <c r="G88" s="26" t="inlineStr">
        <is>
          <t>●</t>
        </is>
      </c>
      <c r="H88" s="29" t="n"/>
      <c r="I88" s="30" t="n"/>
      <c r="J88" s="30" t="n"/>
      <c r="K88" s="30" t="n"/>
      <c r="L88" s="30" t="n"/>
      <c r="M88" s="31" t="n"/>
      <c r="N88" s="29" t="n"/>
      <c r="O88" s="31" t="n"/>
    </row>
    <row r="89" ht="15" customHeight="1" s="16">
      <c r="A89" s="26" t="n">
        <v>88</v>
      </c>
      <c r="B89" s="26" t="n">
        <v>44</v>
      </c>
      <c r="C89" s="26" t="n">
        <v>72</v>
      </c>
      <c r="D89" s="27" t="inlineStr">
        <is>
          <t>懇要然後乃賣</t>
        </is>
      </c>
      <c r="E89" s="32" t="inlineStr">
        <is>
          <t>而必討厚價</t>
        </is>
      </c>
      <c r="F89" s="27" t="inlineStr">
        <is>
          <t>或先捧其價</t>
        </is>
      </c>
      <c r="G89" s="26" t="inlineStr">
        <is>
          <t>●</t>
        </is>
      </c>
      <c r="H89" s="29" t="n"/>
      <c r="I89" s="30" t="n"/>
      <c r="J89" s="30" t="n"/>
      <c r="K89" s="30" t="n"/>
      <c r="L89" s="30" t="n"/>
      <c r="M89" s="31" t="n"/>
      <c r="N89" s="29" t="n"/>
      <c r="O89" s="31" t="n"/>
    </row>
    <row r="90" ht="15" customHeight="1" s="16">
      <c r="A90" s="26" t="n">
        <v>89</v>
      </c>
      <c r="B90" s="26" t="n">
        <v>44</v>
      </c>
      <c r="C90" s="26" t="n">
        <v>73</v>
      </c>
      <c r="D90" s="27" t="inlineStr">
        <is>
          <t>而必討厚價</t>
        </is>
      </c>
      <c r="E90" s="32" t="inlineStr">
        <is>
          <t>或先捧其價</t>
        </is>
      </c>
      <c r="F90" s="27" t="inlineStr">
        <is>
          <t>馹</t>
        </is>
      </c>
      <c r="G90" s="26" t="inlineStr">
        <is>
          <t>●</t>
        </is>
      </c>
      <c r="H90" s="29" t="n"/>
      <c r="I90" s="30" t="n"/>
      <c r="J90" s="30" t="n"/>
      <c r="K90" s="30" t="n"/>
      <c r="L90" s="30" t="n"/>
      <c r="M90" s="31" t="n"/>
      <c r="N90" s="29" t="n"/>
      <c r="O90" s="31" t="n"/>
    </row>
    <row r="91" ht="15" customHeight="1" s="16">
      <c r="A91" s="26" t="n">
        <v>90</v>
      </c>
      <c r="B91" s="26" t="n">
        <v>44</v>
      </c>
      <c r="C91" s="26" t="n">
        <v>74</v>
      </c>
      <c r="D91" s="27" t="inlineStr">
        <is>
          <t>或先捧其價</t>
        </is>
      </c>
      <c r="E91" s="28" t="inlineStr">
        <is>
          <t>馹</t>
        </is>
      </c>
      <c r="F91" s="27" t="inlineStr">
        <is>
          <t>卒必百計欺詐</t>
        </is>
      </c>
      <c r="G91" s="26" t="n"/>
      <c r="H91" s="29" t="n"/>
      <c r="I91" s="30" t="n"/>
      <c r="J91" s="30" t="n"/>
      <c r="K91" s="30" t="n"/>
      <c r="L91" s="30" t="n"/>
      <c r="M91" s="31" t="n"/>
      <c r="N91" s="29" t="n"/>
      <c r="O91" s="31" t="n"/>
    </row>
    <row r="92" ht="15" customHeight="1" s="16">
      <c r="A92" s="26" t="n">
        <v>91</v>
      </c>
      <c r="B92" s="26" t="n">
        <v>44</v>
      </c>
      <c r="C92" s="26" t="n">
        <v>113</v>
      </c>
      <c r="D92" s="27" t="inlineStr">
        <is>
          <t>刷驅曰</t>
        </is>
      </c>
      <c r="E92" s="28" t="inlineStr">
        <is>
          <t>吾馬方虗氣</t>
        </is>
      </c>
      <c r="F92" s="27" t="inlineStr">
        <is>
          <t>要賣麥屑</t>
        </is>
      </c>
      <c r="G92" s="26" t="n"/>
      <c r="H92" s="29" t="n"/>
      <c r="I92" s="30" t="n"/>
      <c r="J92" s="30" t="n"/>
      <c r="K92" s="30" t="n"/>
      <c r="L92" s="30" t="n"/>
      <c r="M92" s="31" t="n"/>
      <c r="N92" s="29" t="n"/>
      <c r="O92" s="31" t="n"/>
    </row>
    <row r="93" ht="15" customHeight="1" s="16">
      <c r="A93" s="26" t="n">
        <v>92</v>
      </c>
      <c r="B93" s="26" t="n">
        <v>44</v>
      </c>
      <c r="C93" s="26" t="n">
        <v>114</v>
      </c>
      <c r="D93" s="27" t="inlineStr">
        <is>
          <t>吾馬方虗氣</t>
        </is>
      </c>
      <c r="E93" s="32" t="inlineStr">
        <is>
          <t>要賣麥屑</t>
        </is>
      </c>
      <c r="F93" s="27" t="inlineStr">
        <is>
          <t>爾何故</t>
        </is>
      </c>
      <c r="G93" s="26" t="inlineStr">
        <is>
          <t>●</t>
        </is>
      </c>
      <c r="H93" s="29" t="n"/>
      <c r="I93" s="30" t="n"/>
      <c r="J93" s="30" t="n"/>
      <c r="K93" s="30" t="n"/>
      <c r="L93" s="30" t="n"/>
      <c r="M93" s="31" t="n"/>
      <c r="N93" s="29" t="n"/>
      <c r="O93" s="31" t="n"/>
    </row>
    <row r="94" ht="15" customHeight="1" s="16">
      <c r="A94" s="26" t="n">
        <v>93</v>
      </c>
      <c r="B94" s="26" t="n">
        <v>44</v>
      </c>
      <c r="C94" s="26" t="n">
        <v>115</v>
      </c>
      <c r="D94" s="27" t="inlineStr">
        <is>
          <t>要賣麥屑</t>
        </is>
      </c>
      <c r="E94" s="28" t="inlineStr">
        <is>
          <t>爾何故</t>
        </is>
      </c>
      <c r="F94" s="27" t="inlineStr">
        <is>
          <t>打人</t>
        </is>
      </c>
      <c r="G94" s="26" t="n"/>
      <c r="H94" s="29" t="n"/>
      <c r="I94" s="30" t="n"/>
      <c r="J94" s="30" t="n"/>
      <c r="K94" s="30" t="n"/>
      <c r="L94" s="30" t="n"/>
      <c r="M94" s="31" t="n"/>
      <c r="N94" s="29" t="n"/>
      <c r="O94" s="31" t="n"/>
    </row>
    <row r="95" ht="15" customHeight="1" s="16">
      <c r="A95" s="26" t="n">
        <v>94</v>
      </c>
      <c r="B95" s="26" t="n">
        <v>44</v>
      </c>
      <c r="C95" s="26" t="n">
        <v>176</v>
      </c>
      <c r="D95" s="27" t="inlineStr">
        <is>
          <t>余牢辭若一認義</t>
        </is>
      </c>
      <c r="E95" s="28" t="inlineStr">
        <is>
          <t>則回還時</t>
        </is>
      </c>
      <c r="F95" s="27" t="inlineStr">
        <is>
          <t>必以京貨給與</t>
        </is>
      </c>
      <c r="G95" s="26" t="n"/>
      <c r="H95" s="29" t="n"/>
      <c r="I95" s="30" t="n"/>
      <c r="J95" s="30" t="n"/>
      <c r="K95" s="30" t="n"/>
      <c r="L95" s="30" t="n"/>
      <c r="M95" s="31" t="n"/>
      <c r="N95" s="29" t="n"/>
      <c r="O95" s="31" t="n"/>
    </row>
    <row r="96" ht="15" customHeight="1" s="16">
      <c r="A96" s="26" t="n">
        <v>95</v>
      </c>
      <c r="B96" s="26" t="n">
        <v>44</v>
      </c>
      <c r="C96" s="26" t="n">
        <v>177</v>
      </c>
      <c r="D96" s="27" t="inlineStr">
        <is>
          <t>則回還時</t>
        </is>
      </c>
      <c r="E96" s="32" t="inlineStr">
        <is>
          <t>必以京貨給與</t>
        </is>
      </c>
      <c r="F96" s="27" t="inlineStr">
        <is>
          <t>作爲情禮</t>
        </is>
      </c>
      <c r="G96" s="26" t="inlineStr">
        <is>
          <t>●</t>
        </is>
      </c>
      <c r="H96" s="29" t="n"/>
      <c r="I96" s="30" t="n"/>
      <c r="J96" s="30" t="n"/>
      <c r="K96" s="30" t="n"/>
      <c r="L96" s="30" t="n"/>
      <c r="M96" s="31" t="n"/>
      <c r="N96" s="29" t="n"/>
      <c r="O96" s="31" t="n"/>
    </row>
    <row r="97" ht="15" customHeight="1" s="16">
      <c r="A97" s="26" t="n">
        <v>96</v>
      </c>
      <c r="B97" s="26" t="n">
        <v>44</v>
      </c>
      <c r="C97" s="26" t="n">
        <v>178</v>
      </c>
      <c r="D97" s="27" t="inlineStr">
        <is>
          <t>必以京貨給與</t>
        </is>
      </c>
      <c r="E97" s="28" t="inlineStr">
        <is>
          <t>作爲情禮</t>
        </is>
      </c>
      <c r="F97" s="27" t="inlineStr">
        <is>
          <t>此馬頭輩例事云</t>
        </is>
      </c>
      <c r="G97" s="26" t="n"/>
      <c r="H97" s="29" t="n"/>
      <c r="I97" s="30" t="n"/>
      <c r="J97" s="30" t="n"/>
      <c r="K97" s="30" t="n"/>
      <c r="L97" s="30" t="n"/>
      <c r="M97" s="31" t="n"/>
      <c r="N97" s="29" t="n"/>
      <c r="O97" s="31" t="n"/>
    </row>
    <row r="98" ht="15" customHeight="1" s="16">
      <c r="A98" s="26" t="n">
        <v>97</v>
      </c>
      <c r="B98" s="26" t="n">
        <v>44</v>
      </c>
      <c r="C98" s="26" t="n">
        <v>275</v>
      </c>
      <c r="D98" s="27" t="inlineStr">
        <is>
          <t>然則何從得此</t>
        </is>
      </c>
      <c r="E98" s="28" t="inlineStr">
        <is>
          <t>沈曰</t>
        </is>
      </c>
      <c r="F98" s="27" t="inlineStr">
        <is>
          <t>曩於薊州市日收買</t>
        </is>
      </c>
      <c r="G98" s="26" t="n"/>
      <c r="H98" s="29" t="n"/>
      <c r="I98" s="30" t="n"/>
      <c r="J98" s="30" t="n"/>
      <c r="K98" s="30" t="n"/>
      <c r="L98" s="30" t="n"/>
      <c r="M98" s="31" t="n"/>
      <c r="N98" s="29" t="n"/>
      <c r="O98" s="31" t="n"/>
    </row>
    <row r="99" ht="15" customHeight="1" s="16">
      <c r="A99" s="26" t="n">
        <v>98</v>
      </c>
      <c r="B99" s="26" t="n">
        <v>44</v>
      </c>
      <c r="C99" s="26" t="n">
        <v>276</v>
      </c>
      <c r="D99" s="27" t="inlineStr">
        <is>
          <t>沈曰</t>
        </is>
      </c>
      <c r="E99" s="32" t="inlineStr">
        <is>
          <t>曩於薊州市日收買</t>
        </is>
      </c>
      <c r="F99" s="27" t="inlineStr">
        <is>
          <t>余曰</t>
        </is>
      </c>
      <c r="G99" s="26" t="inlineStr">
        <is>
          <t>●</t>
        </is>
      </c>
      <c r="H99" s="29" t="n"/>
      <c r="I99" s="30" t="n"/>
      <c r="J99" s="30" t="n"/>
      <c r="K99" s="30" t="n"/>
      <c r="L99" s="30" t="n"/>
      <c r="M99" s="31" t="n"/>
      <c r="N99" s="29" t="n"/>
      <c r="O99" s="31" t="n"/>
    </row>
    <row r="100" ht="15" customHeight="1" s="16">
      <c r="A100" s="26" t="n">
        <v>99</v>
      </c>
      <c r="B100" s="26" t="n">
        <v>44</v>
      </c>
      <c r="C100" s="26" t="n">
        <v>277</v>
      </c>
      <c r="D100" s="27" t="inlineStr">
        <is>
          <t>曩於薊州市日收買</t>
        </is>
      </c>
      <c r="E100" s="28" t="inlineStr">
        <is>
          <t>余曰</t>
        </is>
      </c>
      <c r="F100" s="27" t="inlineStr">
        <is>
          <t>可許謄去否</t>
        </is>
      </c>
      <c r="G100" s="26" t="n"/>
      <c r="H100" s="29" t="n"/>
      <c r="I100" s="30" t="n"/>
      <c r="J100" s="30" t="n"/>
      <c r="K100" s="30" t="n"/>
      <c r="L100" s="30" t="n"/>
      <c r="M100" s="31" t="n"/>
      <c r="N100" s="29" t="n"/>
      <c r="O100" s="31" t="n"/>
    </row>
    <row r="101" ht="29.85" customHeight="1" s="16">
      <c r="A101" s="26" t="n">
        <v>100</v>
      </c>
      <c r="B101" s="26" t="n">
        <v>46</v>
      </c>
      <c r="C101" s="26" t="n">
        <v>97</v>
      </c>
      <c r="D101" s="27" t="inlineStr">
        <is>
          <t>虎愀然變色易容而不悅曰</t>
        </is>
      </c>
      <c r="E101" s="28" t="inlineStr">
        <is>
          <t>陰陽者</t>
        </is>
      </c>
      <c r="F101" s="27" t="inlineStr">
        <is>
          <t>一氣之消息也而兩之</t>
        </is>
      </c>
      <c r="G101" s="26" t="n"/>
      <c r="H101" s="29" t="n"/>
      <c r="I101" s="30" t="n"/>
      <c r="J101" s="30" t="n"/>
      <c r="K101" s="30" t="n"/>
      <c r="L101" s="30" t="n"/>
      <c r="M101" s="31" t="n"/>
      <c r="N101" s="29" t="n"/>
      <c r="O101" s="31" t="n"/>
    </row>
    <row r="102" ht="15" customHeight="1" s="16">
      <c r="A102" s="26" t="n">
        <v>101</v>
      </c>
      <c r="B102" s="26" t="n">
        <v>46</v>
      </c>
      <c r="C102" s="26" t="n">
        <v>98</v>
      </c>
      <c r="D102" s="27" t="inlineStr">
        <is>
          <t>陰陽者</t>
        </is>
      </c>
      <c r="E102" s="32" t="inlineStr">
        <is>
          <t>一氣之消息也而兩之</t>
        </is>
      </c>
      <c r="F102" s="27" t="inlineStr">
        <is>
          <t>其肉雜也</t>
        </is>
      </c>
      <c r="G102" s="26" t="inlineStr">
        <is>
          <t>●</t>
        </is>
      </c>
      <c r="H102" s="29" t="n"/>
      <c r="I102" s="30" t="n"/>
      <c r="J102" s="30" t="n"/>
      <c r="K102" s="30" t="n"/>
      <c r="L102" s="30" t="n"/>
      <c r="M102" s="31" t="n"/>
      <c r="N102" s="29" t="n"/>
      <c r="O102" s="31" t="n"/>
    </row>
    <row r="103" ht="15" customHeight="1" s="16">
      <c r="A103" s="26" t="n">
        <v>102</v>
      </c>
      <c r="B103" s="26" t="n">
        <v>46</v>
      </c>
      <c r="C103" s="26" t="n">
        <v>99</v>
      </c>
      <c r="D103" s="27" t="inlineStr">
        <is>
          <t>一氣之消息也而兩之</t>
        </is>
      </c>
      <c r="E103" s="28" t="inlineStr">
        <is>
          <t>其肉雜也</t>
        </is>
      </c>
      <c r="F103" s="27" t="inlineStr">
        <is>
          <t>五行定位</t>
        </is>
      </c>
      <c r="G103" s="26" t="n"/>
      <c r="H103" s="29" t="n"/>
      <c r="I103" s="30" t="n"/>
      <c r="J103" s="30" t="n"/>
      <c r="K103" s="30" t="n"/>
      <c r="L103" s="30" t="n"/>
      <c r="M103" s="31" t="n"/>
      <c r="N103" s="29" t="n"/>
      <c r="O103" s="31" t="n"/>
    </row>
    <row r="104" ht="15" customHeight="1" s="16">
      <c r="A104" s="26" t="n">
        <v>103</v>
      </c>
      <c r="B104" s="26" t="n">
        <v>46</v>
      </c>
      <c r="C104" s="26" t="n">
        <v>107</v>
      </c>
      <c r="D104" s="27" t="inlineStr">
        <is>
          <t>六氣自行</t>
        </is>
      </c>
      <c r="E104" s="28" t="inlineStr">
        <is>
          <t>不待宣導</t>
        </is>
      </c>
      <c r="F104" s="27" t="inlineStr">
        <is>
          <t>乃今妄稱財相</t>
        </is>
      </c>
      <c r="G104" s="26" t="n"/>
      <c r="H104" s="29" t="n"/>
      <c r="I104" s="30" t="n"/>
      <c r="J104" s="30" t="n"/>
      <c r="K104" s="30" t="n"/>
      <c r="L104" s="30" t="n"/>
      <c r="M104" s="31" t="n"/>
      <c r="N104" s="29" t="n"/>
      <c r="O104" s="31" t="n"/>
    </row>
    <row r="105" ht="15" customHeight="1" s="16">
      <c r="A105" s="26" t="n">
        <v>104</v>
      </c>
      <c r="B105" s="26" t="n">
        <v>46</v>
      </c>
      <c r="C105" s="26" t="n">
        <v>108</v>
      </c>
      <c r="D105" s="27" t="inlineStr">
        <is>
          <t>不待宣導</t>
        </is>
      </c>
      <c r="E105" s="32" t="inlineStr">
        <is>
          <t>乃今妄稱財相</t>
        </is>
      </c>
      <c r="F105" s="27" t="inlineStr">
        <is>
          <t>私顯己功</t>
        </is>
      </c>
      <c r="G105" s="26" t="inlineStr">
        <is>
          <t>●</t>
        </is>
      </c>
      <c r="H105" s="29" t="n"/>
      <c r="I105" s="30" t="n"/>
      <c r="J105" s="30" t="n"/>
      <c r="K105" s="30" t="n"/>
      <c r="L105" s="30" t="n"/>
      <c r="M105" s="31" t="n"/>
      <c r="N105" s="29" t="n"/>
      <c r="O105" s="31" t="n"/>
    </row>
    <row r="106" ht="15" customHeight="1" s="16">
      <c r="A106" s="26" t="n">
        <v>105</v>
      </c>
      <c r="B106" s="26" t="n">
        <v>46</v>
      </c>
      <c r="C106" s="26" t="n">
        <v>109</v>
      </c>
      <c r="D106" s="27" t="inlineStr">
        <is>
          <t>乃今妄稱財相</t>
        </is>
      </c>
      <c r="E106" s="28" t="inlineStr">
        <is>
          <t>私顯己功</t>
        </is>
      </c>
      <c r="F106" s="27" t="inlineStr">
        <is>
          <t>其爲食也</t>
        </is>
      </c>
      <c r="G106" s="26" t="n"/>
      <c r="H106" s="29" t="n"/>
      <c r="I106" s="30" t="n"/>
      <c r="J106" s="30" t="n"/>
      <c r="K106" s="30" t="n"/>
      <c r="L106" s="30" t="n"/>
      <c r="M106" s="31" t="n"/>
      <c r="N106" s="29" t="n"/>
      <c r="O106" s="31" t="n"/>
    </row>
    <row r="107" ht="15" customHeight="1" s="16">
      <c r="A107" s="26" t="n">
        <v>106</v>
      </c>
      <c r="B107" s="26" t="n">
        <v>46</v>
      </c>
      <c r="C107" s="26" t="n">
        <v>162</v>
      </c>
      <c r="D107" s="27" t="inlineStr">
        <is>
          <t>相與謀曰</t>
        </is>
      </c>
      <c r="E107" s="28" t="inlineStr">
        <is>
          <t>吾聞得狐之冠者</t>
        </is>
      </c>
      <c r="F107" s="27" t="inlineStr">
        <is>
          <t>家致千金之富</t>
        </is>
      </c>
      <c r="G107" s="26" t="n"/>
      <c r="H107" s="29" t="n"/>
      <c r="I107" s="30" t="n"/>
      <c r="J107" s="30" t="n"/>
      <c r="K107" s="30" t="n"/>
      <c r="L107" s="30" t="n"/>
      <c r="M107" s="31" t="n"/>
      <c r="N107" s="29" t="n"/>
      <c r="O107" s="31" t="n"/>
    </row>
    <row r="108" ht="15" customHeight="1" s="16">
      <c r="A108" s="26" t="n">
        <v>107</v>
      </c>
      <c r="B108" s="26" t="n">
        <v>46</v>
      </c>
      <c r="C108" s="26" t="n">
        <v>163</v>
      </c>
      <c r="D108" s="27" t="inlineStr">
        <is>
          <t>吾聞得狐之冠者</t>
        </is>
      </c>
      <c r="E108" s="32" t="inlineStr">
        <is>
          <t>家致千金之富</t>
        </is>
      </c>
      <c r="F108" s="27" t="inlineStr">
        <is>
          <t>得狐之履者</t>
        </is>
      </c>
      <c r="G108" s="26" t="inlineStr">
        <is>
          <t>●</t>
        </is>
      </c>
      <c r="H108" s="29" t="n"/>
      <c r="I108" s="30" t="n"/>
      <c r="J108" s="30" t="n"/>
      <c r="K108" s="30" t="n"/>
      <c r="L108" s="30" t="n"/>
      <c r="M108" s="31" t="n"/>
      <c r="N108" s="29" t="n"/>
      <c r="O108" s="31" t="n"/>
    </row>
    <row r="109" ht="15" customHeight="1" s="16">
      <c r="A109" s="26" t="n">
        <v>108</v>
      </c>
      <c r="B109" s="26" t="n">
        <v>46</v>
      </c>
      <c r="C109" s="26" t="n">
        <v>164</v>
      </c>
      <c r="D109" s="27" t="inlineStr">
        <is>
          <t>家致千金之富</t>
        </is>
      </c>
      <c r="E109" s="28" t="inlineStr">
        <is>
          <t>得狐之履者</t>
        </is>
      </c>
      <c r="F109" s="27" t="inlineStr">
        <is>
          <t>能匿影</t>
        </is>
      </c>
      <c r="G109" s="26" t="n"/>
      <c r="H109" s="29" t="n"/>
      <c r="I109" s="30" t="n"/>
      <c r="J109" s="30" t="n"/>
      <c r="K109" s="30" t="n"/>
      <c r="L109" s="30" t="n"/>
      <c r="M109" s="31" t="n"/>
      <c r="N109" s="29" t="n"/>
      <c r="O109" s="31" t="n"/>
    </row>
    <row r="110" ht="15" customHeight="1" s="16">
      <c r="A110" s="26" t="n">
        <v>109</v>
      </c>
      <c r="B110" s="26" t="n">
        <v>46</v>
      </c>
      <c r="C110" s="26" t="n">
        <v>175</v>
      </c>
      <c r="D110" s="27" t="inlineStr">
        <is>
          <t>鬼舞鬼笑</t>
        </is>
      </c>
      <c r="E110" s="28" t="inlineStr">
        <is>
          <t>出門而跑</t>
        </is>
      </c>
      <c r="F110" s="27" t="inlineStr">
        <is>
          <t>乃陷野窖</t>
        </is>
      </c>
      <c r="G110" s="26" t="n"/>
      <c r="H110" s="29" t="n"/>
      <c r="I110" s="30" t="n"/>
      <c r="J110" s="30" t="n"/>
      <c r="K110" s="30" t="n"/>
      <c r="L110" s="30" t="n"/>
      <c r="M110" s="31" t="n"/>
      <c r="N110" s="29" t="n"/>
      <c r="O110" s="31" t="n"/>
    </row>
    <row r="111" ht="15" customHeight="1" s="16">
      <c r="A111" s="26" t="n">
        <v>110</v>
      </c>
      <c r="B111" s="26" t="n">
        <v>46</v>
      </c>
      <c r="C111" s="26" t="n">
        <v>176</v>
      </c>
      <c r="D111" s="27" t="inlineStr">
        <is>
          <t>出門而跑</t>
        </is>
      </c>
      <c r="E111" s="32" t="inlineStr">
        <is>
          <t>乃陷野窖</t>
        </is>
      </c>
      <c r="F111" s="27" t="inlineStr">
        <is>
          <t>穢滿其中</t>
        </is>
      </c>
      <c r="G111" s="26" t="inlineStr">
        <is>
          <t>●</t>
        </is>
      </c>
      <c r="H111" s="29" t="n"/>
      <c r="I111" s="30" t="n"/>
      <c r="J111" s="30" t="n"/>
      <c r="K111" s="30" t="n"/>
      <c r="L111" s="30" t="n"/>
      <c r="M111" s="31" t="n"/>
      <c r="N111" s="29" t="n"/>
      <c r="O111" s="31" t="n"/>
    </row>
    <row r="112" ht="15" customHeight="1" s="16">
      <c r="A112" s="26" t="n">
        <v>111</v>
      </c>
      <c r="B112" s="26" t="n">
        <v>46</v>
      </c>
      <c r="C112" s="26" t="n">
        <v>177</v>
      </c>
      <c r="D112" s="27" t="inlineStr">
        <is>
          <t>乃陷野窖</t>
        </is>
      </c>
      <c r="E112" s="28" t="inlineStr">
        <is>
          <t>穢滿其中</t>
        </is>
      </c>
      <c r="F112" s="27" t="inlineStr">
        <is>
          <t>攀援出首而望</t>
        </is>
      </c>
      <c r="G112" s="26" t="n"/>
      <c r="H112" s="29" t="n"/>
      <c r="I112" s="30" t="n"/>
      <c r="J112" s="30" t="n"/>
      <c r="K112" s="30" t="n"/>
      <c r="L112" s="30" t="n"/>
      <c r="M112" s="31" t="n"/>
      <c r="N112" s="29" t="n"/>
      <c r="O112" s="31" t="n"/>
    </row>
    <row r="113" ht="15" customHeight="1" s="16">
      <c r="A113" s="26" t="n">
        <v>112</v>
      </c>
      <c r="B113" s="26" t="n">
        <v>46</v>
      </c>
      <c r="C113" s="26" t="n">
        <v>263</v>
      </c>
      <c r="D113" s="27" t="inlineStr">
        <is>
          <t>挐攫而不恥</t>
        </is>
      </c>
      <c r="E113" s="28" t="inlineStr">
        <is>
          <t>甚者</t>
        </is>
      </c>
      <c r="F113" s="27" t="inlineStr">
        <is>
          <t>呼錢爲兄</t>
        </is>
      </c>
      <c r="G113" s="26" t="n"/>
      <c r="H113" s="29" t="n"/>
      <c r="I113" s="30" t="n"/>
      <c r="J113" s="30" t="n"/>
      <c r="K113" s="30" t="n"/>
      <c r="L113" s="30" t="n"/>
      <c r="M113" s="31" t="n"/>
      <c r="N113" s="29" t="n"/>
      <c r="O113" s="31" t="n"/>
    </row>
    <row r="114" ht="15" customHeight="1" s="16">
      <c r="A114" s="26" t="n">
        <v>113</v>
      </c>
      <c r="B114" s="26" t="n">
        <v>46</v>
      </c>
      <c r="C114" s="26" t="n">
        <v>264</v>
      </c>
      <c r="D114" s="27" t="inlineStr">
        <is>
          <t>甚者</t>
        </is>
      </c>
      <c r="E114" s="32" t="inlineStr">
        <is>
          <t>呼錢爲兄</t>
        </is>
      </c>
      <c r="F114" s="27" t="inlineStr">
        <is>
          <t>求將殺妻</t>
        </is>
      </c>
      <c r="G114" s="26" t="inlineStr">
        <is>
          <t>●</t>
        </is>
      </c>
      <c r="H114" s="29" t="n"/>
      <c r="I114" s="30" t="n"/>
      <c r="J114" s="30" t="n"/>
      <c r="K114" s="30" t="n"/>
      <c r="L114" s="30" t="n"/>
      <c r="M114" s="31" t="n"/>
      <c r="N114" s="29" t="n"/>
      <c r="O114" s="31" t="n"/>
    </row>
    <row r="115" ht="29.85" customHeight="1" s="16">
      <c r="A115" s="26" t="n">
        <v>114</v>
      </c>
      <c r="B115" s="26" t="n">
        <v>46</v>
      </c>
      <c r="C115" s="26" t="n">
        <v>265</v>
      </c>
      <c r="D115" s="27" t="inlineStr">
        <is>
          <t>呼錢爲兄</t>
        </is>
      </c>
      <c r="E115" s="28" t="inlineStr">
        <is>
          <t>求將殺妻</t>
        </is>
      </c>
      <c r="F115" s="27" t="inlineStr">
        <is>
          <t>則不可復論於倫常之道矣</t>
        </is>
      </c>
      <c r="G115" s="26" t="n"/>
      <c r="H115" s="29" t="n"/>
      <c r="I115" s="30" t="n"/>
      <c r="J115" s="30" t="n"/>
      <c r="K115" s="30" t="n"/>
      <c r="L115" s="30" t="n"/>
      <c r="M115" s="31" t="n"/>
      <c r="N115" s="29" t="n"/>
      <c r="O115" s="31" t="n"/>
    </row>
    <row r="116" ht="15" customHeight="1" s="16">
      <c r="A116" s="26" t="n">
        <v>115</v>
      </c>
      <c r="B116" s="26" t="n">
        <v>46</v>
      </c>
      <c r="C116" s="26" t="n">
        <v>289</v>
      </c>
      <c r="D116" s="27" t="inlineStr">
        <is>
          <t>獨不爲天地之巨盜乎</t>
        </is>
      </c>
      <c r="E116" s="28" t="inlineStr">
        <is>
          <t>肆然攘</t>
        </is>
      </c>
      <c r="F116" s="27" t="inlineStr">
        <is>
          <t>竊於蝗蚕之資者</t>
        </is>
      </c>
      <c r="G116" s="26" t="n"/>
      <c r="H116" s="29" t="n"/>
      <c r="I116" s="30" t="n"/>
      <c r="J116" s="30" t="n"/>
      <c r="K116" s="30" t="n"/>
      <c r="L116" s="30" t="n"/>
      <c r="M116" s="31" t="n"/>
      <c r="N116" s="29" t="n"/>
      <c r="O116" s="31" t="n"/>
    </row>
    <row r="117" ht="15" customHeight="1" s="16">
      <c r="A117" s="26" t="n">
        <v>116</v>
      </c>
      <c r="B117" s="26" t="n">
        <v>46</v>
      </c>
      <c r="C117" s="26" t="n">
        <v>290</v>
      </c>
      <c r="D117" s="27" t="inlineStr">
        <is>
          <t>肆然攘</t>
        </is>
      </c>
      <c r="E117" s="32" t="inlineStr">
        <is>
          <t>竊於蝗蚕之資者</t>
        </is>
      </c>
      <c r="F117" s="27" t="inlineStr">
        <is>
          <t>獨不爲仁義之大賊乎</t>
        </is>
      </c>
      <c r="G117" s="26" t="inlineStr">
        <is>
          <t>●</t>
        </is>
      </c>
      <c r="H117" s="29" t="n"/>
      <c r="I117" s="30" t="n"/>
      <c r="J117" s="30" t="n"/>
      <c r="K117" s="30" t="n"/>
      <c r="L117" s="30" t="n"/>
      <c r="M117" s="31" t="n"/>
      <c r="N117" s="29" t="n"/>
      <c r="O117" s="31" t="n"/>
    </row>
    <row r="118" ht="15" customHeight="1" s="16">
      <c r="A118" s="26" t="n">
        <v>117</v>
      </c>
      <c r="B118" s="26" t="n">
        <v>46</v>
      </c>
      <c r="C118" s="26" t="n">
        <v>291</v>
      </c>
      <c r="D118" s="27" t="inlineStr">
        <is>
          <t>竊於蝗蚕之資者</t>
        </is>
      </c>
      <c r="E118" s="28" t="inlineStr">
        <is>
          <t>獨不爲仁義之大賊乎</t>
        </is>
      </c>
      <c r="F118" s="27" t="inlineStr">
        <is>
          <t>虎未甞食豹者</t>
        </is>
      </c>
      <c r="G118" s="26" t="n"/>
      <c r="H118" s="29" t="n"/>
      <c r="I118" s="30" t="n"/>
      <c r="J118" s="30" t="n"/>
      <c r="K118" s="30" t="n"/>
      <c r="L118" s="30" t="n"/>
      <c r="M118" s="31" t="n"/>
      <c r="N118" s="29" t="n"/>
      <c r="O118" s="31" t="n"/>
    </row>
    <row r="119" ht="15" customHeight="1" s="16">
      <c r="A119" s="26" t="n">
        <v>118</v>
      </c>
      <c r="B119" s="26" t="n">
        <v>46</v>
      </c>
      <c r="C119" s="26" t="n">
        <v>321</v>
      </c>
      <c r="D119" s="27" t="inlineStr">
        <is>
          <t>故不惑於巫醫之姦</t>
        </is>
      </c>
      <c r="E119" s="28" t="inlineStr">
        <is>
          <t>踐形而盡性</t>
        </is>
      </c>
      <c r="F119" s="27" t="inlineStr">
        <is>
          <t>故不疚乎世俗之利</t>
        </is>
      </c>
      <c r="G119" s="26" t="n"/>
      <c r="H119" s="29" t="n"/>
      <c r="I119" s="30" t="n"/>
      <c r="J119" s="30" t="n"/>
      <c r="K119" s="30" t="n"/>
      <c r="L119" s="30" t="n"/>
      <c r="M119" s="31" t="n"/>
      <c r="N119" s="29" t="n"/>
      <c r="O119" s="31" t="n"/>
    </row>
    <row r="120" ht="15" customHeight="1" s="16">
      <c r="A120" s="26" t="n">
        <v>119</v>
      </c>
      <c r="B120" s="26" t="n">
        <v>46</v>
      </c>
      <c r="C120" s="26" t="n">
        <v>322</v>
      </c>
      <c r="D120" s="27" t="inlineStr">
        <is>
          <t>踐形而盡性</t>
        </is>
      </c>
      <c r="E120" s="32" t="inlineStr">
        <is>
          <t>故不疚乎世俗之利</t>
        </is>
      </c>
      <c r="F120" s="27" t="inlineStr">
        <is>
          <t>此虎之所以睿</t>
        </is>
      </c>
      <c r="G120" s="26" t="inlineStr">
        <is>
          <t>●</t>
        </is>
      </c>
      <c r="H120" s="29" t="n"/>
      <c r="I120" s="30" t="n"/>
      <c r="J120" s="30" t="n"/>
      <c r="K120" s="30" t="n"/>
      <c r="L120" s="30" t="n"/>
      <c r="M120" s="31" t="n"/>
      <c r="N120" s="29" t="n"/>
      <c r="O120" s="31" t="n"/>
    </row>
    <row r="121" ht="15" customHeight="1" s="16">
      <c r="A121" s="26" t="n">
        <v>120</v>
      </c>
      <c r="B121" s="26" t="n">
        <v>46</v>
      </c>
      <c r="C121" s="26" t="n">
        <v>323</v>
      </c>
      <c r="D121" s="27" t="inlineStr">
        <is>
          <t>故不疚乎世俗之利</t>
        </is>
      </c>
      <c r="E121" s="28" t="inlineStr">
        <is>
          <t>此虎之所以睿</t>
        </is>
      </c>
      <c r="F121" s="27" t="inlineStr">
        <is>
          <t>聖也</t>
        </is>
      </c>
      <c r="G121" s="26" t="n"/>
      <c r="H121" s="29" t="n"/>
      <c r="I121" s="30" t="n"/>
      <c r="J121" s="30" t="n"/>
      <c r="K121" s="30" t="n"/>
      <c r="L121" s="30" t="n"/>
      <c r="M121" s="31" t="n"/>
      <c r="N121" s="29" t="n"/>
      <c r="O121" s="31" t="n"/>
    </row>
    <row r="122" ht="15" customHeight="1" s="16">
      <c r="A122" s="26" t="n">
        <v>121</v>
      </c>
      <c r="B122" s="26" t="n">
        <v>46</v>
      </c>
      <c r="C122" s="26" t="n">
        <v>327</v>
      </c>
      <c r="D122" s="27" t="inlineStr">
        <is>
          <t>足以示文於天下也</t>
        </is>
      </c>
      <c r="E122" s="28" t="inlineStr">
        <is>
          <t>不藉尺寸之兵</t>
        </is>
      </c>
      <c r="F122" s="27" t="inlineStr">
        <is>
          <t>而獨任爪牙之利</t>
        </is>
      </c>
      <c r="G122" s="26" t="n"/>
      <c r="H122" s="29" t="n"/>
      <c r="I122" s="30" t="n"/>
      <c r="J122" s="30" t="n"/>
      <c r="K122" s="30" t="n"/>
      <c r="L122" s="30" t="n"/>
      <c r="M122" s="31" t="n"/>
      <c r="N122" s="29" t="n"/>
      <c r="O122" s="31" t="n"/>
    </row>
    <row r="123" ht="15" customHeight="1" s="16">
      <c r="A123" s="26" t="n">
        <v>122</v>
      </c>
      <c r="B123" s="26" t="n">
        <v>46</v>
      </c>
      <c r="C123" s="26" t="n">
        <v>328</v>
      </c>
      <c r="D123" s="27" t="inlineStr">
        <is>
          <t>不藉尺寸之兵</t>
        </is>
      </c>
      <c r="E123" s="32" t="inlineStr">
        <is>
          <t>而獨任爪牙之利</t>
        </is>
      </c>
      <c r="F123" s="27" t="inlineStr">
        <is>
          <t>所以耀武於天下也</t>
        </is>
      </c>
      <c r="G123" s="26" t="inlineStr">
        <is>
          <t>●</t>
        </is>
      </c>
      <c r="H123" s="29" t="n"/>
      <c r="I123" s="30" t="n"/>
      <c r="J123" s="30" t="n"/>
      <c r="K123" s="30" t="n"/>
      <c r="L123" s="30" t="n"/>
      <c r="M123" s="31" t="n"/>
      <c r="N123" s="29" t="n"/>
      <c r="O123" s="31" t="n"/>
    </row>
    <row r="124" ht="15" customHeight="1" s="16">
      <c r="A124" s="26" t="n">
        <v>123</v>
      </c>
      <c r="B124" s="26" t="n">
        <v>46</v>
      </c>
      <c r="C124" s="26" t="n">
        <v>329</v>
      </c>
      <c r="D124" s="27" t="inlineStr">
        <is>
          <t>而獨任爪牙之利</t>
        </is>
      </c>
      <c r="E124" s="28" t="inlineStr">
        <is>
          <t>所以耀武於天下也</t>
        </is>
      </c>
      <c r="F124" s="27" t="inlineStr">
        <is>
          <t>彛卣蜼尊</t>
        </is>
      </c>
      <c r="G124" s="26" t="n"/>
      <c r="H124" s="29" t="n"/>
      <c r="I124" s="30" t="n"/>
      <c r="J124" s="30" t="n"/>
      <c r="K124" s="30" t="n"/>
      <c r="L124" s="30" t="n"/>
      <c r="M124" s="31" t="n"/>
      <c r="N124" s="29" t="n"/>
      <c r="O124" s="31" t="n"/>
    </row>
    <row r="125" ht="15" customHeight="1" s="16">
      <c r="A125" s="26" t="n">
        <v>124</v>
      </c>
      <c r="B125" s="26" t="n">
        <v>46</v>
      </c>
      <c r="C125" s="26" t="n">
        <v>377</v>
      </c>
      <c r="D125" s="27" t="inlineStr">
        <is>
          <t>下土賤臣</t>
        </is>
      </c>
      <c r="E125" s="28" t="inlineStr">
        <is>
          <t>敢在下風</t>
        </is>
      </c>
      <c r="F125" s="27" t="inlineStr">
        <is>
          <t>屛息潛聽</t>
        </is>
      </c>
      <c r="G125" s="26" t="n"/>
      <c r="H125" s="29" t="n"/>
      <c r="I125" s="30" t="n"/>
      <c r="J125" s="30" t="n"/>
      <c r="K125" s="30" t="n"/>
      <c r="L125" s="30" t="n"/>
      <c r="M125" s="31" t="n"/>
      <c r="N125" s="29" t="n"/>
      <c r="O125" s="31" t="n"/>
    </row>
    <row r="126" ht="15" customHeight="1" s="16">
      <c r="A126" s="26" t="n">
        <v>125</v>
      </c>
      <c r="B126" s="26" t="n">
        <v>46</v>
      </c>
      <c r="C126" s="26" t="n">
        <v>378</v>
      </c>
      <c r="D126" s="27" t="inlineStr">
        <is>
          <t>敢在下風</t>
        </is>
      </c>
      <c r="E126" s="32" t="inlineStr">
        <is>
          <t>屛息潛聽</t>
        </is>
      </c>
      <c r="F126" s="27" t="inlineStr">
        <is>
          <t>久無所命</t>
        </is>
      </c>
      <c r="G126" s="26" t="inlineStr">
        <is>
          <t>●</t>
        </is>
      </c>
      <c r="H126" s="29" t="n"/>
      <c r="I126" s="30" t="n"/>
      <c r="J126" s="30" t="n"/>
      <c r="K126" s="30" t="n"/>
      <c r="L126" s="30" t="n"/>
      <c r="M126" s="31" t="n"/>
      <c r="N126" s="29" t="n"/>
      <c r="O126" s="31" t="n"/>
    </row>
    <row r="127" ht="15" customHeight="1" s="16">
      <c r="A127" s="26" t="n">
        <v>126</v>
      </c>
      <c r="B127" s="26" t="n">
        <v>46</v>
      </c>
      <c r="C127" s="26" t="n">
        <v>379</v>
      </c>
      <c r="D127" s="27" t="inlineStr">
        <is>
          <t>屛息潛聽</t>
        </is>
      </c>
      <c r="E127" s="28" t="inlineStr">
        <is>
          <t>久無所命</t>
        </is>
      </c>
      <c r="F127" s="27" t="inlineStr">
        <is>
          <t>誠惶誠恐</t>
        </is>
      </c>
      <c r="G127" s="26" t="n"/>
      <c r="H127" s="29" t="n"/>
      <c r="I127" s="30" t="n"/>
      <c r="J127" s="30" t="n"/>
      <c r="K127" s="30" t="n"/>
      <c r="L127" s="30" t="n"/>
      <c r="M127" s="31" t="n"/>
      <c r="N127" s="29" t="n"/>
      <c r="O127" s="31" t="n"/>
    </row>
    <row r="128" ht="15" customHeight="1" s="16">
      <c r="A128" s="26" t="n">
        <v>127</v>
      </c>
      <c r="B128" s="26" t="n">
        <v>48</v>
      </c>
      <c r="C128" s="26" t="n">
        <v>35</v>
      </c>
      <c r="D128" s="27" t="inlineStr">
        <is>
          <t>乃胥吏之別稱</t>
        </is>
      </c>
      <c r="E128" s="28" t="inlineStr">
        <is>
          <t>而宋爲此地大姓</t>
        </is>
      </c>
      <c r="F128" s="27" t="inlineStr">
        <is>
          <t>宗族數百人家富饒</t>
        </is>
      </c>
      <c r="G128" s="26" t="n"/>
      <c r="H128" s="29" t="n"/>
      <c r="I128" s="30" t="n"/>
      <c r="J128" s="30" t="n"/>
      <c r="K128" s="30" t="n"/>
      <c r="L128" s="30" t="n"/>
      <c r="M128" s="31" t="n"/>
      <c r="N128" s="29" t="n"/>
      <c r="O128" s="31" t="n"/>
    </row>
    <row r="129" ht="15" customHeight="1" s="16">
      <c r="A129" s="26" t="n">
        <v>128</v>
      </c>
      <c r="B129" s="26" t="n">
        <v>48</v>
      </c>
      <c r="C129" s="26" t="n">
        <v>36</v>
      </c>
      <c r="D129" s="27" t="inlineStr">
        <is>
          <t>而宋爲此地大姓</t>
        </is>
      </c>
      <c r="E129" s="32" t="inlineStr">
        <is>
          <t>宗族數百人家富饒</t>
        </is>
      </c>
      <c r="F129" s="27" t="inlineStr">
        <is>
          <t>當</t>
        </is>
      </c>
      <c r="G129" s="26" t="inlineStr">
        <is>
          <t>●</t>
        </is>
      </c>
      <c r="H129" s="29" t="n"/>
      <c r="I129" s="30" t="n"/>
      <c r="J129" s="30" t="n"/>
      <c r="K129" s="30" t="n"/>
      <c r="L129" s="30" t="n"/>
      <c r="M129" s="31" t="n"/>
      <c r="N129" s="29" t="n"/>
      <c r="O129" s="31" t="n"/>
    </row>
    <row r="130" ht="15" customHeight="1" s="16">
      <c r="A130" s="26" t="n">
        <v>129</v>
      </c>
      <c r="B130" s="26" t="n">
        <v>48</v>
      </c>
      <c r="C130" s="26" t="n">
        <v>37</v>
      </c>
      <c r="D130" s="27" t="inlineStr">
        <is>
          <t>宗族數百人家富饒</t>
        </is>
      </c>
      <c r="E130" s="28" t="inlineStr">
        <is>
          <t>當</t>
        </is>
      </c>
      <c r="F130" s="27" t="inlineStr">
        <is>
          <t>明淸之際</t>
        </is>
      </c>
      <c r="G130" s="26" t="n"/>
      <c r="H130" s="29" t="n"/>
      <c r="I130" s="30" t="n"/>
      <c r="J130" s="30" t="n"/>
      <c r="K130" s="30" t="n"/>
      <c r="L130" s="30" t="n"/>
      <c r="M130" s="31" t="n"/>
      <c r="N130" s="29" t="n"/>
      <c r="O130" s="31" t="n"/>
    </row>
    <row r="131" ht="15" customHeight="1" s="16">
      <c r="A131" s="26" t="n">
        <v>130</v>
      </c>
      <c r="B131" s="26" t="n">
        <v>48</v>
      </c>
      <c r="C131" s="26" t="n">
        <v>53</v>
      </c>
      <c r="D131" s="27" t="inlineStr">
        <is>
          <t>不卽出降</t>
        </is>
      </c>
      <c r="E131" s="28" t="inlineStr">
        <is>
          <t>淸人惡之</t>
        </is>
      </c>
      <c r="F131" s="27" t="inlineStr">
        <is>
          <t>歲罰銀千兩</t>
        </is>
      </c>
      <c r="G131" s="26" t="n"/>
      <c r="H131" s="29" t="n"/>
      <c r="I131" s="30" t="n"/>
      <c r="J131" s="30" t="n"/>
      <c r="K131" s="30" t="n"/>
      <c r="L131" s="30" t="n"/>
      <c r="M131" s="31" t="n"/>
      <c r="N131" s="29" t="n"/>
      <c r="O131" s="31" t="n"/>
    </row>
    <row r="132" ht="15" customHeight="1" s="16">
      <c r="A132" s="26" t="n">
        <v>131</v>
      </c>
      <c r="B132" s="26" t="n">
        <v>48</v>
      </c>
      <c r="C132" s="26" t="n">
        <v>54</v>
      </c>
      <c r="D132" s="27" t="inlineStr">
        <is>
          <t>淸人惡之</t>
        </is>
      </c>
      <c r="E132" s="32" t="inlineStr">
        <is>
          <t>歲罰銀千兩</t>
        </is>
      </c>
      <c r="F132" s="27" t="inlineStr">
        <is>
          <t>康煕</t>
        </is>
      </c>
      <c r="G132" s="26" t="inlineStr">
        <is>
          <t>●</t>
        </is>
      </c>
      <c r="H132" s="29" t="n"/>
      <c r="I132" s="30" t="n"/>
      <c r="J132" s="30" t="n"/>
      <c r="K132" s="30" t="n"/>
      <c r="L132" s="30" t="n"/>
      <c r="M132" s="31" t="n"/>
      <c r="N132" s="29" t="n"/>
      <c r="O132" s="31" t="n"/>
    </row>
    <row r="133" ht="15" customHeight="1" s="16">
      <c r="A133" s="26" t="n">
        <v>132</v>
      </c>
      <c r="B133" s="26" t="n">
        <v>48</v>
      </c>
      <c r="C133" s="26" t="n">
        <v>55</v>
      </c>
      <c r="D133" s="27" t="inlineStr">
        <is>
          <t>歲罰銀千兩</t>
        </is>
      </c>
      <c r="E133" s="28" t="inlineStr">
        <is>
          <t>康煕</t>
        </is>
      </c>
      <c r="F133" s="27" t="inlineStr">
        <is>
          <t>末</t>
        </is>
      </c>
      <c r="G133" s="26" t="n"/>
      <c r="H133" s="29" t="n"/>
      <c r="I133" s="30" t="n"/>
      <c r="J133" s="30" t="n"/>
      <c r="K133" s="30" t="n"/>
      <c r="L133" s="30" t="n"/>
      <c r="M133" s="31" t="n"/>
      <c r="N133" s="29" t="n"/>
      <c r="O133" s="31" t="n"/>
    </row>
    <row r="134" ht="15" customHeight="1" s="16">
      <c r="A134" s="26" t="n">
        <v>133</v>
      </c>
      <c r="B134" s="26" t="n">
        <v>48</v>
      </c>
      <c r="C134" s="26" t="n">
        <v>60</v>
      </c>
      <c r="D134" s="27" t="inlineStr">
        <is>
          <t>皆宋氏奴婢</t>
        </is>
      </c>
      <c r="E134" s="28" t="inlineStr">
        <is>
          <t>尙有五百餘人云</t>
        </is>
      </c>
      <c r="F134" s="27" t="inlineStr">
        <is>
          <t>薊州城邑民物雄富</t>
        </is>
      </c>
      <c r="G134" s="26" t="n"/>
      <c r="H134" s="29" t="n"/>
      <c r="I134" s="30" t="n"/>
      <c r="J134" s="30" t="n"/>
      <c r="K134" s="30" t="n"/>
      <c r="L134" s="30" t="n"/>
      <c r="M134" s="31" t="n"/>
      <c r="N134" s="29" t="n"/>
      <c r="O134" s="31" t="n"/>
    </row>
    <row r="135" ht="15" customHeight="1" s="16">
      <c r="A135" s="26" t="n">
        <v>134</v>
      </c>
      <c r="B135" s="26" t="n">
        <v>48</v>
      </c>
      <c r="C135" s="26" t="n">
        <v>61</v>
      </c>
      <c r="D135" s="27" t="inlineStr">
        <is>
          <t>尙有五百餘人云</t>
        </is>
      </c>
      <c r="E135" s="32" t="inlineStr">
        <is>
          <t>薊州城邑民物雄富</t>
        </is>
      </c>
      <c r="F135" s="27" t="inlineStr">
        <is>
          <t>卽京東巨鎭也</t>
        </is>
      </c>
      <c r="G135" s="26" t="inlineStr">
        <is>
          <t>●</t>
        </is>
      </c>
      <c r="H135" s="29" t="n"/>
      <c r="I135" s="30" t="n"/>
      <c r="J135" s="30" t="n"/>
      <c r="K135" s="30" t="n"/>
      <c r="L135" s="30" t="n"/>
      <c r="M135" s="31" t="n"/>
      <c r="N135" s="29" t="n"/>
      <c r="O135" s="31" t="n"/>
    </row>
    <row r="136" ht="15" customHeight="1" s="16">
      <c r="A136" s="26" t="n">
        <v>135</v>
      </c>
      <c r="B136" s="26" t="n">
        <v>48</v>
      </c>
      <c r="C136" s="26" t="n">
        <v>62</v>
      </c>
      <c r="D136" s="27" t="inlineStr">
        <is>
          <t>薊州城邑民物雄富</t>
        </is>
      </c>
      <c r="E136" s="28" t="inlineStr">
        <is>
          <t>卽京東巨鎭也</t>
        </is>
      </c>
      <c r="F136" s="27" t="inlineStr">
        <is>
          <t>山上有安祿山廟</t>
        </is>
      </c>
      <c r="G136" s="26" t="n"/>
      <c r="H136" s="29" t="n"/>
      <c r="I136" s="30" t="n"/>
      <c r="J136" s="30" t="n"/>
      <c r="K136" s="30" t="n"/>
      <c r="L136" s="30" t="n"/>
      <c r="M136" s="31" t="n"/>
      <c r="N136" s="29" t="n"/>
      <c r="O136" s="31" t="n"/>
    </row>
    <row r="137" ht="15" customHeight="1" s="16">
      <c r="A137" s="26" t="n">
        <v>136</v>
      </c>
      <c r="B137" s="26" t="n">
        <v>48</v>
      </c>
      <c r="C137" s="26" t="n">
        <v>87</v>
      </c>
      <c r="D137" s="27" t="inlineStr">
        <is>
          <t>不許觀</t>
        </is>
      </c>
      <c r="E137" s="28" t="inlineStr">
        <is>
          <t>還寓舘</t>
        </is>
      </c>
      <c r="F137" s="27" t="inlineStr">
        <is>
          <t>則門外賈客雲集</t>
        </is>
      </c>
      <c r="G137" s="26" t="n"/>
      <c r="H137" s="29" t="n"/>
      <c r="I137" s="30" t="n"/>
      <c r="J137" s="30" t="n"/>
      <c r="K137" s="30" t="n"/>
      <c r="L137" s="30" t="n"/>
      <c r="M137" s="31" t="n"/>
      <c r="N137" s="29" t="n"/>
      <c r="O137" s="31" t="n"/>
    </row>
    <row r="138" ht="15" customHeight="1" s="16">
      <c r="A138" s="26" t="n">
        <v>137</v>
      </c>
      <c r="B138" s="26" t="n">
        <v>48</v>
      </c>
      <c r="C138" s="26" t="n">
        <v>88</v>
      </c>
      <c r="D138" s="27" t="inlineStr">
        <is>
          <t>還寓舘</t>
        </is>
      </c>
      <c r="E138" s="32" t="inlineStr">
        <is>
          <t>則門外賈客雲集</t>
        </is>
      </c>
      <c r="F138" s="27" t="inlineStr">
        <is>
          <t>持馬驢携書冊書畵器玩</t>
        </is>
      </c>
      <c r="G138" s="26" t="inlineStr">
        <is>
          <t>●</t>
        </is>
      </c>
      <c r="H138" s="29" t="n"/>
      <c r="I138" s="30" t="n"/>
      <c r="J138" s="30" t="n"/>
      <c r="K138" s="30" t="n"/>
      <c r="L138" s="30" t="n"/>
      <c r="M138" s="31" t="n"/>
      <c r="N138" s="29" t="n"/>
      <c r="O138" s="31" t="n"/>
    </row>
    <row r="139" ht="15" customHeight="1" s="16">
      <c r="A139" s="26" t="n">
        <v>138</v>
      </c>
      <c r="B139" s="26" t="n">
        <v>48</v>
      </c>
      <c r="C139" s="26" t="n">
        <v>89</v>
      </c>
      <c r="D139" s="27" t="inlineStr">
        <is>
          <t>則門外賈客雲集</t>
        </is>
      </c>
      <c r="E139" s="28" t="inlineStr">
        <is>
          <t>持馬驢携書冊書畵器玩</t>
        </is>
      </c>
      <c r="F139" s="27" t="inlineStr">
        <is>
          <t>亦有弄</t>
        </is>
      </c>
      <c r="G139" s="26" t="n"/>
      <c r="H139" s="29" t="n"/>
      <c r="I139" s="30" t="n"/>
      <c r="J139" s="30" t="n"/>
      <c r="K139" s="30" t="n"/>
      <c r="L139" s="30" t="n"/>
      <c r="M139" s="31" t="n"/>
      <c r="N139" s="29" t="n"/>
      <c r="O139" s="31" t="n"/>
    </row>
    <row r="140" ht="15" customHeight="1" s="16">
      <c r="A140" s="26" t="n">
        <v>139</v>
      </c>
      <c r="B140" s="26" t="n">
        <v>48</v>
      </c>
      <c r="C140" s="26" t="n">
        <v>94</v>
      </c>
      <c r="D140" s="27" t="inlineStr">
        <is>
          <t>已罷去</t>
        </is>
      </c>
      <c r="E140" s="28" t="inlineStr">
        <is>
          <t>未及觀可嘆</t>
        </is>
      </c>
      <c r="F140" s="27" t="inlineStr">
        <is>
          <t>有賣鸚鵡者</t>
        </is>
      </c>
      <c r="G140" s="26" t="n"/>
      <c r="H140" s="29" t="n"/>
      <c r="I140" s="30" t="n"/>
      <c r="J140" s="30" t="n"/>
      <c r="K140" s="30" t="n"/>
      <c r="L140" s="30" t="n"/>
      <c r="M140" s="31" t="n"/>
      <c r="N140" s="29" t="n"/>
      <c r="O140" s="31" t="n"/>
    </row>
    <row r="141" ht="15" customHeight="1" s="16">
      <c r="A141" s="26" t="n">
        <v>140</v>
      </c>
      <c r="B141" s="26" t="n">
        <v>48</v>
      </c>
      <c r="C141" s="26" t="n">
        <v>95</v>
      </c>
      <c r="D141" s="27" t="inlineStr">
        <is>
          <t>未及觀可嘆</t>
        </is>
      </c>
      <c r="E141" s="32" t="inlineStr">
        <is>
          <t>有賣鸚鵡者</t>
        </is>
      </c>
      <c r="F141" s="27" t="inlineStr">
        <is>
          <t>日已昏</t>
        </is>
      </c>
      <c r="G141" s="26" t="inlineStr">
        <is>
          <t>●</t>
        </is>
      </c>
      <c r="H141" s="29" t="n"/>
      <c r="I141" s="30" t="n"/>
      <c r="J141" s="30" t="n"/>
      <c r="K141" s="30" t="n"/>
      <c r="L141" s="30" t="n"/>
      <c r="M141" s="31" t="n"/>
      <c r="N141" s="29" t="n"/>
      <c r="O141" s="31" t="n"/>
    </row>
    <row r="142" ht="15" customHeight="1" s="16">
      <c r="A142" s="26" t="n">
        <v>141</v>
      </c>
      <c r="B142" s="26" t="n">
        <v>48</v>
      </c>
      <c r="C142" s="26" t="n">
        <v>96</v>
      </c>
      <c r="D142" s="27" t="inlineStr">
        <is>
          <t>有賣鸚鵡者</t>
        </is>
      </c>
      <c r="E142" s="28" t="inlineStr">
        <is>
          <t>日已昏</t>
        </is>
      </c>
      <c r="F142" s="27" t="inlineStr">
        <is>
          <t>不得詳看其毛色</t>
        </is>
      </c>
      <c r="G142" s="26" t="n"/>
      <c r="H142" s="29" t="n"/>
      <c r="I142" s="30" t="n"/>
      <c r="J142" s="30" t="n"/>
      <c r="K142" s="30" t="n"/>
      <c r="L142" s="30" t="n"/>
      <c r="M142" s="31" t="n"/>
      <c r="N142" s="29" t="n"/>
      <c r="O142" s="31" t="n"/>
    </row>
    <row r="143" ht="15" customHeight="1" s="16">
      <c r="A143" s="26" t="n">
        <v>142</v>
      </c>
      <c r="B143" s="26" t="n">
        <v>48</v>
      </c>
      <c r="C143" s="26" t="n">
        <v>98</v>
      </c>
      <c r="D143" s="27" t="inlineStr">
        <is>
          <t>不得詳看其毛色</t>
        </is>
      </c>
      <c r="E143" s="28" t="inlineStr">
        <is>
          <t>方覓燈之際</t>
        </is>
      </c>
      <c r="F143" s="27" t="inlineStr">
        <is>
          <t>賣</t>
        </is>
      </c>
      <c r="G143" s="26" t="n"/>
      <c r="H143" s="29" t="n"/>
      <c r="I143" s="30" t="n"/>
      <c r="J143" s="30" t="n"/>
      <c r="K143" s="30" t="n"/>
      <c r="L143" s="30" t="n"/>
      <c r="M143" s="31" t="n"/>
      <c r="N143" s="29" t="n"/>
      <c r="O143" s="31" t="n"/>
    </row>
    <row r="144" ht="15" customHeight="1" s="16">
      <c r="A144" s="26" t="n">
        <v>143</v>
      </c>
      <c r="B144" s="26" t="n">
        <v>48</v>
      </c>
      <c r="C144" s="26" t="n">
        <v>99</v>
      </c>
      <c r="D144" s="27" t="inlineStr">
        <is>
          <t>方覓燈之際</t>
        </is>
      </c>
      <c r="E144" s="32" t="inlineStr">
        <is>
          <t>賣</t>
        </is>
      </c>
      <c r="F144" s="27" t="inlineStr">
        <is>
          <t>者已去</t>
        </is>
      </c>
      <c r="G144" s="26" t="inlineStr">
        <is>
          <t>●</t>
        </is>
      </c>
      <c r="H144" s="29" t="n"/>
      <c r="I144" s="30" t="n"/>
      <c r="J144" s="30" t="n"/>
      <c r="K144" s="30" t="n"/>
      <c r="L144" s="30" t="n"/>
      <c r="M144" s="31" t="n"/>
      <c r="N144" s="29" t="n"/>
      <c r="O144" s="31" t="n"/>
    </row>
    <row r="145" ht="15" customHeight="1" s="16">
      <c r="A145" s="26" t="n">
        <v>144</v>
      </c>
      <c r="B145" s="26" t="n">
        <v>48</v>
      </c>
      <c r="C145" s="26" t="n">
        <v>100</v>
      </c>
      <c r="D145" s="27" t="inlineStr">
        <is>
          <t>賣</t>
        </is>
      </c>
      <c r="E145" s="28" t="inlineStr">
        <is>
          <t>者已去</t>
        </is>
      </c>
      <c r="F145" s="27" t="inlineStr">
        <is>
          <t>尤爲可恨</t>
        </is>
      </c>
      <c r="G145" s="26" t="n"/>
      <c r="H145" s="29" t="n"/>
      <c r="I145" s="30" t="n"/>
      <c r="J145" s="30" t="n"/>
      <c r="K145" s="30" t="n"/>
      <c r="L145" s="30" t="n"/>
      <c r="M145" s="31" t="n"/>
      <c r="N145" s="29" t="n"/>
      <c r="O145" s="31" t="n"/>
    </row>
    <row r="146" ht="15" customHeight="1" s="16">
      <c r="A146" s="26" t="n">
        <v>145</v>
      </c>
      <c r="B146" s="26" t="n">
        <v>49</v>
      </c>
      <c r="C146" s="26" t="n">
        <v>50</v>
      </c>
      <c r="D146" s="27" t="inlineStr">
        <is>
          <t>與峯頭祿山祠相對</t>
        </is>
      </c>
      <c r="E146" s="28" t="inlineStr">
        <is>
          <t>天</t>
        </is>
      </c>
      <c r="F146" s="27" t="inlineStr">
        <is>
          <t>下有錢者何限</t>
        </is>
      </c>
      <c r="G146" s="26" t="n"/>
      <c r="H146" s="29" t="n"/>
      <c r="I146" s="30" t="n"/>
      <c r="J146" s="30" t="n"/>
      <c r="K146" s="30" t="n"/>
      <c r="L146" s="30" t="n"/>
      <c r="M146" s="31" t="n"/>
      <c r="N146" s="29" t="n"/>
      <c r="O146" s="31" t="n"/>
    </row>
    <row r="147" ht="15" customHeight="1" s="16">
      <c r="A147" s="26" t="n">
        <v>146</v>
      </c>
      <c r="B147" s="26" t="n">
        <v>49</v>
      </c>
      <c r="C147" s="26" t="n">
        <v>51</v>
      </c>
      <c r="D147" s="27" t="inlineStr">
        <is>
          <t>天</t>
        </is>
      </c>
      <c r="E147" s="32" t="inlineStr">
        <is>
          <t>下有錢者何限</t>
        </is>
      </c>
      <c r="F147" s="27" t="inlineStr">
        <is>
          <t>而何乃設此淫穢之祠</t>
        </is>
      </c>
      <c r="G147" s="26" t="inlineStr">
        <is>
          <t>●</t>
        </is>
      </c>
      <c r="H147" s="29" t="n"/>
      <c r="I147" s="30" t="n"/>
      <c r="J147" s="30" t="n"/>
      <c r="K147" s="30" t="n"/>
      <c r="L147" s="30" t="n"/>
      <c r="M147" s="31" t="n"/>
      <c r="N147" s="29" t="n"/>
      <c r="O147" s="31" t="n"/>
    </row>
    <row r="148" ht="15" customHeight="1" s="16">
      <c r="A148" s="26" t="n">
        <v>147</v>
      </c>
      <c r="B148" s="26" t="n">
        <v>49</v>
      </c>
      <c r="C148" s="26" t="n">
        <v>52</v>
      </c>
      <c r="D148" s="27" t="inlineStr">
        <is>
          <t>下有錢者何限</t>
        </is>
      </c>
      <c r="E148" s="28" t="inlineStr">
        <is>
          <t>而何乃設此淫穢之祠</t>
        </is>
      </c>
      <c r="F148" s="27" t="inlineStr">
        <is>
          <t>以祈冥佑耶</t>
        </is>
      </c>
      <c r="G148" s="26" t="n"/>
      <c r="H148" s="29" t="n"/>
      <c r="I148" s="30" t="n"/>
      <c r="J148" s="30" t="n"/>
      <c r="K148" s="30" t="n"/>
      <c r="L148" s="30" t="n"/>
      <c r="M148" s="31" t="n"/>
      <c r="N148" s="29" t="n"/>
      <c r="O148" s="31" t="n"/>
    </row>
    <row r="149" ht="15" customHeight="1" s="16">
      <c r="A149" s="26" t="n">
        <v>148</v>
      </c>
      <c r="B149" s="26" t="n">
        <v>49</v>
      </c>
      <c r="C149" s="26" t="n">
        <v>55</v>
      </c>
      <c r="D149" s="27" t="inlineStr">
        <is>
          <t>詩云</t>
        </is>
      </c>
      <c r="E149" s="28" t="inlineStr">
        <is>
          <t>求福不回</t>
        </is>
      </c>
      <c r="F149" s="27" t="inlineStr">
        <is>
          <t>此可謂浪費錢矣</t>
        </is>
      </c>
      <c r="G149" s="26" t="n"/>
      <c r="H149" s="29" t="n"/>
      <c r="I149" s="30" t="n"/>
      <c r="J149" s="30" t="n"/>
      <c r="K149" s="30" t="n"/>
      <c r="L149" s="30" t="n"/>
      <c r="M149" s="31" t="n"/>
      <c r="N149" s="29" t="n"/>
      <c r="O149" s="31" t="n"/>
    </row>
    <row r="150" ht="15" customHeight="1" s="16">
      <c r="A150" s="26" t="n">
        <v>149</v>
      </c>
      <c r="B150" s="26" t="n">
        <v>49</v>
      </c>
      <c r="C150" s="26" t="n">
        <v>56</v>
      </c>
      <c r="D150" s="27" t="inlineStr">
        <is>
          <t>求福不回</t>
        </is>
      </c>
      <c r="E150" s="32" t="inlineStr">
        <is>
          <t>此可謂浪費錢矣</t>
        </is>
      </c>
      <c r="F150" s="27" t="inlineStr">
        <is>
          <t>或曰</t>
        </is>
      </c>
      <c r="G150" s="26" t="inlineStr">
        <is>
          <t>●</t>
        </is>
      </c>
      <c r="H150" s="29" t="n"/>
      <c r="I150" s="30" t="n"/>
      <c r="J150" s="30" t="n"/>
      <c r="K150" s="30" t="n"/>
      <c r="L150" s="30" t="n"/>
      <c r="M150" s="31" t="n"/>
      <c r="N150" s="29" t="n"/>
      <c r="O150" s="31" t="n"/>
    </row>
    <row r="151" ht="15" customHeight="1" s="16">
      <c r="A151" s="26" t="n">
        <v>150</v>
      </c>
      <c r="B151" s="26" t="n">
        <v>49</v>
      </c>
      <c r="C151" s="26" t="n">
        <v>57</v>
      </c>
      <c r="D151" s="27" t="inlineStr">
        <is>
          <t>此可謂浪費錢矣</t>
        </is>
      </c>
      <c r="E151" s="28" t="inlineStr">
        <is>
          <t>或曰</t>
        </is>
      </c>
      <c r="F151" s="27" t="inlineStr">
        <is>
          <t>聖人不黜</t>
        </is>
      </c>
      <c r="G151" s="26" t="n"/>
      <c r="H151" s="29" t="n"/>
      <c r="I151" s="30" t="n"/>
      <c r="J151" s="30" t="n"/>
      <c r="K151" s="30" t="n"/>
      <c r="L151" s="30" t="n"/>
      <c r="M151" s="31" t="n"/>
      <c r="N151" s="29" t="n"/>
      <c r="O151" s="31" t="n"/>
    </row>
    <row r="152" ht="15" customHeight="1" s="16">
      <c r="A152" s="26" t="n">
        <v>151</v>
      </c>
      <c r="B152" s="26" t="n">
        <v>49</v>
      </c>
      <c r="C152" s="26" t="n">
        <v>107</v>
      </c>
      <c r="D152" s="27" t="inlineStr">
        <is>
          <t>沿路</t>
        </is>
      </c>
      <c r="E152" s="28" t="inlineStr">
        <is>
          <t>左右</t>
        </is>
      </c>
      <c r="F152" s="27" t="inlineStr">
        <is>
          <t>皆富貴家墳塚</t>
        </is>
      </c>
      <c r="G152" s="26" t="n"/>
      <c r="H152" s="29" t="n"/>
      <c r="I152" s="30" t="n"/>
      <c r="J152" s="30" t="n"/>
      <c r="K152" s="30" t="n"/>
      <c r="L152" s="30" t="n"/>
      <c r="M152" s="31" t="n"/>
      <c r="N152" s="29" t="n"/>
      <c r="O152" s="31" t="n"/>
    </row>
    <row r="153" ht="15" customHeight="1" s="16">
      <c r="A153" s="26" t="n">
        <v>152</v>
      </c>
      <c r="B153" s="26" t="n">
        <v>49</v>
      </c>
      <c r="C153" s="26" t="n">
        <v>108</v>
      </c>
      <c r="D153" s="27" t="inlineStr">
        <is>
          <t>左右</t>
        </is>
      </c>
      <c r="E153" s="32" t="inlineStr">
        <is>
          <t>皆富貴家墳塚</t>
        </is>
      </c>
      <c r="F153" s="27" t="inlineStr">
        <is>
          <t>連墻如閭閻</t>
        </is>
      </c>
      <c r="G153" s="26" t="inlineStr">
        <is>
          <t>●</t>
        </is>
      </c>
      <c r="H153" s="29" t="n"/>
      <c r="I153" s="30" t="n"/>
      <c r="J153" s="30" t="n"/>
      <c r="K153" s="30" t="n"/>
      <c r="L153" s="30" t="n"/>
      <c r="M153" s="31" t="n"/>
      <c r="N153" s="29" t="n"/>
      <c r="O153" s="31" t="n"/>
    </row>
    <row r="154" ht="15" customHeight="1" s="16">
      <c r="A154" s="26" t="n">
        <v>153</v>
      </c>
      <c r="B154" s="26" t="n">
        <v>49</v>
      </c>
      <c r="C154" s="26" t="n">
        <v>109</v>
      </c>
      <c r="D154" s="27" t="inlineStr">
        <is>
          <t>皆富貴家墳塚</t>
        </is>
      </c>
      <c r="E154" s="28" t="inlineStr">
        <is>
          <t>連墻如閭閻</t>
        </is>
      </c>
      <c r="F154" s="27" t="inlineStr">
        <is>
          <t>墻外引河爲壕</t>
        </is>
      </c>
      <c r="G154" s="26" t="n"/>
      <c r="H154" s="29" t="n"/>
      <c r="I154" s="30" t="n"/>
      <c r="J154" s="30" t="n"/>
      <c r="K154" s="30" t="n"/>
      <c r="L154" s="30" t="n"/>
      <c r="M154" s="31" t="n"/>
      <c r="N154" s="29" t="n"/>
      <c r="O154" s="31" t="n"/>
    </row>
    <row r="155" ht="15" customHeight="1" s="16">
      <c r="A155" s="26" t="n">
        <v>154</v>
      </c>
      <c r="B155" s="26" t="n">
        <v>49</v>
      </c>
      <c r="C155" s="26" t="n">
        <v>133</v>
      </c>
      <c r="D155" s="27" t="inlineStr">
        <is>
          <t>丐兒</t>
        </is>
      </c>
      <c r="E155" s="28" t="inlineStr">
        <is>
          <t>遊市肆中</t>
        </is>
      </c>
      <c r="F155" s="27" t="inlineStr">
        <is>
          <t>求媚遠地客商</t>
        </is>
      </c>
      <c r="G155" s="26" t="n"/>
      <c r="H155" s="29" t="n"/>
      <c r="I155" s="30" t="n"/>
      <c r="J155" s="30" t="n"/>
      <c r="K155" s="30" t="n"/>
      <c r="L155" s="30" t="n"/>
      <c r="M155" s="31" t="n"/>
      <c r="N155" s="29" t="n"/>
      <c r="O155" s="31" t="n"/>
    </row>
    <row r="156" ht="15" customHeight="1" s="16">
      <c r="A156" s="26" t="n">
        <v>155</v>
      </c>
      <c r="B156" s="26" t="n">
        <v>49</v>
      </c>
      <c r="C156" s="26" t="n">
        <v>134</v>
      </c>
      <c r="D156" s="27" t="inlineStr">
        <is>
          <t>遊市肆中</t>
        </is>
      </c>
      <c r="E156" s="32" t="inlineStr">
        <is>
          <t>求媚遠地客商</t>
        </is>
      </c>
      <c r="F156" s="27" t="inlineStr">
        <is>
          <t>一宵接枕</t>
        </is>
      </c>
      <c r="G156" s="26" t="inlineStr">
        <is>
          <t>●</t>
        </is>
      </c>
      <c r="H156" s="29" t="n"/>
      <c r="I156" s="30" t="n"/>
      <c r="J156" s="30" t="n"/>
      <c r="K156" s="30" t="n"/>
      <c r="L156" s="30" t="n"/>
      <c r="M156" s="31" t="n"/>
      <c r="N156" s="29" t="n"/>
      <c r="O156" s="31" t="n"/>
    </row>
    <row r="157" ht="15" customHeight="1" s="16">
      <c r="A157" s="26" t="n">
        <v>156</v>
      </c>
      <c r="B157" s="26" t="n">
        <v>49</v>
      </c>
      <c r="C157" s="26" t="n">
        <v>135</v>
      </c>
      <c r="D157" s="27" t="inlineStr">
        <is>
          <t>求媚遠地客商</t>
        </is>
      </c>
      <c r="E157" s="28" t="inlineStr">
        <is>
          <t>一宵接枕</t>
        </is>
      </c>
      <c r="F157" s="27" t="inlineStr">
        <is>
          <t>或給數百兩銀子云</t>
        </is>
      </c>
      <c r="G157" s="26" t="n"/>
      <c r="H157" s="29" t="n"/>
      <c r="I157" s="30" t="n"/>
      <c r="J157" s="30" t="n"/>
      <c r="K157" s="30" t="n"/>
      <c r="L157" s="30" t="n"/>
      <c r="M157" s="31" t="n"/>
      <c r="N157" s="29" t="n"/>
      <c r="O157" s="31" t="n"/>
    </row>
    <row r="158" ht="15" customHeight="1" s="16">
      <c r="A158" s="26" t="n">
        <v>157</v>
      </c>
      <c r="B158" s="26" t="n">
        <v>49</v>
      </c>
      <c r="C158" s="26" t="n">
        <v>136</v>
      </c>
      <c r="D158" s="27" t="inlineStr">
        <is>
          <t>一宵接枕</t>
        </is>
      </c>
      <c r="E158" s="32" t="inlineStr">
        <is>
          <t>或給數百兩銀子云</t>
        </is>
      </c>
      <c r="F158" s="27" t="inlineStr">
        <is>
          <t>道傍連簟蔽陽</t>
        </is>
      </c>
      <c r="G158" s="26" t="inlineStr">
        <is>
          <t>●</t>
        </is>
      </c>
      <c r="H158" s="29" t="n"/>
      <c r="I158" s="30" t="n"/>
      <c r="J158" s="30" t="n"/>
      <c r="K158" s="30" t="n"/>
      <c r="L158" s="30" t="n"/>
      <c r="M158" s="31" t="n"/>
      <c r="N158" s="29" t="n"/>
      <c r="O158" s="31" t="n"/>
    </row>
    <row r="159" ht="15" customHeight="1" s="16">
      <c r="A159" s="26" t="n">
        <v>158</v>
      </c>
      <c r="B159" s="26" t="n">
        <v>49</v>
      </c>
      <c r="C159" s="26" t="n">
        <v>137</v>
      </c>
      <c r="D159" s="27" t="inlineStr">
        <is>
          <t>或給數百兩銀子云</t>
        </is>
      </c>
      <c r="E159" s="28" t="inlineStr">
        <is>
          <t>道傍連簟蔽陽</t>
        </is>
      </c>
      <c r="F159" s="27" t="inlineStr">
        <is>
          <t>處處設戱</t>
        </is>
      </c>
      <c r="G159" s="26" t="n"/>
      <c r="H159" s="29" t="n"/>
      <c r="I159" s="30" t="n"/>
      <c r="J159" s="30" t="n"/>
      <c r="K159" s="30" t="n"/>
      <c r="L159" s="30" t="n"/>
      <c r="M159" s="31" t="n"/>
      <c r="N159" s="29" t="n"/>
      <c r="O159" s="31" t="n"/>
    </row>
    <row r="160" ht="15" customHeight="1" s="16">
      <c r="A160" s="26" t="n">
        <v>159</v>
      </c>
      <c r="B160" s="26" t="n">
        <v>49</v>
      </c>
      <c r="C160" s="26" t="n">
        <v>144</v>
      </c>
      <c r="D160" s="27" t="inlineStr">
        <is>
          <t>高聲唱詞彈吹</t>
        </is>
      </c>
      <c r="E160" s="28" t="inlineStr">
        <is>
          <t>並作千百玩戱之物</t>
        </is>
      </c>
      <c r="F160" s="27" t="inlineStr">
        <is>
          <t>擺列賣買</t>
        </is>
      </c>
      <c r="G160" s="26" t="n"/>
      <c r="H160" s="29" t="n"/>
      <c r="I160" s="30" t="n"/>
      <c r="J160" s="30" t="n"/>
      <c r="K160" s="30" t="n"/>
      <c r="L160" s="30" t="n"/>
      <c r="M160" s="31" t="n"/>
      <c r="N160" s="29" t="n"/>
      <c r="O160" s="31" t="n"/>
    </row>
    <row r="161" ht="15" customHeight="1" s="16">
      <c r="A161" s="26" t="n">
        <v>160</v>
      </c>
      <c r="B161" s="26" t="n">
        <v>49</v>
      </c>
      <c r="C161" s="26" t="n">
        <v>145</v>
      </c>
      <c r="D161" s="27" t="inlineStr">
        <is>
          <t>並作千百玩戱之物</t>
        </is>
      </c>
      <c r="E161" s="32" t="inlineStr">
        <is>
          <t>擺列賣買</t>
        </is>
      </c>
      <c r="F161" s="27" t="inlineStr">
        <is>
          <t>皆爲孩提</t>
        </is>
      </c>
      <c r="G161" s="26" t="inlineStr">
        <is>
          <t>●</t>
        </is>
      </c>
      <c r="H161" s="29" t="n"/>
      <c r="I161" s="30" t="n"/>
      <c r="J161" s="30" t="n"/>
      <c r="K161" s="30" t="n"/>
      <c r="L161" s="30" t="n"/>
      <c r="M161" s="31" t="n"/>
      <c r="N161" s="29" t="n"/>
      <c r="O161" s="31" t="n"/>
    </row>
    <row r="162" ht="15" customHeight="1" s="16">
      <c r="A162" s="26" t="n">
        <v>161</v>
      </c>
      <c r="B162" s="26" t="n">
        <v>49</v>
      </c>
      <c r="C162" s="26" t="n">
        <v>146</v>
      </c>
      <c r="D162" s="27" t="inlineStr">
        <is>
          <t>擺列賣買</t>
        </is>
      </c>
      <c r="E162" s="28" t="inlineStr">
        <is>
          <t>皆爲孩提</t>
        </is>
      </c>
      <c r="F162" s="27" t="inlineStr">
        <is>
          <t>片時供玩</t>
        </is>
      </c>
      <c r="G162" s="26" t="n"/>
      <c r="H162" s="29" t="n"/>
      <c r="I162" s="30" t="n"/>
      <c r="J162" s="30" t="n"/>
      <c r="K162" s="30" t="n"/>
      <c r="L162" s="30" t="n"/>
      <c r="M162" s="31" t="n"/>
      <c r="N162" s="29" t="n"/>
      <c r="O162" s="31" t="n"/>
    </row>
    <row r="163" ht="15" customHeight="1" s="16">
      <c r="A163" s="26" t="n">
        <v>162</v>
      </c>
      <c r="B163" s="26" t="n">
        <v>49</v>
      </c>
      <c r="C163" s="26" t="n">
        <v>147</v>
      </c>
      <c r="D163" s="27" t="inlineStr">
        <is>
          <t>皆爲孩提</t>
        </is>
      </c>
      <c r="E163" s="28" t="inlineStr">
        <is>
          <t>片時供玩</t>
        </is>
      </c>
      <c r="F163" s="27" t="inlineStr">
        <is>
          <t>之資</t>
        </is>
      </c>
      <c r="G163" s="26" t="n"/>
      <c r="H163" s="29" t="n"/>
      <c r="I163" s="30" t="n"/>
      <c r="J163" s="30" t="n"/>
      <c r="K163" s="30" t="n"/>
      <c r="L163" s="30" t="n"/>
      <c r="M163" s="31" t="n"/>
      <c r="N163" s="29" t="n"/>
      <c r="O163" s="31" t="n"/>
    </row>
    <row r="164" ht="15" customHeight="1" s="16">
      <c r="A164" s="26" t="n">
        <v>163</v>
      </c>
      <c r="B164" s="26" t="n">
        <v>49</v>
      </c>
      <c r="C164" s="26" t="n">
        <v>148</v>
      </c>
      <c r="D164" s="27" t="inlineStr">
        <is>
          <t>片時供玩</t>
        </is>
      </c>
      <c r="E164" s="32" t="inlineStr">
        <is>
          <t>之資</t>
        </is>
      </c>
      <c r="F164" s="27" t="inlineStr">
        <is>
          <t>而非但物料稀奇</t>
        </is>
      </c>
      <c r="G164" s="26" t="inlineStr">
        <is>
          <t>●</t>
        </is>
      </c>
      <c r="H164" s="29" t="n"/>
      <c r="I164" s="30" t="n"/>
      <c r="J164" s="30" t="n"/>
      <c r="K164" s="30" t="n"/>
      <c r="L164" s="30" t="n"/>
      <c r="M164" s="31" t="n"/>
      <c r="N164" s="29" t="n"/>
      <c r="O164" s="31" t="n"/>
    </row>
    <row r="165" ht="15" customHeight="1" s="16">
      <c r="A165" s="26" t="n">
        <v>164</v>
      </c>
      <c r="B165" s="26" t="n">
        <v>49</v>
      </c>
      <c r="C165" s="26" t="n">
        <v>149</v>
      </c>
      <c r="D165" s="27" t="inlineStr">
        <is>
          <t>之資</t>
        </is>
      </c>
      <c r="E165" s="28" t="inlineStr">
        <is>
          <t>而非但物料稀奇</t>
        </is>
      </c>
      <c r="F165" s="27" t="inlineStr">
        <is>
          <t>其製作莫不精巧</t>
        </is>
      </c>
      <c r="G165" s="26" t="n"/>
      <c r="H165" s="29" t="n"/>
      <c r="I165" s="30" t="n"/>
      <c r="J165" s="30" t="n"/>
      <c r="K165" s="30" t="n"/>
      <c r="L165" s="30" t="n"/>
      <c r="M165" s="31" t="n"/>
      <c r="N165" s="29" t="n"/>
      <c r="O165" s="31" t="n"/>
    </row>
    <row r="166" ht="15" customHeight="1" s="16">
      <c r="A166" s="26" t="n">
        <v>165</v>
      </c>
      <c r="B166" s="26" t="n">
        <v>49</v>
      </c>
      <c r="C166" s="26" t="n">
        <v>151</v>
      </c>
      <c r="D166" s="27" t="inlineStr">
        <is>
          <t>其製作莫不精巧</t>
        </is>
      </c>
      <c r="E166" s="28" t="inlineStr">
        <is>
          <t>或觸手破碎</t>
        </is>
      </c>
      <c r="F166" s="27" t="inlineStr">
        <is>
          <t>而工費不下數兩紋銀</t>
        </is>
      </c>
      <c r="G166" s="26" t="n"/>
      <c r="H166" s="29" t="n"/>
      <c r="I166" s="30" t="n"/>
      <c r="J166" s="30" t="n"/>
      <c r="K166" s="30" t="n"/>
      <c r="L166" s="30" t="n"/>
      <c r="M166" s="31" t="n"/>
      <c r="N166" s="29" t="n"/>
      <c r="O166" s="31" t="n"/>
    </row>
    <row r="167" ht="15" customHeight="1" s="16">
      <c r="A167" s="26" t="n">
        <v>166</v>
      </c>
      <c r="B167" s="26" t="n">
        <v>49</v>
      </c>
      <c r="C167" s="26" t="n">
        <v>152</v>
      </c>
      <c r="D167" s="27" t="inlineStr">
        <is>
          <t>或觸手破碎</t>
        </is>
      </c>
      <c r="E167" s="32" t="inlineStr">
        <is>
          <t>而工費不下數兩紋銀</t>
        </is>
      </c>
      <c r="F167" s="27" t="inlineStr">
        <is>
          <t>卓上列數萬關公像</t>
        </is>
      </c>
      <c r="G167" s="26" t="inlineStr">
        <is>
          <t>●</t>
        </is>
      </c>
      <c r="H167" s="29" t="n"/>
      <c r="I167" s="30" t="n"/>
      <c r="J167" s="30" t="n"/>
      <c r="K167" s="30" t="n"/>
      <c r="L167" s="30" t="n"/>
      <c r="M167" s="31" t="n"/>
      <c r="N167" s="29" t="n"/>
      <c r="O167" s="31" t="n"/>
    </row>
    <row r="168" ht="15" customHeight="1" s="16">
      <c r="A168" s="26" t="n">
        <v>167</v>
      </c>
      <c r="B168" s="26" t="n">
        <v>49</v>
      </c>
      <c r="C168" s="26" t="n">
        <v>153</v>
      </c>
      <c r="D168" s="27" t="inlineStr">
        <is>
          <t>而工費不下數兩紋銀</t>
        </is>
      </c>
      <c r="E168" s="28" t="inlineStr">
        <is>
          <t>卓上列數萬關公像</t>
        </is>
      </c>
      <c r="F168" s="27" t="inlineStr">
        <is>
          <t>橫</t>
        </is>
      </c>
      <c r="G168" s="26" t="n"/>
      <c r="H168" s="29" t="n"/>
      <c r="I168" s="30" t="n"/>
      <c r="J168" s="30" t="n"/>
      <c r="K168" s="30" t="n"/>
      <c r="L168" s="30" t="n"/>
      <c r="M168" s="31" t="n"/>
      <c r="N168" s="29" t="n"/>
      <c r="O168" s="31" t="n"/>
    </row>
    <row r="169" ht="15" customHeight="1" s="16">
      <c r="A169" s="26" t="n">
        <v>168</v>
      </c>
      <c r="B169" s="26" t="n">
        <v>49</v>
      </c>
      <c r="C169" s="26" t="n">
        <v>171</v>
      </c>
      <c r="D169" s="27" t="inlineStr">
        <is>
          <t>五六</t>
        </is>
      </c>
      <c r="E169" s="28" t="inlineStr">
        <is>
          <t>間草屋</t>
        </is>
      </c>
      <c r="F169" s="27" t="inlineStr">
        <is>
          <t>可念其貧寒無應門之童</t>
        </is>
      </c>
      <c r="G169" s="26" t="n"/>
      <c r="H169" s="29" t="n"/>
      <c r="I169" s="30" t="n"/>
      <c r="J169" s="30" t="n"/>
      <c r="K169" s="30" t="n"/>
      <c r="L169" s="30" t="n"/>
      <c r="M169" s="31" t="n"/>
      <c r="N169" s="29" t="n"/>
      <c r="O169" s="31" t="n"/>
    </row>
    <row r="170" ht="15" customHeight="1" s="16">
      <c r="A170" s="26" t="n">
        <v>169</v>
      </c>
      <c r="B170" s="26" t="n">
        <v>49</v>
      </c>
      <c r="C170" s="26" t="n">
        <v>172</v>
      </c>
      <c r="D170" s="27" t="inlineStr">
        <is>
          <t>間草屋</t>
        </is>
      </c>
      <c r="E170" s="32" t="inlineStr">
        <is>
          <t>可念其貧寒無應門之童</t>
        </is>
      </c>
      <c r="F170" s="27" t="inlineStr">
        <is>
          <t>隔簾有婦人之聲</t>
        </is>
      </c>
      <c r="G170" s="26" t="inlineStr">
        <is>
          <t>●</t>
        </is>
      </c>
      <c r="H170" s="29" t="n"/>
      <c r="I170" s="30" t="n"/>
      <c r="J170" s="30" t="n"/>
      <c r="K170" s="30" t="n"/>
      <c r="L170" s="30" t="n"/>
      <c r="M170" s="31" t="n"/>
      <c r="N170" s="29" t="n"/>
      <c r="O170" s="31" t="n"/>
    </row>
    <row r="171" ht="15" customHeight="1" s="16">
      <c r="A171" s="26" t="n">
        <v>170</v>
      </c>
      <c r="B171" s="26" t="n">
        <v>49</v>
      </c>
      <c r="C171" s="26" t="n">
        <v>173</v>
      </c>
      <c r="D171" s="27" t="inlineStr">
        <is>
          <t>可念其貧寒無應門之童</t>
        </is>
      </c>
      <c r="E171" s="28" t="inlineStr">
        <is>
          <t>隔簾有婦人之聲</t>
        </is>
      </c>
      <c r="F171" s="27" t="inlineStr">
        <is>
          <t>殊不了了</t>
        </is>
      </c>
      <c r="G171" s="26" t="n"/>
      <c r="H171" s="29" t="n"/>
      <c r="I171" s="30" t="n"/>
      <c r="J171" s="30" t="n"/>
      <c r="K171" s="30" t="n"/>
      <c r="L171" s="30" t="n"/>
      <c r="M171" s="31" t="n"/>
      <c r="N171" s="29" t="n"/>
      <c r="O171" s="31" t="n"/>
    </row>
    <row r="172" ht="15" customHeight="1" s="16">
      <c r="A172" s="26" t="n">
        <v>171</v>
      </c>
      <c r="B172" s="26" t="n">
        <v>50</v>
      </c>
      <c r="C172" s="26" t="n">
        <v>215</v>
      </c>
      <c r="D172" s="27" t="inlineStr">
        <is>
          <t>或吹鳳笙龍管</t>
        </is>
      </c>
      <c r="E172" s="28" t="inlineStr">
        <is>
          <t>或據牀作書畵</t>
        </is>
      </c>
      <c r="F172" s="27" t="inlineStr">
        <is>
          <t>或飮酒賦詩</t>
        </is>
      </c>
      <c r="G172" s="26" t="n"/>
      <c r="H172" s="29" t="n"/>
      <c r="I172" s="30" t="n"/>
      <c r="J172" s="30" t="n"/>
      <c r="K172" s="30" t="n"/>
      <c r="L172" s="30" t="n"/>
      <c r="M172" s="31" t="n"/>
      <c r="N172" s="29" t="n"/>
      <c r="O172" s="31" t="n"/>
    </row>
    <row r="173" ht="15" customHeight="1" s="16">
      <c r="A173" s="26" t="n">
        <v>172</v>
      </c>
      <c r="B173" s="26" t="n">
        <v>50</v>
      </c>
      <c r="C173" s="26" t="n">
        <v>216</v>
      </c>
      <c r="D173" s="27" t="inlineStr">
        <is>
          <t>或據牀作書畵</t>
        </is>
      </c>
      <c r="E173" s="32" t="inlineStr">
        <is>
          <t>或飮酒賦詩</t>
        </is>
      </c>
      <c r="F173" s="27" t="inlineStr">
        <is>
          <t>未必盡高人韻士</t>
        </is>
      </c>
      <c r="G173" s="26" t="inlineStr">
        <is>
          <t>●</t>
        </is>
      </c>
      <c r="H173" s="29" t="n"/>
      <c r="I173" s="30" t="n"/>
      <c r="J173" s="30" t="n"/>
      <c r="K173" s="30" t="n"/>
      <c r="L173" s="30" t="n"/>
      <c r="M173" s="31" t="n"/>
      <c r="N173" s="29" t="n"/>
      <c r="O173" s="31" t="n"/>
    </row>
    <row r="174" ht="15" customHeight="1" s="16">
      <c r="A174" s="26" t="n">
        <v>173</v>
      </c>
      <c r="B174" s="26" t="n">
        <v>50</v>
      </c>
      <c r="C174" s="26" t="n">
        <v>217</v>
      </c>
      <c r="D174" s="27" t="inlineStr">
        <is>
          <t>或飮酒賦詩</t>
        </is>
      </c>
      <c r="E174" s="28" t="inlineStr">
        <is>
          <t>未必盡高人韻士</t>
        </is>
      </c>
      <c r="F174" s="27" t="inlineStr">
        <is>
          <t>而閒雅有趣矣</t>
        </is>
      </c>
      <c r="G174" s="26" t="n"/>
      <c r="H174" s="29" t="n"/>
      <c r="I174" s="30" t="n"/>
      <c r="J174" s="30" t="n"/>
      <c r="K174" s="30" t="n"/>
      <c r="L174" s="30" t="n"/>
      <c r="M174" s="31" t="n"/>
      <c r="N174" s="29" t="n"/>
      <c r="O174" s="31" t="n"/>
    </row>
    <row r="175" ht="15" customHeight="1" s="16">
      <c r="A175" s="26" t="n">
        <v>174</v>
      </c>
      <c r="B175" s="26" t="n">
        <v>50</v>
      </c>
      <c r="C175" s="26" t="n">
        <v>225</v>
      </c>
      <c r="D175" s="27" t="inlineStr">
        <is>
          <t>無回旋處</t>
        </is>
      </c>
      <c r="E175" s="28" t="inlineStr">
        <is>
          <t>遂下馬入一舖中</t>
        </is>
      </c>
      <c r="F175" s="27" t="inlineStr">
        <is>
          <t>其瑰麗繁富</t>
        </is>
      </c>
      <c r="G175" s="26" t="n"/>
      <c r="H175" s="29" t="n"/>
      <c r="I175" s="30" t="n"/>
      <c r="J175" s="30" t="n"/>
      <c r="K175" s="30" t="n"/>
      <c r="L175" s="30" t="n"/>
      <c r="M175" s="31" t="n"/>
      <c r="N175" s="29" t="n"/>
      <c r="O175" s="31" t="n"/>
    </row>
    <row r="176" ht="15" customHeight="1" s="16">
      <c r="A176" s="26" t="n">
        <v>175</v>
      </c>
      <c r="B176" s="26" t="n">
        <v>50</v>
      </c>
      <c r="C176" s="26" t="n">
        <v>226</v>
      </c>
      <c r="D176" s="27" t="inlineStr">
        <is>
          <t>遂下馬入一舖中</t>
        </is>
      </c>
      <c r="E176" s="32" t="inlineStr">
        <is>
          <t>其瑰麗繁富</t>
        </is>
      </c>
      <c r="F176" s="27" t="inlineStr">
        <is>
          <t>已非盛京山海關之比矣</t>
        </is>
      </c>
      <c r="G176" s="26" t="inlineStr">
        <is>
          <t>●</t>
        </is>
      </c>
      <c r="H176" s="29" t="n"/>
      <c r="I176" s="30" t="n"/>
      <c r="J176" s="30" t="n"/>
      <c r="K176" s="30" t="n"/>
      <c r="L176" s="30" t="n"/>
      <c r="M176" s="31" t="n"/>
      <c r="N176" s="29" t="n"/>
      <c r="O176" s="31" t="n"/>
    </row>
    <row r="177" ht="15" customHeight="1" s="16">
      <c r="A177" s="26" t="n">
        <v>176</v>
      </c>
      <c r="B177" s="26" t="n">
        <v>50</v>
      </c>
      <c r="C177" s="26" t="n">
        <v>227</v>
      </c>
      <c r="D177" s="27" t="inlineStr">
        <is>
          <t>其瑰麗繁富</t>
        </is>
      </c>
      <c r="E177" s="28" t="inlineStr">
        <is>
          <t>已非盛京山海關之比矣</t>
        </is>
      </c>
      <c r="F177" s="27" t="inlineStr">
        <is>
          <t>艱穿條路</t>
        </is>
      </c>
      <c r="G177" s="26" t="n"/>
      <c r="H177" s="29" t="n"/>
      <c r="I177" s="30" t="n"/>
      <c r="J177" s="30" t="n"/>
      <c r="K177" s="30" t="n"/>
      <c r="L177" s="30" t="n"/>
      <c r="M177" s="31" t="n"/>
      <c r="N177" s="29" t="n"/>
      <c r="O177" s="31" t="n"/>
    </row>
    <row r="178" ht="15" customHeight="1" s="16">
      <c r="A178" s="26" t="n">
        <v>177</v>
      </c>
      <c r="B178" s="26" t="n">
        <v>50</v>
      </c>
      <c r="C178" s="26" t="n">
        <v>286</v>
      </c>
      <c r="D178" s="27" t="inlineStr">
        <is>
          <t>世勳伐</t>
        </is>
      </c>
      <c r="E178" s="28" t="inlineStr">
        <is>
          <t>國維一名隆科多</t>
        </is>
      </c>
      <c r="F178" s="27" t="inlineStr">
        <is>
          <t>其妻何奢禮氏</t>
        </is>
      </c>
      <c r="G178" s="26" t="n"/>
      <c r="H178" s="29" t="n"/>
      <c r="I178" s="30" t="n"/>
      <c r="J178" s="30" t="n"/>
      <c r="K178" s="30" t="n"/>
      <c r="L178" s="30" t="n"/>
      <c r="M178" s="31" t="n"/>
      <c r="N178" s="29" t="n"/>
      <c r="O178" s="31" t="n"/>
    </row>
    <row r="179" ht="15" customHeight="1" s="16">
      <c r="A179" s="26" t="n">
        <v>178</v>
      </c>
      <c r="B179" s="26" t="n">
        <v>50</v>
      </c>
      <c r="C179" s="26" t="n">
        <v>287</v>
      </c>
      <c r="D179" s="27" t="inlineStr">
        <is>
          <t>國維一名隆科多</t>
        </is>
      </c>
      <c r="E179" s="32" t="inlineStr">
        <is>
          <t>其妻何奢禮氏</t>
        </is>
      </c>
      <c r="F179" s="27" t="inlineStr">
        <is>
          <t>北墻下有六塋</t>
        </is>
      </c>
      <c r="G179" s="26" t="inlineStr">
        <is>
          <t>●</t>
        </is>
      </c>
      <c r="H179" s="29" t="n"/>
      <c r="I179" s="30" t="n"/>
      <c r="J179" s="30" t="n"/>
      <c r="K179" s="30" t="n"/>
      <c r="L179" s="30" t="n"/>
      <c r="M179" s="31" t="n"/>
      <c r="N179" s="29" t="n"/>
      <c r="O179" s="31" t="n"/>
    </row>
    <row r="180" ht="15" customHeight="1" s="16">
      <c r="A180" s="26" t="n">
        <v>179</v>
      </c>
      <c r="B180" s="26" t="n">
        <v>50</v>
      </c>
      <c r="C180" s="26" t="n">
        <v>288</v>
      </c>
      <c r="D180" s="27" t="inlineStr">
        <is>
          <t>其妻何奢禮氏</t>
        </is>
      </c>
      <c r="E180" s="28" t="inlineStr">
        <is>
          <t>北墻下有六塋</t>
        </is>
      </c>
      <c r="F180" s="27" t="inlineStr">
        <is>
          <t>一行入葬</t>
        </is>
      </c>
      <c r="G180" s="26" t="n"/>
      <c r="H180" s="29" t="n"/>
      <c r="I180" s="30" t="n"/>
      <c r="J180" s="30" t="n"/>
      <c r="K180" s="30" t="n"/>
      <c r="L180" s="30" t="n"/>
      <c r="M180" s="31" t="n"/>
      <c r="N180" s="29" t="n"/>
      <c r="O180" s="31" t="n"/>
    </row>
    <row r="181" ht="15" customHeight="1" s="16">
      <c r="A181" s="26" t="n">
        <v>180</v>
      </c>
      <c r="B181" s="26" t="n">
        <v>50</v>
      </c>
      <c r="C181" s="26" t="n">
        <v>350</v>
      </c>
      <c r="D181" s="27" t="inlineStr">
        <is>
          <t>噫</t>
        </is>
      </c>
      <c r="E181" s="28" t="inlineStr">
        <is>
          <t>古史稱</t>
        </is>
      </c>
      <c r="F181" s="27" t="inlineStr">
        <is>
          <t>書契以前</t>
        </is>
      </c>
      <c r="G181" s="26" t="n"/>
      <c r="H181" s="29" t="n"/>
      <c r="I181" s="30" t="n"/>
      <c r="J181" s="30" t="n"/>
      <c r="K181" s="30" t="n"/>
      <c r="L181" s="30" t="n"/>
      <c r="M181" s="31" t="n"/>
      <c r="N181" s="29" t="n"/>
      <c r="O181" s="31" t="n"/>
    </row>
    <row r="182" ht="15" customHeight="1" s="16">
      <c r="A182" s="26" t="n">
        <v>181</v>
      </c>
      <c r="B182" s="26" t="n">
        <v>50</v>
      </c>
      <c r="C182" s="26" t="n">
        <v>351</v>
      </c>
      <c r="D182" s="27" t="inlineStr">
        <is>
          <t>古史稱</t>
        </is>
      </c>
      <c r="E182" s="32" t="inlineStr">
        <is>
          <t>書契以前</t>
        </is>
      </c>
      <c r="F182" s="27" t="inlineStr">
        <is>
          <t>年代國都不可攷</t>
        </is>
      </c>
      <c r="G182" s="26" t="inlineStr">
        <is>
          <t>●</t>
        </is>
      </c>
      <c r="H182" s="29" t="n"/>
      <c r="I182" s="30" t="n"/>
      <c r="J182" s="30" t="n"/>
      <c r="K182" s="30" t="n"/>
      <c r="L182" s="30" t="n"/>
      <c r="M182" s="31" t="n"/>
      <c r="N182" s="29" t="n"/>
      <c r="O182" s="31" t="n"/>
    </row>
    <row r="183" ht="15" customHeight="1" s="16">
      <c r="A183" s="26" t="n">
        <v>182</v>
      </c>
      <c r="B183" s="26" t="n">
        <v>50</v>
      </c>
      <c r="C183" s="26" t="n">
        <v>352</v>
      </c>
      <c r="D183" s="27" t="inlineStr">
        <is>
          <t>書契以前</t>
        </is>
      </c>
      <c r="E183" s="28" t="inlineStr">
        <is>
          <t>年代國都不可攷</t>
        </is>
      </c>
      <c r="F183" s="27" t="inlineStr">
        <is>
          <t>然自有書契以來</t>
        </is>
      </c>
      <c r="G183" s="26" t="n"/>
      <c r="H183" s="29" t="n"/>
      <c r="I183" s="30" t="n"/>
      <c r="J183" s="30" t="n"/>
      <c r="K183" s="30" t="n"/>
      <c r="L183" s="30" t="n"/>
      <c r="M183" s="31" t="n"/>
      <c r="N183" s="29" t="n"/>
      <c r="O183" s="31" t="n"/>
    </row>
    <row r="184" ht="15" customHeight="1" s="16">
      <c r="A184" s="26" t="n">
        <v>183</v>
      </c>
      <c r="B184" s="26" t="n">
        <v>50</v>
      </c>
      <c r="C184" s="26" t="n">
        <v>353</v>
      </c>
      <c r="D184" s="27" t="inlineStr">
        <is>
          <t>年代國都不可攷</t>
        </is>
      </c>
      <c r="E184" s="32" t="inlineStr">
        <is>
          <t>然自有書契以來</t>
        </is>
      </c>
      <c r="F184" s="27" t="inlineStr">
        <is>
          <t>二十一代三千餘年</t>
        </is>
      </c>
      <c r="G184" s="26" t="inlineStr">
        <is>
          <t>●</t>
        </is>
      </c>
      <c r="H184" s="29" t="n"/>
      <c r="I184" s="30" t="n"/>
      <c r="J184" s="30" t="n"/>
      <c r="K184" s="30" t="n"/>
      <c r="L184" s="30" t="n"/>
      <c r="M184" s="31" t="n"/>
      <c r="N184" s="29" t="n"/>
      <c r="O184" s="31" t="n"/>
    </row>
    <row r="185" ht="15" customHeight="1" s="16">
      <c r="A185" s="26" t="n">
        <v>184</v>
      </c>
      <c r="B185" s="26" t="n">
        <v>50</v>
      </c>
      <c r="C185" s="26" t="n">
        <v>354</v>
      </c>
      <c r="D185" s="27" t="inlineStr">
        <is>
          <t>然自有書契以來</t>
        </is>
      </c>
      <c r="E185" s="28" t="inlineStr">
        <is>
          <t>二十一代三千餘年</t>
        </is>
      </c>
      <c r="F185" s="27" t="inlineStr">
        <is>
          <t>治天下將以何術也</t>
        </is>
      </c>
      <c r="G185" s="26" t="n"/>
      <c r="H185" s="29" t="n"/>
      <c r="I185" s="30" t="n"/>
      <c r="J185" s="30" t="n"/>
      <c r="K185" s="30" t="n"/>
      <c r="L185" s="30" t="n"/>
      <c r="M185" s="31" t="n"/>
      <c r="N185" s="29" t="n"/>
      <c r="O185" s="31" t="n"/>
    </row>
    <row r="186" ht="15" customHeight="1" s="16">
      <c r="A186" s="26" t="n">
        <v>185</v>
      </c>
      <c r="B186" s="26" t="n">
        <v>50</v>
      </c>
      <c r="C186" s="26" t="n">
        <v>361</v>
      </c>
      <c r="D186" s="27" t="inlineStr">
        <is>
          <t>井田吾知其有周公氏</t>
        </is>
      </c>
      <c r="E186" s="28" t="inlineStr">
        <is>
          <t>學問吾知其有孔子氏</t>
        </is>
      </c>
      <c r="F186" s="27" t="inlineStr">
        <is>
          <t>財賦吾知其有管仲氏</t>
        </is>
      </c>
      <c r="G186" s="26" t="n"/>
      <c r="H186" s="29" t="n"/>
      <c r="I186" s="30" t="n"/>
      <c r="J186" s="30" t="n"/>
      <c r="K186" s="30" t="n"/>
      <c r="L186" s="30" t="n"/>
      <c r="M186" s="31" t="n"/>
      <c r="N186" s="29" t="n"/>
      <c r="O186" s="31" t="n"/>
    </row>
    <row r="187" ht="15" customHeight="1" s="16">
      <c r="A187" s="26" t="n">
        <v>186</v>
      </c>
      <c r="B187" s="26" t="n">
        <v>50</v>
      </c>
      <c r="C187" s="26" t="n">
        <v>362</v>
      </c>
      <c r="D187" s="27" t="inlineStr">
        <is>
          <t>學問吾知其有孔子氏</t>
        </is>
      </c>
      <c r="E187" s="32" t="inlineStr">
        <is>
          <t>財賦吾知其有管仲氏</t>
        </is>
      </c>
      <c r="F187" s="27" t="inlineStr">
        <is>
          <t>吾未知復</t>
        </is>
      </c>
      <c r="G187" s="26" t="inlineStr">
        <is>
          <t>●</t>
        </is>
      </c>
      <c r="H187" s="29" t="n"/>
      <c r="I187" s="30" t="n"/>
      <c r="J187" s="30" t="n"/>
      <c r="K187" s="30" t="n"/>
      <c r="L187" s="30" t="n"/>
      <c r="M187" s="31" t="n"/>
      <c r="N187" s="29" t="n"/>
      <c r="O187" s="31" t="n"/>
    </row>
    <row r="188" ht="15" customHeight="1" s="16">
      <c r="A188" s="26" t="n">
        <v>187</v>
      </c>
      <c r="B188" s="26" t="n">
        <v>50</v>
      </c>
      <c r="C188" s="26" t="n">
        <v>363</v>
      </c>
      <c r="D188" s="27" t="inlineStr">
        <is>
          <t>財賦吾知其有管仲氏</t>
        </is>
      </c>
      <c r="E188" s="28" t="inlineStr">
        <is>
          <t>吾未知復</t>
        </is>
      </c>
      <c r="F188" s="27" t="inlineStr">
        <is>
          <t>有幾聖人竭其心思焉</t>
        </is>
      </c>
      <c r="G188" s="26" t="n"/>
      <c r="H188" s="29" t="n"/>
      <c r="I188" s="30" t="n"/>
      <c r="J188" s="30" t="n"/>
      <c r="K188" s="30" t="n"/>
      <c r="L188" s="30" t="n"/>
      <c r="M188" s="31" t="n"/>
      <c r="N188" s="29" t="n"/>
      <c r="O188" s="31" t="n"/>
    </row>
    <row r="189" ht="29.85" customHeight="1" s="16">
      <c r="A189" s="26" t="n">
        <v>188</v>
      </c>
      <c r="B189" s="26" t="n">
        <v>50</v>
      </c>
      <c r="C189" s="26" t="n">
        <v>370</v>
      </c>
      <c r="D189" s="27" t="inlineStr">
        <is>
          <t>幾聖人</t>
        </is>
      </c>
      <c r="E189" s="28" t="inlineStr">
        <is>
          <t>修飾之</t>
        </is>
      </c>
      <c r="F189" s="27" t="inlineStr">
        <is>
          <t>於二十一代三千餘年書契未造之前耶</t>
        </is>
      </c>
      <c r="G189" s="26" t="n"/>
      <c r="H189" s="29" t="n"/>
      <c r="I189" s="30" t="n"/>
      <c r="J189" s="30" t="n"/>
      <c r="K189" s="30" t="n"/>
      <c r="L189" s="30" t="n"/>
      <c r="M189" s="31" t="n"/>
      <c r="N189" s="29" t="n"/>
      <c r="O189" s="31" t="n"/>
    </row>
    <row r="190" ht="29.85" customHeight="1" s="16">
      <c r="A190" s="26" t="n">
        <v>189</v>
      </c>
      <c r="B190" s="26" t="n">
        <v>50</v>
      </c>
      <c r="C190" s="26" t="n">
        <v>371</v>
      </c>
      <c r="D190" s="27" t="inlineStr">
        <is>
          <t>修飾之</t>
        </is>
      </c>
      <c r="E190" s="32" t="inlineStr">
        <is>
          <t>於二十一代三千餘年書契未造之前耶</t>
        </is>
      </c>
      <c r="F190" s="27" t="inlineStr">
        <is>
          <t>群聖人之所以竭其心思耳目艸刱潤色修飾者</t>
        </is>
      </c>
      <c r="G190" s="26" t="inlineStr">
        <is>
          <t>●</t>
        </is>
      </c>
      <c r="H190" s="29" t="n"/>
      <c r="I190" s="30" t="n"/>
      <c r="J190" s="30" t="n"/>
      <c r="K190" s="30" t="n"/>
      <c r="L190" s="30" t="n"/>
      <c r="M190" s="31" t="n"/>
      <c r="N190" s="29" t="n"/>
      <c r="O190" s="31" t="n"/>
    </row>
    <row r="191" ht="29.85" customHeight="1" s="16">
      <c r="A191" s="26" t="n">
        <v>190</v>
      </c>
      <c r="B191" s="26" t="n">
        <v>50</v>
      </c>
      <c r="C191" s="26" t="n">
        <v>372</v>
      </c>
      <c r="D191" s="27" t="inlineStr">
        <is>
          <t>於二十一代三千餘年書契未造之前耶</t>
        </is>
      </c>
      <c r="E191" s="28" t="inlineStr">
        <is>
          <t>群聖人之所以竭其心思耳目艸刱潤色修飾者</t>
        </is>
      </c>
      <c r="F191" s="27" t="inlineStr">
        <is>
          <t>將以自</t>
        </is>
      </c>
      <c r="G191" s="26" t="n"/>
      <c r="H191" s="29" t="n"/>
      <c r="I191" s="30" t="n"/>
      <c r="J191" s="30" t="n"/>
      <c r="K191" s="30" t="n"/>
      <c r="L191" s="30" t="n"/>
      <c r="M191" s="31" t="n"/>
      <c r="N191" s="29" t="n"/>
      <c r="O191" s="31" t="n"/>
    </row>
    <row r="192" ht="29.85" customHeight="1" s="16">
      <c r="A192" s="26" t="n">
        <v>191</v>
      </c>
      <c r="B192" s="26" t="n">
        <v>50</v>
      </c>
      <c r="C192" s="26" t="n">
        <v>373</v>
      </c>
      <c r="D192" s="27" t="inlineStr">
        <is>
          <t>群聖人之所以竭其心思耳目艸刱潤色修飾者</t>
        </is>
      </c>
      <c r="E192" s="28" t="inlineStr">
        <is>
          <t>將以自</t>
        </is>
      </c>
      <c r="F192" s="27" t="inlineStr">
        <is>
          <t>利乎</t>
        </is>
      </c>
      <c r="G192" s="26" t="n"/>
      <c r="H192" s="29" t="n"/>
      <c r="I192" s="30" t="n"/>
      <c r="J192" s="30" t="n"/>
      <c r="K192" s="30" t="n"/>
      <c r="L192" s="30" t="n"/>
      <c r="M192" s="31" t="n"/>
      <c r="N192" s="29" t="n"/>
      <c r="O192" s="31" t="n"/>
    </row>
    <row r="193" ht="15" customHeight="1" s="16">
      <c r="A193" s="26" t="n">
        <v>192</v>
      </c>
      <c r="B193" s="26" t="n">
        <v>50</v>
      </c>
      <c r="C193" s="26" t="n">
        <v>374</v>
      </c>
      <c r="D193" s="27" t="inlineStr">
        <is>
          <t>將以自</t>
        </is>
      </c>
      <c r="E193" s="32" t="inlineStr">
        <is>
          <t>利乎</t>
        </is>
      </c>
      <c r="F193" s="27" t="inlineStr">
        <is>
          <t>抑欲與萬世共享其福耶</t>
        </is>
      </c>
      <c r="G193" s="26" t="inlineStr">
        <is>
          <t>●</t>
        </is>
      </c>
      <c r="H193" s="29" t="n"/>
      <c r="I193" s="30" t="n"/>
      <c r="J193" s="30" t="n"/>
      <c r="K193" s="30" t="n"/>
      <c r="L193" s="30" t="n"/>
      <c r="M193" s="31" t="n"/>
      <c r="N193" s="29" t="n"/>
      <c r="O193" s="31" t="n"/>
    </row>
    <row r="194" ht="15" customHeight="1" s="16">
      <c r="A194" s="26" t="n">
        <v>193</v>
      </c>
      <c r="B194" s="26" t="n">
        <v>50</v>
      </c>
      <c r="C194" s="26" t="n">
        <v>375</v>
      </c>
      <c r="D194" s="27" t="inlineStr">
        <is>
          <t>利乎</t>
        </is>
      </c>
      <c r="E194" s="28" t="inlineStr">
        <is>
          <t>抑欲與萬世共享其福耶</t>
        </is>
      </c>
      <c r="F194" s="27" t="inlineStr">
        <is>
          <t>一有心術不同</t>
        </is>
      </c>
      <c r="G194" s="26" t="n"/>
      <c r="H194" s="29" t="n"/>
      <c r="I194" s="30" t="n"/>
      <c r="J194" s="30" t="n"/>
      <c r="K194" s="30" t="n"/>
      <c r="L194" s="30" t="n"/>
      <c r="M194" s="31" t="n"/>
      <c r="N194" s="29" t="n"/>
      <c r="O194" s="31" t="n"/>
    </row>
    <row r="195" ht="15" customHeight="1" s="16">
      <c r="A195" s="26" t="n">
        <v>194</v>
      </c>
      <c r="B195" s="26" t="n">
        <v>50</v>
      </c>
      <c r="C195" s="26" t="n">
        <v>387</v>
      </c>
      <c r="D195" s="27" t="inlineStr">
        <is>
          <t>而暗收其功</t>
        </is>
      </c>
      <c r="E195" s="28" t="inlineStr">
        <is>
          <t>陽怒其人</t>
        </is>
      </c>
      <c r="F195" s="27" t="inlineStr">
        <is>
          <t>而陰享其利</t>
        </is>
      </c>
      <c r="G195" s="26" t="n"/>
      <c r="H195" s="29" t="n"/>
      <c r="I195" s="30" t="n"/>
      <c r="J195" s="30" t="n"/>
      <c r="K195" s="30" t="n"/>
      <c r="L195" s="30" t="n"/>
      <c r="M195" s="31" t="n"/>
      <c r="N195" s="29" t="n"/>
      <c r="O195" s="31" t="n"/>
    </row>
    <row r="196" ht="15" customHeight="1" s="16">
      <c r="A196" s="26" t="n">
        <v>195</v>
      </c>
      <c r="B196" s="26" t="n">
        <v>50</v>
      </c>
      <c r="C196" s="26" t="n">
        <v>388</v>
      </c>
      <c r="D196" s="27" t="inlineStr">
        <is>
          <t>陽怒其人</t>
        </is>
      </c>
      <c r="E196" s="32" t="inlineStr">
        <is>
          <t>而陰享其利</t>
        </is>
      </c>
      <c r="F196" s="27" t="inlineStr">
        <is>
          <t>天下之寄技淫巧</t>
        </is>
      </c>
      <c r="G196" s="26" t="inlineStr">
        <is>
          <t>●</t>
        </is>
      </c>
      <c r="H196" s="29" t="n"/>
      <c r="I196" s="30" t="n"/>
      <c r="J196" s="30" t="n"/>
      <c r="K196" s="30" t="n"/>
      <c r="L196" s="30" t="n"/>
      <c r="M196" s="31" t="n"/>
      <c r="N196" s="29" t="n"/>
      <c r="O196" s="31" t="n"/>
    </row>
    <row r="197" ht="15" customHeight="1" s="16">
      <c r="A197" s="26" t="n">
        <v>196</v>
      </c>
      <c r="B197" s="26" t="n">
        <v>50</v>
      </c>
      <c r="C197" s="26" t="n">
        <v>389</v>
      </c>
      <c r="D197" s="27" t="inlineStr">
        <is>
          <t>而陰享其利</t>
        </is>
      </c>
      <c r="E197" s="28" t="inlineStr">
        <is>
          <t>天下之寄技淫巧</t>
        </is>
      </c>
      <c r="F197" s="27" t="inlineStr">
        <is>
          <t>由是而日滋矣</t>
        </is>
      </c>
      <c r="G197" s="26" t="n"/>
      <c r="H197" s="29" t="n"/>
      <c r="I197" s="30" t="n"/>
      <c r="J197" s="30" t="n"/>
      <c r="K197" s="30" t="n"/>
      <c r="L197" s="30" t="n"/>
      <c r="M197" s="31" t="n"/>
      <c r="N197" s="29" t="n"/>
      <c r="O197" s="31" t="n"/>
    </row>
    <row r="198" ht="15" customHeight="1" s="16">
      <c r="A198" s="26" t="n">
        <v>197</v>
      </c>
      <c r="B198" s="26" t="n">
        <v>50</v>
      </c>
      <c r="C198" s="26" t="n">
        <v>402</v>
      </c>
      <c r="D198" s="27" t="inlineStr">
        <is>
          <t>徙木棄灰</t>
        </is>
      </c>
      <c r="E198" s="28" t="inlineStr">
        <is>
          <t>而以一其制度者</t>
        </is>
      </c>
      <c r="F198" s="27" t="inlineStr">
        <is>
          <t>豈非所謂商鞅乎</t>
        </is>
      </c>
      <c r="G198" s="26" t="n"/>
      <c r="H198" s="29" t="n"/>
      <c r="I198" s="30" t="n"/>
      <c r="J198" s="30" t="n"/>
      <c r="K198" s="30" t="n"/>
      <c r="L198" s="30" t="n"/>
      <c r="M198" s="31" t="n"/>
      <c r="N198" s="29" t="n"/>
      <c r="O198" s="31" t="n"/>
    </row>
    <row r="199" ht="15" customHeight="1" s="16">
      <c r="A199" s="26" t="n">
        <v>198</v>
      </c>
      <c r="B199" s="26" t="n">
        <v>50</v>
      </c>
      <c r="C199" s="26" t="n">
        <v>403</v>
      </c>
      <c r="D199" s="27" t="inlineStr">
        <is>
          <t>而以一其制度者</t>
        </is>
      </c>
      <c r="E199" s="32" t="inlineStr">
        <is>
          <t>豈非所謂商鞅乎</t>
        </is>
      </c>
      <c r="F199" s="27" t="inlineStr">
        <is>
          <t>夫此四五諸公者</t>
        </is>
      </c>
      <c r="G199" s="26" t="inlineStr">
        <is>
          <t>●</t>
        </is>
      </c>
      <c r="H199" s="29" t="n"/>
      <c r="I199" s="30" t="n"/>
      <c r="J199" s="30" t="n"/>
      <c r="K199" s="30" t="n"/>
      <c r="L199" s="30" t="n"/>
      <c r="M199" s="31" t="n"/>
      <c r="N199" s="29" t="n"/>
      <c r="O199" s="31" t="n"/>
    </row>
    <row r="200" ht="15" customHeight="1" s="16">
      <c r="A200" s="26" t="n">
        <v>199</v>
      </c>
      <c r="B200" s="26" t="n">
        <v>50</v>
      </c>
      <c r="C200" s="26" t="n">
        <v>404</v>
      </c>
      <c r="D200" s="27" t="inlineStr">
        <is>
          <t>豈非所謂商鞅乎</t>
        </is>
      </c>
      <c r="E200" s="28" t="inlineStr">
        <is>
          <t>夫此四五諸公者</t>
        </is>
      </c>
      <c r="F200" s="27" t="inlineStr">
        <is>
          <t>其力量才智</t>
        </is>
      </c>
      <c r="G200" s="26" t="n"/>
      <c r="H200" s="29" t="n"/>
      <c r="I200" s="30" t="n"/>
      <c r="J200" s="30" t="n"/>
      <c r="K200" s="30" t="n"/>
      <c r="L200" s="30" t="n"/>
      <c r="M200" s="31" t="n"/>
      <c r="N200" s="29" t="n"/>
      <c r="O200" s="31" t="n"/>
    </row>
    <row r="201" ht="29.85" customHeight="1" s="16">
      <c r="A201" s="26" t="n">
        <v>200</v>
      </c>
      <c r="B201" s="26" t="n">
        <v>50</v>
      </c>
      <c r="C201" s="26" t="n">
        <v>410</v>
      </c>
      <c r="D201" s="27" t="inlineStr">
        <is>
          <t>不震天動地</t>
        </is>
      </c>
      <c r="E201" s="28" t="inlineStr">
        <is>
          <t>而未始不欲與群聖人對頭並立乎宇宙之間矣</t>
        </is>
      </c>
      <c r="F201" s="27" t="inlineStr">
        <is>
          <t>不幸首出於書契旣造之後</t>
        </is>
      </c>
      <c r="G201" s="26" t="n"/>
      <c r="H201" s="29" t="n"/>
      <c r="I201" s="30" t="n"/>
      <c r="J201" s="30" t="n"/>
      <c r="K201" s="30" t="n"/>
      <c r="L201" s="30" t="n"/>
      <c r="M201" s="31" t="n"/>
      <c r="N201" s="29" t="n"/>
      <c r="O201" s="31" t="n"/>
    </row>
    <row r="202" ht="29.85" customHeight="1" s="16">
      <c r="A202" s="26" t="n">
        <v>201</v>
      </c>
      <c r="B202" s="26" t="n">
        <v>50</v>
      </c>
      <c r="C202" s="26" t="n">
        <v>411</v>
      </c>
      <c r="D202" s="27" t="inlineStr">
        <is>
          <t>而未始不欲與群聖人對頭並立乎宇宙之間矣</t>
        </is>
      </c>
      <c r="E202" s="32" t="inlineStr">
        <is>
          <t>不幸首出於書契旣造之後</t>
        </is>
      </c>
      <c r="F202" s="27" t="inlineStr">
        <is>
          <t>功利之享</t>
        </is>
      </c>
      <c r="G202" s="26" t="inlineStr">
        <is>
          <t>●</t>
        </is>
      </c>
      <c r="H202" s="29" t="n"/>
      <c r="I202" s="30" t="n"/>
      <c r="J202" s="30" t="n"/>
      <c r="K202" s="30" t="n"/>
      <c r="L202" s="30" t="n"/>
      <c r="M202" s="31" t="n"/>
      <c r="N202" s="29" t="n"/>
      <c r="O202" s="31" t="n"/>
    </row>
    <row r="203" ht="29.85" customHeight="1" s="16">
      <c r="A203" s="26" t="n">
        <v>202</v>
      </c>
      <c r="B203" s="26" t="n">
        <v>50</v>
      </c>
      <c r="C203" s="26" t="n">
        <v>412</v>
      </c>
      <c r="D203" s="27" t="inlineStr">
        <is>
          <t>不幸首出於書契旣造之後</t>
        </is>
      </c>
      <c r="E203" s="32" t="inlineStr">
        <is>
          <t>功利之享</t>
        </is>
      </c>
      <c r="F203" s="27" t="inlineStr">
        <is>
          <t>獨</t>
        </is>
      </c>
      <c r="G203" s="26" t="inlineStr">
        <is>
          <t>●</t>
        </is>
      </c>
      <c r="H203" s="29" t="n"/>
      <c r="I203" s="30" t="n"/>
      <c r="J203" s="30" t="n"/>
      <c r="K203" s="30" t="n"/>
      <c r="L203" s="30" t="n"/>
      <c r="M203" s="31" t="n"/>
      <c r="N203" s="29" t="n"/>
      <c r="O203" s="31" t="n"/>
    </row>
    <row r="204" ht="15" customHeight="1" s="16">
      <c r="A204" s="26" t="n">
        <v>203</v>
      </c>
      <c r="B204" s="26" t="n">
        <v>50</v>
      </c>
      <c r="C204" s="26" t="n">
        <v>413</v>
      </c>
      <c r="D204" s="27" t="inlineStr">
        <is>
          <t>功利之享</t>
        </is>
      </c>
      <c r="E204" s="28" t="inlineStr">
        <is>
          <t>獨</t>
        </is>
      </c>
      <c r="F204" s="27" t="inlineStr">
        <is>
          <t>歸後人</t>
        </is>
      </c>
      <c r="G204" s="26" t="n"/>
      <c r="H204" s="29" t="n"/>
      <c r="I204" s="30" t="n"/>
      <c r="J204" s="30" t="n"/>
      <c r="K204" s="30" t="n"/>
      <c r="L204" s="30" t="n"/>
      <c r="M204" s="31" t="n"/>
      <c r="N204" s="29" t="n"/>
      <c r="O204" s="31" t="n"/>
    </row>
    <row r="205" ht="29.85" customHeight="1" s="16">
      <c r="A205" s="26" t="n">
        <v>204</v>
      </c>
      <c r="B205" s="26" t="n">
        <v>50</v>
      </c>
      <c r="C205" s="26" t="n">
        <v>419</v>
      </c>
      <c r="D205" s="27" t="inlineStr">
        <is>
          <t>吾又未知二十一代三千餘年之間</t>
        </is>
      </c>
      <c r="E205" s="28" t="inlineStr">
        <is>
          <t>幾桀紂幾蒙恬幾始</t>
        </is>
      </c>
      <c r="F205" s="27" t="inlineStr">
        <is>
          <t>皇幾商鞅</t>
        </is>
      </c>
      <c r="G205" s="26" t="n"/>
      <c r="H205" s="29" t="n"/>
      <c r="I205" s="30" t="n"/>
      <c r="J205" s="30" t="n"/>
      <c r="K205" s="30" t="n"/>
      <c r="L205" s="30" t="n"/>
      <c r="M205" s="31" t="n"/>
      <c r="N205" s="29" t="n"/>
      <c r="O205" s="31" t="n"/>
    </row>
    <row r="206" ht="15" customHeight="1" s="16">
      <c r="A206" s="26" t="n">
        <v>205</v>
      </c>
      <c r="B206" s="26" t="n">
        <v>50</v>
      </c>
      <c r="C206" s="26" t="n">
        <v>420</v>
      </c>
      <c r="D206" s="27" t="inlineStr">
        <is>
          <t>幾桀紂幾蒙恬幾始</t>
        </is>
      </c>
      <c r="E206" s="32" t="inlineStr">
        <is>
          <t>皇幾商鞅</t>
        </is>
      </c>
      <c r="F206" s="27" t="inlineStr">
        <is>
          <t>效尤於書契旣造之後耶</t>
        </is>
      </c>
      <c r="G206" s="26" t="inlineStr">
        <is>
          <t>●</t>
        </is>
      </c>
      <c r="H206" s="29" t="n"/>
      <c r="I206" s="30" t="n"/>
      <c r="J206" s="30" t="n"/>
      <c r="K206" s="30" t="n"/>
      <c r="L206" s="30" t="n"/>
      <c r="M206" s="31" t="n"/>
      <c r="N206" s="29" t="n"/>
      <c r="O206" s="31" t="n"/>
    </row>
    <row r="207" ht="15" customHeight="1" s="16">
      <c r="A207" s="26" t="n">
        <v>206</v>
      </c>
      <c r="B207" s="26" t="n">
        <v>50</v>
      </c>
      <c r="C207" s="26" t="n">
        <v>421</v>
      </c>
      <c r="D207" s="27" t="inlineStr">
        <is>
          <t>皇幾商鞅</t>
        </is>
      </c>
      <c r="E207" s="32" t="inlineStr">
        <is>
          <t>效尤於書契旣造之後耶</t>
        </is>
      </c>
      <c r="F207" s="27" t="inlineStr">
        <is>
          <t>書契旣造之後如此</t>
        </is>
      </c>
      <c r="G207" s="26" t="inlineStr">
        <is>
          <t>●</t>
        </is>
      </c>
      <c r="H207" s="29" t="n"/>
      <c r="I207" s="30" t="n"/>
      <c r="J207" s="30" t="n"/>
      <c r="K207" s="30" t="n"/>
      <c r="L207" s="30" t="n"/>
      <c r="M207" s="31" t="n"/>
      <c r="N207" s="29" t="n"/>
      <c r="O207" s="31" t="n"/>
    </row>
    <row r="208" ht="15" customHeight="1" s="16">
      <c r="A208" s="26" t="n">
        <v>207</v>
      </c>
      <c r="B208" s="26" t="n">
        <v>50</v>
      </c>
      <c r="C208" s="26" t="n">
        <v>422</v>
      </c>
      <c r="D208" s="27" t="inlineStr">
        <is>
          <t>效尤於書契旣造之後耶</t>
        </is>
      </c>
      <c r="E208" s="32" t="inlineStr">
        <is>
          <t>書契旣造之後如此</t>
        </is>
      </c>
      <c r="F208" s="27" t="inlineStr">
        <is>
          <t>則書契未造之前</t>
        </is>
      </c>
      <c r="G208" s="26" t="inlineStr">
        <is>
          <t>●</t>
        </is>
      </c>
      <c r="H208" s="29" t="n"/>
      <c r="I208" s="30" t="n"/>
      <c r="J208" s="30" t="n"/>
      <c r="K208" s="30" t="n"/>
      <c r="L208" s="30" t="n"/>
      <c r="M208" s="31" t="n"/>
      <c r="N208" s="29" t="n"/>
      <c r="O208" s="31" t="n"/>
    </row>
    <row r="209" ht="15" customHeight="1" s="16">
      <c r="A209" s="26" t="n">
        <v>208</v>
      </c>
      <c r="B209" s="26" t="n">
        <v>50</v>
      </c>
      <c r="C209" s="26" t="n">
        <v>423</v>
      </c>
      <c r="D209" s="27" t="inlineStr">
        <is>
          <t>書契旣造之後如此</t>
        </is>
      </c>
      <c r="E209" s="32" t="inlineStr">
        <is>
          <t>則書契未造之前</t>
        </is>
      </c>
      <c r="F209" s="27" t="inlineStr">
        <is>
          <t>其所損益可知也</t>
        </is>
      </c>
      <c r="G209" s="26" t="inlineStr">
        <is>
          <t>●</t>
        </is>
      </c>
      <c r="H209" s="29" t="n"/>
      <c r="I209" s="30" t="n"/>
      <c r="J209" s="30" t="n"/>
      <c r="K209" s="30" t="n"/>
      <c r="L209" s="30" t="n"/>
      <c r="M209" s="31" t="n"/>
      <c r="N209" s="29" t="n"/>
      <c r="O209" s="31" t="n"/>
    </row>
    <row r="210" ht="15" customHeight="1" s="16">
      <c r="A210" s="26" t="n">
        <v>209</v>
      </c>
      <c r="B210" s="26" t="n">
        <v>50</v>
      </c>
      <c r="C210" s="26" t="n">
        <v>424</v>
      </c>
      <c r="D210" s="27" t="inlineStr">
        <is>
          <t>則書契未造之前</t>
        </is>
      </c>
      <c r="E210" s="28" t="inlineStr">
        <is>
          <t>其所損益可知也</t>
        </is>
      </c>
      <c r="F210" s="27" t="inlineStr">
        <is>
          <t>何以知其</t>
        </is>
      </c>
      <c r="G210" s="26" t="n"/>
      <c r="H210" s="29" t="n"/>
      <c r="I210" s="30" t="n"/>
      <c r="J210" s="30" t="n"/>
      <c r="K210" s="30" t="n"/>
      <c r="L210" s="30" t="n"/>
      <c r="M210" s="31" t="n"/>
      <c r="N210" s="29" t="n"/>
      <c r="O210" s="31" t="n"/>
    </row>
    <row r="211" ht="15" customHeight="1" s="16">
      <c r="A211" s="26" t="n">
        <v>210</v>
      </c>
      <c r="B211" s="26" t="n">
        <v>50</v>
      </c>
      <c r="C211" s="26" t="n">
        <v>466</v>
      </c>
      <c r="D211" s="27" t="inlineStr">
        <is>
          <t>孔</t>
        </is>
      </c>
      <c r="E211" s="28" t="inlineStr">
        <is>
          <t>子之學問如此也</t>
        </is>
      </c>
      <c r="F211" s="27" t="inlineStr">
        <is>
          <t>管仲之理財如此也</t>
        </is>
      </c>
      <c r="G211" s="26" t="n"/>
      <c r="H211" s="29" t="n"/>
      <c r="I211" s="30" t="n"/>
      <c r="J211" s="30" t="n"/>
      <c r="K211" s="30" t="n"/>
      <c r="L211" s="30" t="n"/>
      <c r="M211" s="31" t="n"/>
      <c r="N211" s="29" t="n"/>
      <c r="O211" s="31" t="n"/>
    </row>
    <row r="212" ht="29.85" customHeight="1" s="16">
      <c r="A212" s="26" t="n">
        <v>211</v>
      </c>
      <c r="B212" s="26" t="n">
        <v>50</v>
      </c>
      <c r="C212" s="26" t="n">
        <v>467</v>
      </c>
      <c r="D212" s="27" t="inlineStr">
        <is>
          <t>子之學問如此也</t>
        </is>
      </c>
      <c r="E212" s="32" t="inlineStr">
        <is>
          <t>管仲之理財如此也</t>
        </is>
      </c>
      <c r="F212" s="27" t="inlineStr">
        <is>
          <t>桀紂之瓊宮瑤臺不過是法</t>
        </is>
      </c>
      <c r="G212" s="26" t="inlineStr">
        <is>
          <t>●</t>
        </is>
      </c>
      <c r="H212" s="29" t="n"/>
      <c r="I212" s="30" t="n"/>
      <c r="J212" s="30" t="n"/>
      <c r="K212" s="30" t="n"/>
      <c r="L212" s="30" t="n"/>
      <c r="M212" s="31" t="n"/>
      <c r="N212" s="29" t="n"/>
      <c r="O212" s="31" t="n"/>
    </row>
    <row r="213" ht="29.85" customHeight="1" s="16">
      <c r="A213" s="26" t="n">
        <v>212</v>
      </c>
      <c r="B213" s="26" t="n">
        <v>50</v>
      </c>
      <c r="C213" s="26" t="n">
        <v>468</v>
      </c>
      <c r="D213" s="27" t="inlineStr">
        <is>
          <t>管仲之理財如此也</t>
        </is>
      </c>
      <c r="E213" s="28" t="inlineStr">
        <is>
          <t>桀紂之瓊宮瑤臺不過是法</t>
        </is>
      </c>
      <c r="F213" s="27" t="inlineStr">
        <is>
          <t>蒙恬之塹山塡谷不過是法</t>
        </is>
      </c>
      <c r="G213" s="26" t="n"/>
      <c r="H213" s="29" t="n"/>
      <c r="I213" s="30" t="n"/>
      <c r="J213" s="30" t="n"/>
      <c r="K213" s="30" t="n"/>
      <c r="L213" s="30" t="n"/>
      <c r="M213" s="31" t="n"/>
      <c r="N213" s="29" t="n"/>
      <c r="O213" s="31" t="n"/>
    </row>
    <row r="214" ht="29.85" customHeight="1" s="16">
      <c r="A214" s="26" t="n">
        <v>213</v>
      </c>
      <c r="B214" s="26" t="n">
        <v>50</v>
      </c>
      <c r="C214" s="26" t="n">
        <v>471</v>
      </c>
      <c r="D214" s="27" t="inlineStr">
        <is>
          <t>始皇之</t>
        </is>
      </c>
      <c r="E214" s="28" t="inlineStr">
        <is>
          <t>除直道不過是法</t>
        </is>
      </c>
      <c r="F214" s="27" t="inlineStr">
        <is>
          <t>商鞅之一其制度不過是法</t>
        </is>
      </c>
      <c r="G214" s="26" t="n"/>
      <c r="H214" s="29" t="n"/>
      <c r="I214" s="30" t="n"/>
      <c r="J214" s="30" t="n"/>
      <c r="K214" s="30" t="n"/>
      <c r="L214" s="30" t="n"/>
      <c r="M214" s="31" t="n"/>
      <c r="N214" s="29" t="n"/>
      <c r="O214" s="31" t="n"/>
    </row>
    <row r="215" ht="15" customHeight="1" s="16">
      <c r="A215" s="26" t="n">
        <v>214</v>
      </c>
      <c r="B215" s="26" t="n">
        <v>50</v>
      </c>
      <c r="C215" s="26" t="n">
        <v>472</v>
      </c>
      <c r="D215" s="27" t="inlineStr">
        <is>
          <t>除直道不過是法</t>
        </is>
      </c>
      <c r="E215" s="32" t="inlineStr">
        <is>
          <t>商鞅之一其制度不過是法</t>
        </is>
      </c>
      <c r="F215" s="27" t="inlineStr">
        <is>
          <t>何以知其然也</t>
        </is>
      </c>
      <c r="G215" s="26" t="inlineStr">
        <is>
          <t>●</t>
        </is>
      </c>
      <c r="H215" s="29" t="n"/>
      <c r="I215" s="30" t="n"/>
      <c r="J215" s="30" t="n"/>
      <c r="K215" s="30" t="n"/>
      <c r="L215" s="30" t="n"/>
      <c r="M215" s="31" t="n"/>
      <c r="N215" s="29" t="n"/>
      <c r="O215" s="31" t="n"/>
    </row>
    <row r="216" ht="29.85" customHeight="1" s="16">
      <c r="A216" s="26" t="n">
        <v>215</v>
      </c>
      <c r="B216" s="26" t="n">
        <v>50</v>
      </c>
      <c r="C216" s="26" t="n">
        <v>473</v>
      </c>
      <c r="D216" s="27" t="inlineStr">
        <is>
          <t>商鞅之一其制度不過是法</t>
        </is>
      </c>
      <c r="E216" s="28" t="inlineStr">
        <is>
          <t>何以知其然也</t>
        </is>
      </c>
      <c r="F216" s="27" t="inlineStr">
        <is>
          <t>聖人甞同其律度量衡矣</t>
        </is>
      </c>
      <c r="G216" s="26" t="n"/>
      <c r="H216" s="29" t="n"/>
      <c r="I216" s="30" t="n"/>
      <c r="J216" s="30" t="n"/>
      <c r="K216" s="30" t="n"/>
      <c r="L216" s="30" t="n"/>
      <c r="M216" s="31" t="n"/>
      <c r="N216" s="29" t="n"/>
      <c r="O216" s="31" t="n"/>
    </row>
    <row r="217" ht="29.85" customHeight="1" s="16">
      <c r="A217" s="26" t="n">
        <v>216</v>
      </c>
      <c r="B217" s="26" t="n">
        <v>50</v>
      </c>
      <c r="C217" s="26" t="n">
        <v>481</v>
      </c>
      <c r="D217" s="27" t="inlineStr">
        <is>
          <t>聖人甞治懷山襄陵之水矣</t>
        </is>
      </c>
      <c r="E217" s="28" t="inlineStr">
        <is>
          <t>其畚鍤之多</t>
        </is>
      </c>
      <c r="F217" s="27" t="inlineStr">
        <is>
          <t>斧鑿之利</t>
        </is>
      </c>
      <c r="G217" s="26" t="n"/>
      <c r="H217" s="29" t="n"/>
      <c r="I217" s="30" t="n"/>
      <c r="J217" s="30" t="n"/>
      <c r="K217" s="30" t="n"/>
      <c r="L217" s="30" t="n"/>
      <c r="M217" s="31" t="n"/>
      <c r="N217" s="29" t="n"/>
      <c r="O217" s="31" t="n"/>
    </row>
    <row r="218" ht="15" customHeight="1" s="16">
      <c r="A218" s="26" t="n">
        <v>217</v>
      </c>
      <c r="B218" s="26" t="n">
        <v>50</v>
      </c>
      <c r="C218" s="26" t="n">
        <v>482</v>
      </c>
      <c r="D218" s="27" t="inlineStr">
        <is>
          <t>其畚鍤之多</t>
        </is>
      </c>
      <c r="E218" s="32" t="inlineStr">
        <is>
          <t>斧鑿之利</t>
        </is>
      </c>
      <c r="F218" s="27" t="inlineStr">
        <is>
          <t>工倕之巧</t>
        </is>
      </c>
      <c r="G218" s="26" t="inlineStr">
        <is>
          <t>●</t>
        </is>
      </c>
      <c r="H218" s="29" t="n"/>
      <c r="I218" s="30" t="n"/>
      <c r="J218" s="30" t="n"/>
      <c r="K218" s="30" t="n"/>
      <c r="L218" s="30" t="n"/>
      <c r="M218" s="31" t="n"/>
      <c r="N218" s="29" t="n"/>
      <c r="O218" s="31" t="n"/>
    </row>
    <row r="219" ht="15" customHeight="1" s="16">
      <c r="A219" s="26" t="n">
        <v>218</v>
      </c>
      <c r="B219" s="26" t="n">
        <v>50</v>
      </c>
      <c r="C219" s="26" t="n">
        <v>483</v>
      </c>
      <c r="D219" s="27" t="inlineStr">
        <is>
          <t>斧鑿之利</t>
        </is>
      </c>
      <c r="E219" s="28" t="inlineStr">
        <is>
          <t>工倕之巧</t>
        </is>
      </c>
      <c r="F219" s="27" t="inlineStr">
        <is>
          <t>役夫之衆</t>
        </is>
      </c>
      <c r="G219" s="26" t="n"/>
      <c r="H219" s="29" t="n"/>
      <c r="I219" s="30" t="n"/>
      <c r="J219" s="30" t="n"/>
      <c r="K219" s="30" t="n"/>
      <c r="L219" s="30" t="n"/>
      <c r="M219" s="31" t="n"/>
      <c r="N219" s="29" t="n"/>
      <c r="O219" s="31" t="n"/>
    </row>
    <row r="220" ht="29.85" customHeight="1" s="16">
      <c r="A220" s="26" t="n">
        <v>219</v>
      </c>
      <c r="B220" s="26" t="n">
        <v>50</v>
      </c>
      <c r="C220" s="26" t="n">
        <v>505</v>
      </c>
      <c r="D220" s="27" t="inlineStr">
        <is>
          <t>衣食足而知禮節</t>
        </is>
      </c>
      <c r="E220" s="28" t="inlineStr">
        <is>
          <t>則</t>
        </is>
      </c>
      <c r="F220" s="27" t="inlineStr">
        <is>
          <t>後世之欲富其國而强其兵者</t>
        </is>
      </c>
      <c r="G220" s="26" t="n"/>
      <c r="H220" s="29" t="n"/>
      <c r="I220" s="30" t="n"/>
      <c r="J220" s="30" t="n"/>
      <c r="K220" s="30" t="n"/>
      <c r="L220" s="30" t="n"/>
      <c r="M220" s="31" t="n"/>
      <c r="N220" s="29" t="n"/>
      <c r="O220" s="31" t="n"/>
    </row>
    <row r="221" ht="15" customHeight="1" s="16">
      <c r="A221" s="26" t="n">
        <v>220</v>
      </c>
      <c r="B221" s="26" t="n">
        <v>50</v>
      </c>
      <c r="C221" s="26" t="n">
        <v>506</v>
      </c>
      <c r="D221" s="27" t="inlineStr">
        <is>
          <t>則</t>
        </is>
      </c>
      <c r="E221" s="32" t="inlineStr">
        <is>
          <t>後世之欲富其國而强其兵者</t>
        </is>
      </c>
      <c r="F221" s="27" t="inlineStr">
        <is>
          <t>寧冒刻薄小恩之名</t>
        </is>
      </c>
      <c r="G221" s="26" t="inlineStr">
        <is>
          <t>●</t>
        </is>
      </c>
      <c r="H221" s="29" t="n"/>
      <c r="I221" s="30" t="n"/>
      <c r="J221" s="30" t="n"/>
      <c r="K221" s="30" t="n"/>
      <c r="L221" s="30" t="n"/>
      <c r="M221" s="31" t="n"/>
      <c r="N221" s="29" t="n"/>
      <c r="O221" s="31" t="n"/>
    </row>
    <row r="222" ht="29.85" customHeight="1" s="16">
      <c r="A222" s="26" t="n">
        <v>221</v>
      </c>
      <c r="B222" s="26" t="n">
        <v>50</v>
      </c>
      <c r="C222" s="26" t="n">
        <v>507</v>
      </c>
      <c r="D222" s="27" t="inlineStr">
        <is>
          <t>後世之欲富其國而强其兵者</t>
        </is>
      </c>
      <c r="E222" s="28" t="inlineStr">
        <is>
          <t>寧冒刻薄小恩之名</t>
        </is>
      </c>
      <c r="F222" s="27" t="inlineStr">
        <is>
          <t>豈適私利於其身哉</t>
        </is>
      </c>
      <c r="G222" s="26" t="n"/>
      <c r="H222" s="29" t="n"/>
      <c r="I222" s="30" t="n"/>
      <c r="J222" s="30" t="n"/>
      <c r="K222" s="30" t="n"/>
      <c r="L222" s="30" t="n"/>
      <c r="M222" s="31" t="n"/>
      <c r="N222" s="29" t="n"/>
      <c r="O222" s="31" t="n"/>
    </row>
    <row r="223" ht="15" customHeight="1" s="16">
      <c r="A223" s="26" t="n">
        <v>222</v>
      </c>
      <c r="B223" s="26" t="n">
        <v>50</v>
      </c>
      <c r="C223" s="26" t="n">
        <v>508</v>
      </c>
      <c r="D223" s="27" t="inlineStr">
        <is>
          <t>寧冒刻薄小恩之名</t>
        </is>
      </c>
      <c r="E223" s="32" t="inlineStr">
        <is>
          <t>豈適私利於其身哉</t>
        </is>
      </c>
      <c r="F223" s="27" t="inlineStr">
        <is>
          <t>論其心術於危微之際</t>
        </is>
      </c>
      <c r="G223" s="26" t="inlineStr">
        <is>
          <t>●</t>
        </is>
      </c>
      <c r="H223" s="29" t="n"/>
      <c r="I223" s="30" t="n"/>
      <c r="J223" s="30" t="n"/>
      <c r="K223" s="30" t="n"/>
      <c r="L223" s="30" t="n"/>
      <c r="M223" s="31" t="n"/>
      <c r="N223" s="29" t="n"/>
      <c r="O223" s="31" t="n"/>
    </row>
    <row r="224" ht="15" customHeight="1" s="16">
      <c r="A224" s="26" t="n">
        <v>223</v>
      </c>
      <c r="B224" s="26" t="n">
        <v>50</v>
      </c>
      <c r="C224" s="26" t="n">
        <v>509</v>
      </c>
      <c r="D224" s="27" t="inlineStr">
        <is>
          <t>豈適私利於其身哉</t>
        </is>
      </c>
      <c r="E224" s="28" t="inlineStr">
        <is>
          <t>論其心術於危微之際</t>
        </is>
      </c>
      <c r="F224" s="27" t="inlineStr">
        <is>
          <t>辨其事</t>
        </is>
      </c>
      <c r="G224" s="26" t="n"/>
      <c r="H224" s="29" t="n"/>
      <c r="I224" s="30" t="n"/>
      <c r="J224" s="30" t="n"/>
      <c r="K224" s="30" t="n"/>
      <c r="L224" s="30" t="n"/>
      <c r="M224" s="31" t="n"/>
      <c r="N224" s="29" t="n"/>
      <c r="O224" s="31" t="n"/>
    </row>
    <row r="225" ht="15" customHeight="1" s="16">
      <c r="A225" s="26" t="n">
        <v>224</v>
      </c>
      <c r="B225" s="26" t="n">
        <v>50</v>
      </c>
      <c r="C225" s="26" t="n">
        <v>512</v>
      </c>
      <c r="D225" s="27" t="inlineStr">
        <is>
          <t>業於公私之間</t>
        </is>
      </c>
      <c r="E225" s="28" t="inlineStr">
        <is>
          <t>則精一之法非彼之謂也</t>
        </is>
      </c>
      <c r="F225" s="27" t="inlineStr">
        <is>
          <t>然若其功利之享</t>
        </is>
      </c>
      <c r="G225" s="26" t="n"/>
      <c r="H225" s="29" t="n"/>
      <c r="I225" s="30" t="n"/>
      <c r="J225" s="30" t="n"/>
      <c r="K225" s="30" t="n"/>
      <c r="L225" s="30" t="n"/>
      <c r="M225" s="31" t="n"/>
      <c r="N225" s="29" t="n"/>
      <c r="O225" s="31" t="n"/>
    </row>
    <row r="226" ht="15" customHeight="1" s="16">
      <c r="A226" s="26" t="n">
        <v>225</v>
      </c>
      <c r="B226" s="26" t="n">
        <v>50</v>
      </c>
      <c r="C226" s="26" t="n">
        <v>513</v>
      </c>
      <c r="D226" s="27" t="inlineStr">
        <is>
          <t>則精一之法非彼之謂也</t>
        </is>
      </c>
      <c r="E226" s="32" t="inlineStr">
        <is>
          <t>然若其功利之享</t>
        </is>
      </c>
      <c r="F226" s="27" t="inlineStr">
        <is>
          <t>雖其法之出乎夷狄</t>
        </is>
      </c>
      <c r="G226" s="26" t="inlineStr">
        <is>
          <t>●</t>
        </is>
      </c>
      <c r="H226" s="29" t="n"/>
      <c r="I226" s="30" t="n"/>
      <c r="J226" s="30" t="n"/>
      <c r="K226" s="30" t="n"/>
      <c r="L226" s="30" t="n"/>
      <c r="M226" s="31" t="n"/>
      <c r="N226" s="29" t="n"/>
      <c r="O226" s="31" t="n"/>
    </row>
    <row r="227" ht="15" customHeight="1" s="16">
      <c r="A227" s="26" t="n">
        <v>226</v>
      </c>
      <c r="B227" s="26" t="n">
        <v>50</v>
      </c>
      <c r="C227" s="26" t="n">
        <v>514</v>
      </c>
      <c r="D227" s="27" t="inlineStr">
        <is>
          <t>然若其功利之享</t>
        </is>
      </c>
      <c r="E227" s="28" t="inlineStr">
        <is>
          <t>雖其法之出乎夷狄</t>
        </is>
      </c>
      <c r="F227" s="27" t="inlineStr">
        <is>
          <t>集其衆長</t>
        </is>
      </c>
      <c r="G227" s="26" t="n"/>
      <c r="H227" s="29" t="n"/>
      <c r="I227" s="30" t="n"/>
      <c r="J227" s="30" t="n"/>
      <c r="K227" s="30" t="n"/>
      <c r="L227" s="30" t="n"/>
      <c r="M227" s="31" t="n"/>
      <c r="N227" s="29" t="n"/>
      <c r="O227" s="31" t="n"/>
    </row>
    <row r="228" ht="29.85" customHeight="1" s="16">
      <c r="A228" s="26" t="n">
        <v>227</v>
      </c>
      <c r="B228" s="26" t="n">
        <v>50</v>
      </c>
      <c r="C228" s="26" t="n">
        <v>526</v>
      </c>
      <c r="D228" s="27" t="inlineStr">
        <is>
          <t>其設都之府曰順天</t>
        </is>
      </c>
      <c r="E228" s="28" t="inlineStr">
        <is>
          <t>在天之文曰箕尾之分</t>
        </is>
      </c>
      <c r="F228" s="27" t="inlineStr">
        <is>
          <t>在地之志曰禹貢冀州之域</t>
        </is>
      </c>
      <c r="G228" s="26" t="n"/>
      <c r="H228" s="29" t="n"/>
      <c r="I228" s="30" t="n"/>
      <c r="J228" s="30" t="n"/>
      <c r="K228" s="30" t="n"/>
      <c r="L228" s="30" t="n"/>
      <c r="M228" s="31" t="n"/>
      <c r="N228" s="29" t="n"/>
      <c r="O228" s="31" t="n"/>
    </row>
    <row r="229" ht="15" customHeight="1" s="16">
      <c r="A229" s="26" t="n">
        <v>228</v>
      </c>
      <c r="B229" s="26" t="n">
        <v>50</v>
      </c>
      <c r="C229" s="26" t="n">
        <v>527</v>
      </c>
      <c r="D229" s="27" t="inlineStr">
        <is>
          <t>在天之文曰箕尾之分</t>
        </is>
      </c>
      <c r="E229" s="32" t="inlineStr">
        <is>
          <t>在地之志曰禹貢冀州之域</t>
        </is>
      </c>
      <c r="F229" s="27" t="inlineStr">
        <is>
          <t>高陽</t>
        </is>
      </c>
      <c r="G229" s="26" t="inlineStr">
        <is>
          <t>●</t>
        </is>
      </c>
      <c r="H229" s="29" t="n"/>
      <c r="I229" s="30" t="n"/>
      <c r="J229" s="30" t="n"/>
      <c r="K229" s="30" t="n"/>
      <c r="L229" s="30" t="n"/>
      <c r="M229" s="31" t="n"/>
      <c r="N229" s="29" t="n"/>
      <c r="O229" s="31" t="n"/>
    </row>
    <row r="230" ht="29.85" customHeight="1" s="16">
      <c r="A230" s="26" t="n">
        <v>229</v>
      </c>
      <c r="B230" s="26" t="n">
        <v>50</v>
      </c>
      <c r="C230" s="26" t="n">
        <v>528</v>
      </c>
      <c r="D230" s="27" t="inlineStr">
        <is>
          <t>在地之志曰禹貢冀州之域</t>
        </is>
      </c>
      <c r="E230" s="28" t="inlineStr">
        <is>
          <t>高陽</t>
        </is>
      </c>
      <c r="F230" s="27" t="inlineStr">
        <is>
          <t>氏謂之幽陵</t>
        </is>
      </c>
      <c r="G230" s="26" t="n"/>
      <c r="H230" s="29" t="n"/>
      <c r="I230" s="30" t="n"/>
      <c r="J230" s="30" t="n"/>
      <c r="K230" s="30" t="n"/>
      <c r="L230" s="30" t="n"/>
      <c r="M230" s="31" t="n"/>
      <c r="N230" s="29" t="n"/>
      <c r="O230" s="31" t="n"/>
    </row>
    <row r="231" ht="15" customHeight="1" s="16">
      <c r="A231" s="26" t="n">
        <v>230</v>
      </c>
      <c r="B231" s="26" t="n">
        <v>51</v>
      </c>
      <c r="C231" s="26" t="n">
        <v>28</v>
      </c>
      <c r="D231" s="27" t="inlineStr">
        <is>
          <t>醋十兩</t>
        </is>
      </c>
      <c r="E231" s="28" t="inlineStr">
        <is>
          <t>香油一兩</t>
        </is>
      </c>
      <c r="F231" s="27" t="inlineStr">
        <is>
          <t>花椒一錢</t>
        </is>
      </c>
      <c r="G231" s="26" t="n"/>
      <c r="H231" s="29" t="n"/>
      <c r="I231" s="30" t="n"/>
      <c r="J231" s="30" t="n"/>
      <c r="K231" s="30" t="n"/>
      <c r="L231" s="30" t="n"/>
      <c r="M231" s="31" t="n"/>
      <c r="N231" s="29" t="n"/>
      <c r="O231" s="31" t="n"/>
    </row>
    <row r="232" ht="15" customHeight="1" s="16">
      <c r="A232" s="26" t="n">
        <v>231</v>
      </c>
      <c r="B232" s="26" t="n">
        <v>51</v>
      </c>
      <c r="C232" s="26" t="n">
        <v>29</v>
      </c>
      <c r="D232" s="27" t="inlineStr">
        <is>
          <t>香油一兩</t>
        </is>
      </c>
      <c r="E232" s="32" t="inlineStr">
        <is>
          <t>花椒一錢</t>
        </is>
      </c>
      <c r="F232" s="27" t="inlineStr">
        <is>
          <t>燈油三鏇</t>
        </is>
      </c>
      <c r="G232" s="26" t="inlineStr">
        <is>
          <t>●</t>
        </is>
      </c>
      <c r="H232" s="29" t="n"/>
      <c r="I232" s="30" t="n"/>
      <c r="J232" s="30" t="n"/>
      <c r="K232" s="30" t="n"/>
      <c r="L232" s="30" t="n"/>
      <c r="M232" s="31" t="n"/>
      <c r="N232" s="29" t="n"/>
      <c r="O232" s="31" t="n"/>
    </row>
    <row r="233" ht="15" customHeight="1" s="16">
      <c r="A233" s="26" t="n">
        <v>232</v>
      </c>
      <c r="B233" s="26" t="n">
        <v>51</v>
      </c>
      <c r="C233" s="26" t="n">
        <v>30</v>
      </c>
      <c r="D233" s="27" t="inlineStr">
        <is>
          <t>花椒一錢</t>
        </is>
      </c>
      <c r="E233" s="28" t="inlineStr">
        <is>
          <t>燈油三鏇</t>
        </is>
      </c>
      <c r="F233" s="27" t="inlineStr">
        <is>
          <t>蠟燭三枝</t>
        </is>
      </c>
      <c r="G233" s="26" t="n"/>
      <c r="H233" s="29" t="n"/>
      <c r="I233" s="30" t="n"/>
      <c r="J233" s="30" t="n"/>
      <c r="K233" s="30" t="n"/>
      <c r="L233" s="30" t="n"/>
      <c r="M233" s="31" t="n"/>
      <c r="N233" s="29" t="n"/>
      <c r="O233" s="31" t="n"/>
    </row>
    <row r="234" ht="15" customHeight="1" s="16">
      <c r="A234" s="26" t="n">
        <v>233</v>
      </c>
      <c r="B234" s="26" t="n">
        <v>51</v>
      </c>
      <c r="C234" s="26" t="n">
        <v>57</v>
      </c>
      <c r="D234" s="27" t="inlineStr">
        <is>
          <t>醃菜各三</t>
        </is>
      </c>
      <c r="E234" s="28" t="inlineStr">
        <is>
          <t>觔</t>
        </is>
      </c>
      <c r="F234" s="27" t="inlineStr">
        <is>
          <t>花椒各一錢</t>
        </is>
      </c>
      <c r="G234" s="26" t="n"/>
      <c r="H234" s="29" t="n"/>
      <c r="I234" s="30" t="n"/>
      <c r="J234" s="30" t="n"/>
      <c r="K234" s="30" t="n"/>
      <c r="L234" s="30" t="n"/>
      <c r="M234" s="31" t="n"/>
      <c r="N234" s="29" t="n"/>
      <c r="O234" s="31" t="n"/>
    </row>
    <row r="235" ht="15" customHeight="1" s="16">
      <c r="A235" s="26" t="n">
        <v>234</v>
      </c>
      <c r="B235" s="26" t="n">
        <v>51</v>
      </c>
      <c r="C235" s="26" t="n">
        <v>58</v>
      </c>
      <c r="D235" s="27" t="inlineStr">
        <is>
          <t>觔</t>
        </is>
      </c>
      <c r="E235" s="32" t="inlineStr">
        <is>
          <t>花椒各一錢</t>
        </is>
      </c>
      <c r="F235" s="27" t="inlineStr">
        <is>
          <t>茶葉各一兩</t>
        </is>
      </c>
      <c r="G235" s="26" t="inlineStr">
        <is>
          <t>●</t>
        </is>
      </c>
      <c r="H235" s="29" t="n"/>
      <c r="I235" s="30" t="n"/>
      <c r="J235" s="30" t="n"/>
      <c r="K235" s="30" t="n"/>
      <c r="L235" s="30" t="n"/>
      <c r="M235" s="31" t="n"/>
      <c r="N235" s="29" t="n"/>
      <c r="O235" s="31" t="n"/>
    </row>
    <row r="236" ht="15" customHeight="1" s="16">
      <c r="A236" s="26" t="n">
        <v>235</v>
      </c>
      <c r="B236" s="26" t="n">
        <v>51</v>
      </c>
      <c r="C236" s="26" t="n">
        <v>59</v>
      </c>
      <c r="D236" s="27" t="inlineStr">
        <is>
          <t>花椒各一錢</t>
        </is>
      </c>
      <c r="E236" s="28" t="inlineStr">
        <is>
          <t>茶葉各一兩</t>
        </is>
      </c>
      <c r="F236" s="27" t="inlineStr">
        <is>
          <t>鹽各一兩</t>
        </is>
      </c>
      <c r="G236" s="26" t="n"/>
      <c r="H236" s="29" t="n"/>
      <c r="I236" s="30" t="n"/>
      <c r="J236" s="30" t="n"/>
      <c r="K236" s="30" t="n"/>
      <c r="L236" s="30" t="n"/>
      <c r="M236" s="31" t="n"/>
      <c r="N236" s="29" t="n"/>
      <c r="O236" s="31" t="n"/>
    </row>
    <row r="237" ht="15" customHeight="1" s="16">
      <c r="A237" s="26" t="n">
        <v>236</v>
      </c>
      <c r="B237" s="26" t="n">
        <v>51</v>
      </c>
      <c r="C237" s="26" t="n">
        <v>87</v>
      </c>
      <c r="D237" s="27" t="inlineStr">
        <is>
          <t>黃酒二壺</t>
        </is>
      </c>
      <c r="E237" s="28" t="inlineStr">
        <is>
          <t>花椒五分</t>
        </is>
      </c>
      <c r="F237" s="27" t="inlineStr">
        <is>
          <t>茶葉五錢</t>
        </is>
      </c>
      <c r="G237" s="26" t="n"/>
      <c r="H237" s="29" t="n"/>
      <c r="I237" s="30" t="n"/>
      <c r="J237" s="30" t="n"/>
      <c r="K237" s="30" t="n"/>
      <c r="L237" s="30" t="n"/>
      <c r="M237" s="31" t="n"/>
      <c r="N237" s="29" t="n"/>
      <c r="O237" s="31" t="n"/>
    </row>
    <row r="238" ht="15" customHeight="1" s="16">
      <c r="A238" s="26" t="n">
        <v>237</v>
      </c>
      <c r="B238" s="26" t="n">
        <v>51</v>
      </c>
      <c r="C238" s="26" t="n">
        <v>88</v>
      </c>
      <c r="D238" s="27" t="inlineStr">
        <is>
          <t>花椒五分</t>
        </is>
      </c>
      <c r="E238" s="32" t="inlineStr">
        <is>
          <t>茶葉五錢</t>
        </is>
      </c>
      <c r="F238" s="27" t="inlineStr">
        <is>
          <t>淸</t>
        </is>
      </c>
      <c r="G238" s="26" t="inlineStr">
        <is>
          <t>●</t>
        </is>
      </c>
      <c r="H238" s="29" t="n"/>
      <c r="I238" s="30" t="n"/>
      <c r="J238" s="30" t="n"/>
      <c r="K238" s="30" t="n"/>
      <c r="L238" s="30" t="n"/>
      <c r="M238" s="31" t="n"/>
      <c r="N238" s="29" t="n"/>
      <c r="O238" s="31" t="n"/>
    </row>
    <row r="239" ht="15" customHeight="1" s="16">
      <c r="A239" s="26" t="n">
        <v>238</v>
      </c>
      <c r="B239" s="26" t="n">
        <v>51</v>
      </c>
      <c r="C239" s="26" t="n">
        <v>89</v>
      </c>
      <c r="D239" s="27" t="inlineStr">
        <is>
          <t>茶葉五錢</t>
        </is>
      </c>
      <c r="E239" s="28" t="inlineStr">
        <is>
          <t>淸</t>
        </is>
      </c>
      <c r="F239" s="27" t="inlineStr">
        <is>
          <t>醬二兩</t>
        </is>
      </c>
      <c r="G239" s="26" t="n"/>
      <c r="H239" s="29" t="n"/>
      <c r="I239" s="30" t="n"/>
      <c r="J239" s="30" t="n"/>
      <c r="K239" s="30" t="n"/>
      <c r="L239" s="30" t="n"/>
      <c r="M239" s="31" t="n"/>
      <c r="N239" s="29" t="n"/>
      <c r="O239" s="31" t="n"/>
    </row>
    <row r="240" ht="15" customHeight="1" s="16">
      <c r="A240" s="26" t="n">
        <v>239</v>
      </c>
      <c r="B240" s="26" t="n">
        <v>51</v>
      </c>
      <c r="C240" s="26" t="n">
        <v>91</v>
      </c>
      <c r="D240" s="27" t="inlineStr">
        <is>
          <t>醬二兩</t>
        </is>
      </c>
      <c r="E240" s="28" t="inlineStr">
        <is>
          <t>甘醬四兩</t>
        </is>
      </c>
      <c r="F240" s="27" t="inlineStr">
        <is>
          <t>香油四錢</t>
        </is>
      </c>
      <c r="G240" s="26" t="n"/>
      <c r="H240" s="29" t="n"/>
      <c r="I240" s="30" t="n"/>
      <c r="J240" s="30" t="n"/>
      <c r="K240" s="30" t="n"/>
      <c r="L240" s="30" t="n"/>
      <c r="M240" s="31" t="n"/>
      <c r="N240" s="29" t="n"/>
      <c r="O240" s="31" t="n"/>
    </row>
    <row r="241" ht="15" customHeight="1" s="16">
      <c r="A241" s="26" t="n">
        <v>240</v>
      </c>
      <c r="B241" s="26" t="n">
        <v>51</v>
      </c>
      <c r="C241" s="26" t="n">
        <v>92</v>
      </c>
      <c r="D241" s="27" t="inlineStr">
        <is>
          <t>甘醬四兩</t>
        </is>
      </c>
      <c r="E241" s="32" t="inlineStr">
        <is>
          <t>香油四錢</t>
        </is>
      </c>
      <c r="F241" s="27" t="inlineStr">
        <is>
          <t>燈油一鍾</t>
        </is>
      </c>
      <c r="G241" s="26" t="inlineStr">
        <is>
          <t>●</t>
        </is>
      </c>
      <c r="H241" s="29" t="n"/>
      <c r="I241" s="30" t="n"/>
      <c r="J241" s="30" t="n"/>
      <c r="K241" s="30" t="n"/>
      <c r="L241" s="30" t="n"/>
      <c r="M241" s="31" t="n"/>
      <c r="N241" s="29" t="n"/>
      <c r="O241" s="31" t="n"/>
    </row>
    <row r="242" ht="15" customHeight="1" s="16">
      <c r="A242" s="26" t="n">
        <v>241</v>
      </c>
      <c r="B242" s="26" t="n">
        <v>51</v>
      </c>
      <c r="C242" s="26" t="n">
        <v>93</v>
      </c>
      <c r="D242" s="27" t="inlineStr">
        <is>
          <t>香油四錢</t>
        </is>
      </c>
      <c r="E242" s="28" t="inlineStr">
        <is>
          <t>燈油一鍾</t>
        </is>
      </c>
      <c r="F242" s="27" t="inlineStr">
        <is>
          <t>鹽一兩</t>
        </is>
      </c>
      <c r="G242" s="26" t="n"/>
      <c r="H242" s="29" t="n"/>
      <c r="I242" s="30" t="n"/>
      <c r="J242" s="30" t="n"/>
      <c r="K242" s="30" t="n"/>
      <c r="L242" s="30" t="n"/>
      <c r="M242" s="31" t="n"/>
      <c r="N242" s="29" t="n"/>
      <c r="O242" s="31" t="n"/>
    </row>
    <row r="243" ht="15" customHeight="1" s="16">
      <c r="A243" s="26" t="n">
        <v>242</v>
      </c>
      <c r="B243" s="26" t="n">
        <v>52</v>
      </c>
      <c r="C243" s="26" t="n">
        <v>8</v>
      </c>
      <c r="D243" s="27" t="inlineStr">
        <is>
          <t>雇一兩太平車</t>
        </is>
      </c>
      <c r="E243" s="28" t="inlineStr">
        <is>
          <t>駕一驢而行</t>
        </is>
      </c>
      <c r="F243" s="27" t="inlineStr">
        <is>
          <t>廚房爲給一日之資</t>
        </is>
      </c>
      <c r="G243" s="26" t="n"/>
      <c r="H243" s="29" t="n"/>
      <c r="I243" s="30" t="n"/>
      <c r="J243" s="30" t="n"/>
      <c r="K243" s="30" t="n"/>
      <c r="L243" s="30" t="n"/>
      <c r="M243" s="31" t="n"/>
      <c r="N243" s="29" t="n"/>
      <c r="O243" s="31" t="n"/>
    </row>
    <row r="244" ht="15" customHeight="1" s="16">
      <c r="A244" s="26" t="n">
        <v>243</v>
      </c>
      <c r="B244" s="26" t="n">
        <v>52</v>
      </c>
      <c r="C244" s="26" t="n">
        <v>9</v>
      </c>
      <c r="D244" s="27" t="inlineStr">
        <is>
          <t>駕一驢而行</t>
        </is>
      </c>
      <c r="E244" s="32" t="inlineStr">
        <is>
          <t>廚房爲給一日之資</t>
        </is>
      </c>
      <c r="F244" s="27" t="inlineStr">
        <is>
          <t>使時大換錢</t>
        </is>
      </c>
      <c r="G244" s="26" t="inlineStr">
        <is>
          <t>●</t>
        </is>
      </c>
      <c r="H244" s="29" t="n"/>
      <c r="I244" s="30" t="n"/>
      <c r="J244" s="30" t="n"/>
      <c r="K244" s="30" t="n"/>
      <c r="L244" s="30" t="n"/>
      <c r="M244" s="31" t="n"/>
      <c r="N244" s="29" t="n"/>
      <c r="O244" s="31" t="n"/>
    </row>
    <row r="245" ht="15" customHeight="1" s="16">
      <c r="A245" s="26" t="n">
        <v>244</v>
      </c>
      <c r="B245" s="26" t="n">
        <v>52</v>
      </c>
      <c r="C245" s="26" t="n">
        <v>10</v>
      </c>
      <c r="D245" s="27" t="inlineStr">
        <is>
          <t>廚房爲給一日之資</t>
        </is>
      </c>
      <c r="E245" s="32" t="inlineStr">
        <is>
          <t>使時大換錢</t>
        </is>
      </c>
      <c r="F245" s="27" t="inlineStr">
        <is>
          <t>置車前</t>
        </is>
      </c>
      <c r="G245" s="26" t="inlineStr">
        <is>
          <t>●</t>
        </is>
      </c>
      <c r="H245" s="29" t="n"/>
      <c r="I245" s="30" t="n"/>
      <c r="J245" s="30" t="n"/>
      <c r="K245" s="30" t="n"/>
      <c r="L245" s="30" t="n"/>
      <c r="M245" s="31" t="n"/>
      <c r="N245" s="29" t="n"/>
      <c r="O245" s="31" t="n"/>
    </row>
    <row r="246" ht="15" customHeight="1" s="16">
      <c r="A246" s="26" t="n">
        <v>245</v>
      </c>
      <c r="B246" s="26" t="n">
        <v>52</v>
      </c>
      <c r="C246" s="26" t="n">
        <v>11</v>
      </c>
      <c r="D246" s="27" t="inlineStr">
        <is>
          <t>使時大換錢</t>
        </is>
      </c>
      <c r="E246" s="28" t="inlineStr">
        <is>
          <t>置車前</t>
        </is>
      </c>
      <c r="F246" s="27" t="inlineStr">
        <is>
          <t>銀二兩</t>
        </is>
      </c>
      <c r="G246" s="26" t="n"/>
      <c r="H246" s="29" t="n"/>
      <c r="I246" s="30" t="n"/>
      <c r="J246" s="30" t="n"/>
      <c r="K246" s="30" t="n"/>
      <c r="L246" s="30" t="n"/>
      <c r="M246" s="31" t="n"/>
      <c r="N246" s="29" t="n"/>
      <c r="O246" s="31" t="n"/>
    </row>
    <row r="247" ht="15" customHeight="1" s="16">
      <c r="A247" s="26" t="n">
        <v>246</v>
      </c>
      <c r="B247" s="26" t="n">
        <v>52</v>
      </c>
      <c r="C247" s="26" t="n">
        <v>12</v>
      </c>
      <c r="D247" s="27" t="inlineStr">
        <is>
          <t>置車前</t>
        </is>
      </c>
      <c r="E247" s="32" t="inlineStr">
        <is>
          <t>銀二兩</t>
        </is>
      </c>
      <c r="F247" s="27" t="inlineStr">
        <is>
          <t>爲錢二千二百葉</t>
        </is>
      </c>
      <c r="G247" s="26" t="inlineStr">
        <is>
          <t>●</t>
        </is>
      </c>
      <c r="H247" s="29" t="n"/>
      <c r="I247" s="30" t="n"/>
      <c r="J247" s="30" t="n"/>
      <c r="K247" s="30" t="n"/>
      <c r="L247" s="30" t="n"/>
      <c r="M247" s="31" t="n"/>
      <c r="N247" s="29" t="n"/>
      <c r="O247" s="31" t="n"/>
    </row>
    <row r="248" ht="15" customHeight="1" s="16">
      <c r="A248" s="26" t="n">
        <v>247</v>
      </c>
      <c r="B248" s="26" t="n">
        <v>52</v>
      </c>
      <c r="C248" s="26" t="n">
        <v>13</v>
      </c>
      <c r="D248" s="27" t="inlineStr">
        <is>
          <t>銀二兩</t>
        </is>
      </c>
      <c r="E248" s="32" t="inlineStr">
        <is>
          <t>爲錢二千二百葉</t>
        </is>
      </c>
      <c r="F248" s="27" t="inlineStr">
        <is>
          <t>時大爲車右</t>
        </is>
      </c>
      <c r="G248" s="26" t="inlineStr">
        <is>
          <t>●</t>
        </is>
      </c>
      <c r="H248" s="29" t="n"/>
      <c r="I248" s="30" t="n"/>
      <c r="J248" s="30" t="n"/>
      <c r="K248" s="30" t="n"/>
      <c r="L248" s="30" t="n"/>
      <c r="M248" s="31" t="n"/>
      <c r="N248" s="29" t="n"/>
      <c r="O248" s="31" t="n"/>
    </row>
    <row r="249" ht="15" customHeight="1" s="16">
      <c r="A249" s="26" t="n">
        <v>248</v>
      </c>
      <c r="B249" s="26" t="n">
        <v>52</v>
      </c>
      <c r="C249" s="26" t="n">
        <v>14</v>
      </c>
      <c r="D249" s="27" t="inlineStr">
        <is>
          <t>爲錢二千二百葉</t>
        </is>
      </c>
      <c r="E249" s="28" t="inlineStr">
        <is>
          <t>時大爲車右</t>
        </is>
      </c>
      <c r="F249" s="27" t="inlineStr">
        <is>
          <t>張福坐車後</t>
        </is>
      </c>
      <c r="G249" s="26" t="n"/>
      <c r="H249" s="29" t="n"/>
      <c r="I249" s="30" t="n"/>
      <c r="J249" s="30" t="n"/>
      <c r="K249" s="30" t="n"/>
      <c r="L249" s="30" t="n"/>
      <c r="M249" s="31" t="n"/>
      <c r="N249" s="29" t="n"/>
      <c r="O249" s="31" t="n"/>
    </row>
    <row r="250" ht="15" customHeight="1" s="16">
      <c r="A250" s="26" t="n">
        <v>249</v>
      </c>
      <c r="B250" s="26" t="n">
        <v>53</v>
      </c>
      <c r="C250" s="26" t="n">
        <v>10</v>
      </c>
      <c r="D250" s="27" t="inlineStr">
        <is>
          <t>蓋自正陽橫亘至宣武門</t>
        </is>
      </c>
      <c r="E250" s="28" t="inlineStr">
        <is>
          <t>有五巷而皆琉璃廠</t>
        </is>
      </c>
      <c r="F250" s="27" t="inlineStr">
        <is>
          <t>海內外貨寶之所居積也</t>
        </is>
      </c>
      <c r="G250" s="26" t="n"/>
      <c r="H250" s="29" t="n"/>
      <c r="I250" s="30" t="n"/>
      <c r="J250" s="30" t="n"/>
      <c r="K250" s="30" t="n"/>
      <c r="L250" s="30" t="n"/>
      <c r="M250" s="31" t="n"/>
      <c r="N250" s="29" t="n"/>
      <c r="O250" s="31" t="n"/>
    </row>
    <row r="251" ht="15" customHeight="1" s="16">
      <c r="A251" s="26" t="n">
        <v>250</v>
      </c>
      <c r="B251" s="26" t="n">
        <v>53</v>
      </c>
      <c r="C251" s="26" t="n">
        <v>11</v>
      </c>
      <c r="D251" s="27" t="inlineStr">
        <is>
          <t>有五巷而皆琉璃廠</t>
        </is>
      </c>
      <c r="E251" s="32" t="inlineStr">
        <is>
          <t>海內外貨寶之所居積也</t>
        </is>
      </c>
      <c r="F251" s="27" t="inlineStr">
        <is>
          <t>余登一樓</t>
        </is>
      </c>
      <c r="G251" s="26" t="inlineStr">
        <is>
          <t>●</t>
        </is>
      </c>
      <c r="H251" s="29" t="n"/>
      <c r="I251" s="30" t="n"/>
      <c r="J251" s="30" t="n"/>
      <c r="K251" s="30" t="n"/>
      <c r="L251" s="30" t="n"/>
      <c r="M251" s="31" t="n"/>
      <c r="N251" s="29" t="n"/>
      <c r="O251" s="31" t="n"/>
    </row>
    <row r="252" ht="15" customHeight="1" s="16">
      <c r="A252" s="26" t="n">
        <v>251</v>
      </c>
      <c r="B252" s="26" t="n">
        <v>53</v>
      </c>
      <c r="C252" s="26" t="n">
        <v>12</v>
      </c>
      <c r="D252" s="27" t="inlineStr">
        <is>
          <t>海內外貨寶之所居積也</t>
        </is>
      </c>
      <c r="E252" s="28" t="inlineStr">
        <is>
          <t>余登一樓</t>
        </is>
      </c>
      <c r="F252" s="27" t="inlineStr">
        <is>
          <t>憑欄而嘆曰</t>
        </is>
      </c>
      <c r="G252" s="26" t="n"/>
      <c r="H252" s="29" t="n"/>
      <c r="I252" s="30" t="n"/>
      <c r="J252" s="30" t="n"/>
      <c r="K252" s="30" t="n"/>
      <c r="L252" s="30" t="n"/>
      <c r="M252" s="31" t="n"/>
      <c r="N252" s="29" t="n"/>
      <c r="O252" s="31" t="n"/>
    </row>
    <row r="253" ht="15" customHeight="1" s="16">
      <c r="A253" s="26" t="n">
        <v>252</v>
      </c>
      <c r="B253" s="26" t="n">
        <v>53</v>
      </c>
      <c r="C253" s="26" t="n">
        <v>60</v>
      </c>
      <c r="D253" s="27" t="inlineStr">
        <is>
          <t>厥有西子</t>
        </is>
      </c>
      <c r="E253" s="28" t="inlineStr">
        <is>
          <t>張祿間步旅邸</t>
        </is>
      </c>
      <c r="F253" s="27" t="inlineStr">
        <is>
          <t>厥有須賈</t>
        </is>
      </c>
      <c r="G253" s="26" t="n"/>
      <c r="H253" s="29" t="n"/>
      <c r="I253" s="30" t="n"/>
      <c r="J253" s="30" t="n"/>
      <c r="K253" s="30" t="n"/>
      <c r="L253" s="30" t="n"/>
      <c r="M253" s="31" t="n"/>
      <c r="N253" s="29" t="n"/>
      <c r="O253" s="31" t="n"/>
    </row>
    <row r="254" ht="15" customHeight="1" s="16">
      <c r="A254" s="26" t="n">
        <v>253</v>
      </c>
      <c r="B254" s="26" t="n">
        <v>53</v>
      </c>
      <c r="C254" s="26" t="n">
        <v>61</v>
      </c>
      <c r="D254" s="27" t="inlineStr">
        <is>
          <t>張祿間步旅邸</t>
        </is>
      </c>
      <c r="E254" s="32" t="inlineStr">
        <is>
          <t>厥有須賈</t>
        </is>
      </c>
      <c r="F254" s="27" t="inlineStr">
        <is>
          <t>子房從容圯上</t>
        </is>
      </c>
      <c r="G254" s="26" t="inlineStr">
        <is>
          <t>●</t>
        </is>
      </c>
      <c r="H254" s="29" t="n"/>
      <c r="I254" s="30" t="n"/>
      <c r="J254" s="30" t="n"/>
      <c r="K254" s="30" t="n"/>
      <c r="L254" s="30" t="n"/>
      <c r="M254" s="31" t="n"/>
      <c r="N254" s="29" t="n"/>
      <c r="O254" s="31" t="n"/>
    </row>
    <row r="255" ht="15" customHeight="1" s="16">
      <c r="A255" s="26" t="n">
        <v>254</v>
      </c>
      <c r="B255" s="26" t="n">
        <v>53</v>
      </c>
      <c r="C255" s="26" t="n">
        <v>62</v>
      </c>
      <c r="D255" s="27" t="inlineStr">
        <is>
          <t>厥有須賈</t>
        </is>
      </c>
      <c r="E255" s="28" t="inlineStr">
        <is>
          <t>子房從容圯上</t>
        </is>
      </c>
      <c r="F255" s="27" t="inlineStr">
        <is>
          <t>厥有黃石</t>
        </is>
      </c>
      <c r="G255" s="26" t="n"/>
      <c r="H255" s="29" t="n"/>
      <c r="I255" s="30" t="n"/>
      <c r="J255" s="30" t="n"/>
      <c r="K255" s="30" t="n"/>
      <c r="L255" s="30" t="n"/>
      <c r="M255" s="31" t="n"/>
      <c r="N255" s="29" t="n"/>
      <c r="O255" s="31" t="n"/>
    </row>
  </sheetData>
  <dataValidations count="4">
    <dataValidation sqref="H2:H255" showDropDown="0" showInputMessage="0" showErrorMessage="0" allowBlank="1" type="list" errorStyle="stop" operator="between">
      <formula1>"Y,N"</formula1>
      <formula2>0</formula2>
    </dataValidation>
    <dataValidation sqref="I2:I255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255" showDropDown="0" showInputMessage="0" showErrorMessage="0" allowBlank="1" type="list" errorStyle="stop" operator="between">
      <formula1>"높음,보통,낮음"</formula1>
      <formula2>0</formula2>
    </dataValidation>
    <dataValidation sqref="J2:J255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2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2</v>
      </c>
      <c r="C2" s="26" t="n">
        <v>3</v>
      </c>
      <c r="D2" s="27" t="inlineStr">
        <is>
          <t>與諸裨連牀夜語</t>
        </is>
      </c>
      <c r="E2" s="28" t="inlineStr">
        <is>
          <t>燕京舊時風俗淳厚</t>
        </is>
      </c>
      <c r="F2" s="27" t="inlineStr">
        <is>
          <t>譯輩雖萬金能相假貸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2</v>
      </c>
      <c r="C3" s="26" t="n">
        <v>4</v>
      </c>
      <c r="D3" s="27" t="inlineStr">
        <is>
          <t>燕京舊時風俗淳厚</t>
        </is>
      </c>
      <c r="E3" s="32" t="inlineStr">
        <is>
          <t>譯輩雖萬金能相假貸</t>
        </is>
      </c>
      <c r="F3" s="27" t="inlineStr">
        <is>
          <t>今則彼以欺詐爲能事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2</v>
      </c>
      <c r="C4" s="26" t="n">
        <v>5</v>
      </c>
      <c r="D4" s="27" t="inlineStr">
        <is>
          <t>譯輩雖萬金能相假貸</t>
        </is>
      </c>
      <c r="E4" s="28" t="inlineStr">
        <is>
          <t>今則彼以欺詐爲能事</t>
        </is>
      </c>
      <c r="F4" s="27" t="inlineStr">
        <is>
          <t>而其</t>
        </is>
      </c>
      <c r="G4" s="26" t="n"/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2</v>
      </c>
      <c r="C5" s="26" t="n">
        <v>14</v>
      </c>
      <c r="D5" s="27" t="inlineStr">
        <is>
          <t>對曰</t>
        </is>
      </c>
      <c r="E5" s="28" t="inlineStr">
        <is>
          <t>渡江</t>
        </is>
      </c>
      <c r="F5" s="27" t="inlineStr">
        <is>
          <t>時潛挾他人銀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15" customHeight="1" s="16">
      <c r="A6" s="26" t="n">
        <v>5</v>
      </c>
      <c r="B6" s="26" t="n">
        <v>2</v>
      </c>
      <c r="C6" s="26" t="n">
        <v>15</v>
      </c>
      <c r="D6" s="27" t="inlineStr">
        <is>
          <t>渡江</t>
        </is>
      </c>
      <c r="E6" s="32" t="inlineStr">
        <is>
          <t>時潛挾他人銀</t>
        </is>
      </c>
      <c r="F6" s="27" t="inlineStr">
        <is>
          <t>事發</t>
        </is>
      </c>
      <c r="G6" s="26" t="inlineStr">
        <is>
          <t>●</t>
        </is>
      </c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2</v>
      </c>
      <c r="C7" s="26" t="n">
        <v>16</v>
      </c>
      <c r="D7" s="27" t="inlineStr">
        <is>
          <t>時潛挾他人銀</t>
        </is>
      </c>
      <c r="E7" s="28" t="inlineStr">
        <is>
          <t>事發</t>
        </is>
      </c>
      <c r="F7" s="27" t="inlineStr">
        <is>
          <t>倂已包沒于官</t>
        </is>
      </c>
      <c r="G7" s="26" t="n"/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2</v>
      </c>
      <c r="C8" s="26" t="n">
        <v>24</v>
      </c>
      <c r="D8" s="27" t="inlineStr">
        <is>
          <t>奪</t>
        </is>
      </c>
      <c r="E8" s="28" t="inlineStr">
        <is>
          <t>刀問曰</t>
        </is>
      </c>
      <c r="F8" s="27" t="inlineStr">
        <is>
          <t>所沒銀幾何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2</v>
      </c>
      <c r="C9" s="26" t="n">
        <v>25</v>
      </c>
      <c r="D9" s="27" t="inlineStr">
        <is>
          <t>刀問曰</t>
        </is>
      </c>
      <c r="E9" s="32" t="inlineStr">
        <is>
          <t>所沒銀幾何</t>
        </is>
      </c>
      <c r="F9" s="27" t="inlineStr">
        <is>
          <t>曰</t>
        </is>
      </c>
      <c r="G9" s="26" t="inlineStr">
        <is>
          <t>●</t>
        </is>
      </c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2</v>
      </c>
      <c r="C10" s="26" t="n">
        <v>26</v>
      </c>
      <c r="D10" s="27" t="inlineStr">
        <is>
          <t>所沒銀幾何</t>
        </is>
      </c>
      <c r="E10" s="28" t="inlineStr">
        <is>
          <t>曰</t>
        </is>
      </c>
      <c r="F10" s="27" t="inlineStr">
        <is>
          <t>三千兩</t>
        </is>
      </c>
      <c r="G10" s="26" t="n"/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2</v>
      </c>
      <c r="C11" s="26" t="n">
        <v>29</v>
      </c>
      <c r="D11" s="27" t="inlineStr">
        <is>
          <t>主顧慰曰</t>
        </is>
      </c>
      <c r="E11" s="28" t="inlineStr">
        <is>
          <t>大丈夫獨患無身</t>
        </is>
      </c>
      <c r="F11" s="27" t="inlineStr">
        <is>
          <t>何患無銀</t>
        </is>
      </c>
      <c r="G11" s="26" t="n"/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15" customHeight="1" s="16">
      <c r="A12" s="26" t="n">
        <v>11</v>
      </c>
      <c r="B12" s="26" t="n">
        <v>2</v>
      </c>
      <c r="C12" s="26" t="n">
        <v>30</v>
      </c>
      <c r="D12" s="27" t="inlineStr">
        <is>
          <t>大丈夫獨患無身</t>
        </is>
      </c>
      <c r="E12" s="32" t="inlineStr">
        <is>
          <t>何患無銀</t>
        </is>
      </c>
      <c r="F12" s="27" t="inlineStr">
        <is>
          <t>今死不還</t>
        </is>
      </c>
      <c r="G12" s="26" t="inlineStr">
        <is>
          <t>●</t>
        </is>
      </c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2</v>
      </c>
      <c r="C13" s="26" t="n">
        <v>31</v>
      </c>
      <c r="D13" s="27" t="inlineStr">
        <is>
          <t>何患無銀</t>
        </is>
      </c>
      <c r="E13" s="28" t="inlineStr">
        <is>
          <t>今死不還</t>
        </is>
      </c>
      <c r="F13" s="27" t="inlineStr">
        <is>
          <t>將如妻子何</t>
        </is>
      </c>
      <c r="G13" s="26" t="n"/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2</v>
      </c>
      <c r="C14" s="26" t="n">
        <v>33</v>
      </c>
      <c r="D14" s="27" t="inlineStr">
        <is>
          <t>將如妻子何</t>
        </is>
      </c>
      <c r="E14" s="28" t="inlineStr">
        <is>
          <t>吾貸</t>
        </is>
      </c>
      <c r="F14" s="27" t="inlineStr">
        <is>
          <t>君萬金</t>
        </is>
      </c>
      <c r="G14" s="26" t="n"/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2</v>
      </c>
      <c r="C15" s="26" t="n">
        <v>34</v>
      </c>
      <c r="D15" s="27" t="inlineStr">
        <is>
          <t>吾貸</t>
        </is>
      </c>
      <c r="E15" s="32" t="inlineStr">
        <is>
          <t>君萬金</t>
        </is>
      </c>
      <c r="F15" s="27" t="inlineStr">
        <is>
          <t>五年貨殖</t>
        </is>
      </c>
      <c r="G15" s="26" t="inlineStr">
        <is>
          <t>●</t>
        </is>
      </c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15" customHeight="1" s="16">
      <c r="A16" s="26" t="n">
        <v>15</v>
      </c>
      <c r="B16" s="26" t="n">
        <v>2</v>
      </c>
      <c r="C16" s="26" t="n">
        <v>35</v>
      </c>
      <c r="D16" s="27" t="inlineStr">
        <is>
          <t>君萬金</t>
        </is>
      </c>
      <c r="E16" s="32" t="inlineStr">
        <is>
          <t>五年貨殖</t>
        </is>
      </c>
      <c r="F16" s="27" t="inlineStr">
        <is>
          <t>可復得萬金</t>
        </is>
      </c>
      <c r="G16" s="26" t="inlineStr">
        <is>
          <t>●</t>
        </is>
      </c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15" customHeight="1" s="16">
      <c r="A17" s="26" t="n">
        <v>16</v>
      </c>
      <c r="B17" s="26" t="n">
        <v>2</v>
      </c>
      <c r="C17" s="26" t="n">
        <v>36</v>
      </c>
      <c r="D17" s="27" t="inlineStr">
        <is>
          <t>五年貨殖</t>
        </is>
      </c>
      <c r="E17" s="32" t="inlineStr">
        <is>
          <t>可復得萬金</t>
        </is>
      </c>
      <c r="F17" s="27" t="inlineStr">
        <is>
          <t>以本銀償我</t>
        </is>
      </c>
      <c r="G17" s="26" t="inlineStr">
        <is>
          <t>●</t>
        </is>
      </c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15" customHeight="1" s="16">
      <c r="A18" s="26" t="n">
        <v>17</v>
      </c>
      <c r="B18" s="26" t="n">
        <v>2</v>
      </c>
      <c r="C18" s="26" t="n">
        <v>37</v>
      </c>
      <c r="D18" s="27" t="inlineStr">
        <is>
          <t>可復得萬金</t>
        </is>
      </c>
      <c r="E18" s="32" t="inlineStr">
        <is>
          <t>以本銀償我</t>
        </is>
      </c>
      <c r="F18" s="27" t="inlineStr">
        <is>
          <t>譯旣得萬金</t>
        </is>
      </c>
      <c r="G18" s="26" t="inlineStr">
        <is>
          <t>●</t>
        </is>
      </c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2</v>
      </c>
      <c r="C19" s="26" t="n">
        <v>38</v>
      </c>
      <c r="D19" s="27" t="inlineStr">
        <is>
          <t>以本銀償我</t>
        </is>
      </c>
      <c r="E19" s="32" t="inlineStr">
        <is>
          <t>譯旣得萬金</t>
        </is>
      </c>
      <c r="F19" s="27" t="inlineStr">
        <is>
          <t>遂大貿而還</t>
        </is>
      </c>
      <c r="G19" s="26" t="inlineStr">
        <is>
          <t>●</t>
        </is>
      </c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15" customHeight="1" s="16">
      <c r="A20" s="26" t="n">
        <v>19</v>
      </c>
      <c r="B20" s="26" t="n">
        <v>2</v>
      </c>
      <c r="C20" s="26" t="n">
        <v>39</v>
      </c>
      <c r="D20" s="27" t="inlineStr">
        <is>
          <t>譯旣得萬金</t>
        </is>
      </c>
      <c r="E20" s="28" t="inlineStr">
        <is>
          <t>遂大貿而還</t>
        </is>
      </c>
      <c r="F20" s="27" t="inlineStr">
        <is>
          <t>當時未有識之者</t>
        </is>
      </c>
      <c r="G20" s="26" t="n"/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15" customHeight="1" s="16">
      <c r="A21" s="26" t="n">
        <v>20</v>
      </c>
      <c r="B21" s="26" t="n">
        <v>2</v>
      </c>
      <c r="C21" s="26" t="n">
        <v>41</v>
      </c>
      <c r="D21" s="27" t="inlineStr">
        <is>
          <t>當時未有識之者</t>
        </is>
      </c>
      <c r="E21" s="28" t="inlineStr">
        <is>
          <t>莫不神其才</t>
        </is>
      </c>
      <c r="F21" s="27" t="inlineStr">
        <is>
          <t>五年中遂致鉅富</t>
        </is>
      </c>
      <c r="G21" s="26" t="n"/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15" customHeight="1" s="16">
      <c r="A22" s="26" t="n">
        <v>21</v>
      </c>
      <c r="B22" s="26" t="n">
        <v>2</v>
      </c>
      <c r="C22" s="26" t="n">
        <v>42</v>
      </c>
      <c r="D22" s="27" t="inlineStr">
        <is>
          <t>莫不神其才</t>
        </is>
      </c>
      <c r="E22" s="32" t="inlineStr">
        <is>
          <t>五年中遂致鉅富</t>
        </is>
      </c>
      <c r="F22" s="27" t="inlineStr">
        <is>
          <t>乃自削籍譯院</t>
        </is>
      </c>
      <c r="G22" s="26" t="inlineStr">
        <is>
          <t>●</t>
        </is>
      </c>
      <c r="H22" s="29" t="n"/>
      <c r="I22" s="30" t="n"/>
      <c r="J22" s="30" t="n"/>
      <c r="K22" s="30" t="n"/>
      <c r="L22" s="30" t="n"/>
      <c r="M22" s="31" t="n"/>
      <c r="N22" s="29" t="n"/>
      <c r="O22" s="31" t="n"/>
    </row>
    <row r="23" ht="15" customHeight="1" s="16">
      <c r="A23" s="26" t="n">
        <v>22</v>
      </c>
      <c r="B23" s="26" t="n">
        <v>2</v>
      </c>
      <c r="C23" s="26" t="n">
        <v>43</v>
      </c>
      <c r="D23" s="27" t="inlineStr">
        <is>
          <t>五年中遂致鉅富</t>
        </is>
      </c>
      <c r="E23" s="28" t="inlineStr">
        <is>
          <t>乃自削籍譯院</t>
        </is>
      </c>
      <c r="F23" s="27" t="inlineStr">
        <is>
          <t>不復入燕</t>
        </is>
      </c>
      <c r="G23" s="26" t="n"/>
      <c r="H23" s="29" t="n"/>
      <c r="I23" s="30" t="n"/>
      <c r="J23" s="30" t="n"/>
      <c r="K23" s="30" t="n"/>
      <c r="L23" s="30" t="n"/>
      <c r="M23" s="31" t="n"/>
      <c r="N23" s="29" t="n"/>
      <c r="O23" s="31" t="n"/>
    </row>
    <row r="24" ht="15" customHeight="1" s="16">
      <c r="A24" s="26" t="n">
        <v>23</v>
      </c>
      <c r="B24" s="26" t="n">
        <v>3</v>
      </c>
      <c r="C24" s="26" t="n">
        <v>2</v>
      </c>
      <c r="D24" s="27" t="inlineStr">
        <is>
          <t>有言李知事樞</t>
        </is>
      </c>
      <c r="E24" s="28" t="inlineStr">
        <is>
          <t>近世名譯也</t>
        </is>
      </c>
      <c r="F24" s="27" t="inlineStr">
        <is>
          <t>平居口未嘗言錢</t>
        </is>
      </c>
      <c r="G24" s="26" t="n"/>
      <c r="H24" s="29" t="n"/>
      <c r="I24" s="30" t="n"/>
      <c r="J24" s="30" t="n"/>
      <c r="K24" s="30" t="n"/>
      <c r="L24" s="30" t="n"/>
      <c r="M24" s="31" t="n"/>
      <c r="N24" s="29" t="n"/>
      <c r="O24" s="31" t="n"/>
    </row>
    <row r="25" ht="15" customHeight="1" s="16">
      <c r="A25" s="26" t="n">
        <v>24</v>
      </c>
      <c r="B25" s="26" t="n">
        <v>3</v>
      </c>
      <c r="C25" s="26" t="n">
        <v>3</v>
      </c>
      <c r="D25" s="27" t="inlineStr">
        <is>
          <t>近世名譯也</t>
        </is>
      </c>
      <c r="E25" s="32" t="inlineStr">
        <is>
          <t>平居口未嘗言錢</t>
        </is>
      </c>
      <c r="F25" s="27" t="inlineStr">
        <is>
          <t>出入燕京四十餘年</t>
        </is>
      </c>
      <c r="G25" s="26" t="inlineStr">
        <is>
          <t>●</t>
        </is>
      </c>
      <c r="H25" s="29" t="n"/>
      <c r="I25" s="30" t="n"/>
      <c r="J25" s="30" t="n"/>
      <c r="K25" s="30" t="n"/>
      <c r="L25" s="30" t="n"/>
      <c r="M25" s="31" t="n"/>
      <c r="N25" s="29" t="n"/>
      <c r="O25" s="31" t="n"/>
    </row>
    <row r="26" ht="15" customHeight="1" s="16">
      <c r="A26" s="26" t="n">
        <v>25</v>
      </c>
      <c r="B26" s="26" t="n">
        <v>3</v>
      </c>
      <c r="C26" s="26" t="n">
        <v>4</v>
      </c>
      <c r="D26" s="27" t="inlineStr">
        <is>
          <t>平居口未嘗言錢</t>
        </is>
      </c>
      <c r="E26" s="28" t="inlineStr">
        <is>
          <t>出入燕京四十餘年</t>
        </is>
      </c>
      <c r="F26" s="27" t="inlineStr">
        <is>
          <t>手未嘗執銀</t>
        </is>
      </c>
      <c r="G26" s="26" t="n"/>
      <c r="H26" s="29" t="n"/>
      <c r="I26" s="30" t="n"/>
      <c r="J26" s="30" t="n"/>
      <c r="K26" s="30" t="n"/>
      <c r="L26" s="30" t="n"/>
      <c r="M26" s="31" t="n"/>
      <c r="N26" s="29" t="n"/>
      <c r="O26" s="31" t="n"/>
    </row>
    <row r="27" ht="15" customHeight="1" s="16">
      <c r="A27" s="26" t="n">
        <v>26</v>
      </c>
      <c r="B27" s="26" t="n">
        <v>3</v>
      </c>
      <c r="C27" s="26" t="n">
        <v>5</v>
      </c>
      <c r="D27" s="27" t="inlineStr">
        <is>
          <t>出入燕京四十餘年</t>
        </is>
      </c>
      <c r="E27" s="32" t="inlineStr">
        <is>
          <t>手未嘗執銀</t>
        </is>
      </c>
      <c r="F27" s="27" t="inlineStr">
        <is>
          <t>有愷悌君子之風</t>
        </is>
      </c>
      <c r="G27" s="26" t="inlineStr">
        <is>
          <t>●</t>
        </is>
      </c>
      <c r="H27" s="29" t="n"/>
      <c r="I27" s="30" t="n"/>
      <c r="J27" s="30" t="n"/>
      <c r="K27" s="30" t="n"/>
      <c r="L27" s="30" t="n"/>
      <c r="M27" s="31" t="n"/>
      <c r="N27" s="29" t="n"/>
      <c r="O27" s="31" t="n"/>
    </row>
    <row r="28" ht="15" customHeight="1" s="16">
      <c r="A28" s="26" t="n">
        <v>27</v>
      </c>
      <c r="B28" s="26" t="n">
        <v>3</v>
      </c>
      <c r="C28" s="26" t="n">
        <v>6</v>
      </c>
      <c r="D28" s="27" t="inlineStr">
        <is>
          <t>手未嘗執銀</t>
        </is>
      </c>
      <c r="E28" s="28" t="inlineStr">
        <is>
          <t>有愷悌君子之風</t>
        </is>
      </c>
      <c r="F28" s="27" t="n"/>
      <c r="G28" s="26" t="n"/>
      <c r="H28" s="29" t="n"/>
      <c r="I28" s="30" t="n"/>
      <c r="J28" s="30" t="n"/>
      <c r="K28" s="30" t="n"/>
      <c r="L28" s="30" t="n"/>
      <c r="M28" s="31" t="n"/>
      <c r="N28" s="29" t="n"/>
      <c r="O28" s="31" t="n"/>
    </row>
    <row r="29" ht="15" customHeight="1" s="16">
      <c r="A29" s="26" t="n">
        <v>28</v>
      </c>
      <c r="B29" s="26" t="n">
        <v>4</v>
      </c>
      <c r="C29" s="26" t="n">
        <v>5</v>
      </c>
      <c r="D29" s="27" t="inlineStr">
        <is>
          <t>嘗遊娼館</t>
        </is>
      </c>
      <c r="E29" s="28" t="inlineStr">
        <is>
          <t>女隨色第</t>
        </is>
      </c>
      <c r="F29" s="27" t="inlineStr">
        <is>
          <t>價有千金者</t>
        </is>
      </c>
      <c r="G29" s="26" t="n"/>
      <c r="H29" s="29" t="n"/>
      <c r="I29" s="30" t="n"/>
      <c r="J29" s="30" t="n"/>
      <c r="K29" s="30" t="n"/>
      <c r="L29" s="30" t="n"/>
      <c r="M29" s="31" t="n"/>
      <c r="N29" s="29" t="n"/>
      <c r="O29" s="31" t="n"/>
    </row>
    <row r="30" ht="15" customHeight="1" s="16">
      <c r="A30" s="26" t="n">
        <v>29</v>
      </c>
      <c r="B30" s="26" t="n">
        <v>4</v>
      </c>
      <c r="C30" s="26" t="n">
        <v>6</v>
      </c>
      <c r="D30" s="27" t="inlineStr">
        <is>
          <t>女隨色第</t>
        </is>
      </c>
      <c r="E30" s="32" t="inlineStr">
        <is>
          <t>價有千金者</t>
        </is>
      </c>
      <c r="F30" s="27" t="inlineStr">
        <is>
          <t>洪以千金求薦枕</t>
        </is>
      </c>
      <c r="G30" s="26" t="inlineStr">
        <is>
          <t>●</t>
        </is>
      </c>
      <c r="H30" s="29" t="n"/>
      <c r="I30" s="30" t="n"/>
      <c r="J30" s="30" t="n"/>
      <c r="K30" s="30" t="n"/>
      <c r="L30" s="30" t="n"/>
      <c r="M30" s="31" t="n"/>
      <c r="N30" s="29" t="n"/>
      <c r="O30" s="31" t="n"/>
    </row>
    <row r="31" ht="15" customHeight="1" s="16">
      <c r="A31" s="26" t="n">
        <v>30</v>
      </c>
      <c r="B31" s="26" t="n">
        <v>4</v>
      </c>
      <c r="C31" s="26" t="n">
        <v>7</v>
      </c>
      <c r="D31" s="27" t="inlineStr">
        <is>
          <t>價有千金者</t>
        </is>
      </c>
      <c r="E31" s="32" t="inlineStr">
        <is>
          <t>洪以千金求薦枕</t>
        </is>
      </c>
      <c r="F31" s="27" t="inlineStr">
        <is>
          <t>女</t>
        </is>
      </c>
      <c r="G31" s="26" t="inlineStr">
        <is>
          <t>●</t>
        </is>
      </c>
      <c r="H31" s="29" t="n"/>
      <c r="I31" s="30" t="n"/>
      <c r="J31" s="30" t="n"/>
      <c r="K31" s="30" t="n"/>
      <c r="L31" s="30" t="n"/>
      <c r="M31" s="31" t="n"/>
      <c r="N31" s="29" t="n"/>
      <c r="O31" s="31" t="n"/>
    </row>
    <row r="32" ht="15" customHeight="1" s="16">
      <c r="A32" s="26" t="n">
        <v>31</v>
      </c>
      <c r="B32" s="26" t="n">
        <v>4</v>
      </c>
      <c r="C32" s="26" t="n">
        <v>8</v>
      </c>
      <c r="D32" s="27" t="inlineStr">
        <is>
          <t>洪以千金求薦枕</t>
        </is>
      </c>
      <c r="E32" s="28" t="inlineStr">
        <is>
          <t>女</t>
        </is>
      </c>
      <c r="F32" s="27" t="inlineStr">
        <is>
          <t>方二八</t>
        </is>
      </c>
      <c r="G32" s="26" t="n"/>
      <c r="H32" s="29" t="n"/>
      <c r="I32" s="30" t="n"/>
      <c r="J32" s="30" t="n"/>
      <c r="K32" s="30" t="n"/>
      <c r="L32" s="30" t="n"/>
      <c r="M32" s="31" t="n"/>
      <c r="N32" s="29" t="n"/>
      <c r="O32" s="31" t="n"/>
    </row>
    <row r="33" ht="15" customHeight="1" s="16">
      <c r="A33" s="26" t="n">
        <v>32</v>
      </c>
      <c r="B33" s="26" t="n">
        <v>4</v>
      </c>
      <c r="C33" s="26" t="n">
        <v>11</v>
      </c>
      <c r="D33" s="27" t="inlineStr">
        <is>
          <t>有殊色</t>
        </is>
      </c>
      <c r="E33" s="28" t="inlineStr">
        <is>
          <t>對君泣曰</t>
        </is>
      </c>
      <c r="F33" s="27" t="inlineStr">
        <is>
          <t>奴所以索高價者</t>
        </is>
      </c>
      <c r="G33" s="26" t="n"/>
      <c r="H33" s="29" t="n"/>
      <c r="I33" s="30" t="n"/>
      <c r="J33" s="30" t="n"/>
      <c r="K33" s="30" t="n"/>
      <c r="L33" s="30" t="n"/>
      <c r="M33" s="31" t="n"/>
      <c r="N33" s="29" t="n"/>
      <c r="O33" s="31" t="n"/>
    </row>
    <row r="34" ht="15" customHeight="1" s="16">
      <c r="A34" s="26" t="n">
        <v>33</v>
      </c>
      <c r="B34" s="26" t="n">
        <v>4</v>
      </c>
      <c r="C34" s="26" t="n">
        <v>12</v>
      </c>
      <c r="D34" s="27" t="inlineStr">
        <is>
          <t>對君泣曰</t>
        </is>
      </c>
      <c r="E34" s="32" t="inlineStr">
        <is>
          <t>奴所以索高價者</t>
        </is>
      </c>
      <c r="F34" s="27" t="inlineStr">
        <is>
          <t>誠謂天下皆慳男</t>
        </is>
      </c>
      <c r="G34" s="26" t="inlineStr">
        <is>
          <t>●</t>
        </is>
      </c>
      <c r="H34" s="29" t="n"/>
      <c r="I34" s="30" t="n"/>
      <c r="J34" s="30" t="n"/>
      <c r="K34" s="30" t="n"/>
      <c r="L34" s="30" t="n"/>
      <c r="M34" s="31" t="n"/>
      <c r="N34" s="29" t="n"/>
      <c r="O34" s="31" t="n"/>
    </row>
    <row r="35" ht="15" customHeight="1" s="16">
      <c r="A35" s="26" t="n">
        <v>34</v>
      </c>
      <c r="B35" s="26" t="n">
        <v>4</v>
      </c>
      <c r="C35" s="26" t="n">
        <v>13</v>
      </c>
      <c r="D35" s="27" t="inlineStr">
        <is>
          <t>奴所以索高價者</t>
        </is>
      </c>
      <c r="E35" s="28" t="inlineStr">
        <is>
          <t>誠謂天下皆慳男</t>
        </is>
      </c>
      <c r="F35" s="27" t="inlineStr">
        <is>
          <t>無肯捐千金者</t>
        </is>
      </c>
      <c r="G35" s="26" t="n"/>
      <c r="H35" s="29" t="n"/>
      <c r="I35" s="30" t="n"/>
      <c r="J35" s="30" t="n"/>
      <c r="K35" s="30" t="n"/>
      <c r="L35" s="30" t="n"/>
      <c r="M35" s="31" t="n"/>
      <c r="N35" s="29" t="n"/>
      <c r="O35" s="31" t="n"/>
    </row>
    <row r="36" ht="15" customHeight="1" s="16">
      <c r="A36" s="26" t="n">
        <v>35</v>
      </c>
      <c r="B36" s="26" t="n">
        <v>4</v>
      </c>
      <c r="C36" s="26" t="n">
        <v>14</v>
      </c>
      <c r="D36" s="27" t="inlineStr">
        <is>
          <t>誠謂天下皆慳男</t>
        </is>
      </c>
      <c r="E36" s="32" t="inlineStr">
        <is>
          <t>無肯捐千金者</t>
        </is>
      </c>
      <c r="F36" s="27" t="inlineStr">
        <is>
          <t>祈以免斯須之辱</t>
        </is>
      </c>
      <c r="G36" s="26" t="inlineStr">
        <is>
          <t>●</t>
        </is>
      </c>
      <c r="H36" s="29" t="n"/>
      <c r="I36" s="30" t="n"/>
      <c r="J36" s="30" t="n"/>
      <c r="K36" s="30" t="n"/>
      <c r="L36" s="30" t="n"/>
      <c r="M36" s="31" t="n"/>
      <c r="N36" s="29" t="n"/>
      <c r="O36" s="31" t="n"/>
    </row>
    <row r="37" ht="15" customHeight="1" s="16">
      <c r="A37" s="26" t="n">
        <v>36</v>
      </c>
      <c r="B37" s="26" t="n">
        <v>4</v>
      </c>
      <c r="C37" s="26" t="n">
        <v>15</v>
      </c>
      <c r="D37" s="27" t="inlineStr">
        <is>
          <t>無肯捐千金者</t>
        </is>
      </c>
      <c r="E37" s="28" t="inlineStr">
        <is>
          <t>祈以免斯須之辱</t>
        </is>
      </c>
      <c r="F37" s="27" t="inlineStr">
        <is>
          <t>一日</t>
        </is>
      </c>
      <c r="G37" s="26" t="n"/>
      <c r="H37" s="29" t="n"/>
      <c r="I37" s="30" t="n"/>
      <c r="J37" s="30" t="n"/>
      <c r="K37" s="30" t="n"/>
      <c r="L37" s="30" t="n"/>
      <c r="M37" s="31" t="n"/>
      <c r="N37" s="29" t="n"/>
      <c r="O37" s="31" t="n"/>
    </row>
    <row r="38" ht="15" customHeight="1" s="16">
      <c r="A38" s="26" t="n">
        <v>37</v>
      </c>
      <c r="B38" s="26" t="n">
        <v>4</v>
      </c>
      <c r="C38" s="26" t="n">
        <v>19</v>
      </c>
      <c r="D38" s="27" t="inlineStr">
        <is>
          <t>本欲以愚館主</t>
        </is>
      </c>
      <c r="E38" s="28" t="inlineStr">
        <is>
          <t>一以望天下有義氣人</t>
        </is>
      </c>
      <c r="F38" s="27" t="inlineStr">
        <is>
          <t>贖奴作箕帚妾</t>
        </is>
      </c>
      <c r="G38" s="26" t="n"/>
      <c r="H38" s="29" t="n"/>
      <c r="I38" s="30" t="n"/>
      <c r="J38" s="30" t="n"/>
      <c r="K38" s="30" t="n"/>
      <c r="L38" s="30" t="n"/>
      <c r="M38" s="31" t="n"/>
      <c r="N38" s="29" t="n"/>
      <c r="O38" s="31" t="n"/>
    </row>
    <row r="39" ht="15" customHeight="1" s="16">
      <c r="A39" s="26" t="n">
        <v>38</v>
      </c>
      <c r="B39" s="26" t="n">
        <v>4</v>
      </c>
      <c r="C39" s="26" t="n">
        <v>20</v>
      </c>
      <c r="D39" s="27" t="inlineStr">
        <is>
          <t>一以望天下有義氣人</t>
        </is>
      </c>
      <c r="E39" s="32" t="inlineStr">
        <is>
          <t>贖奴作箕帚妾</t>
        </is>
      </c>
      <c r="F39" s="27" t="inlineStr">
        <is>
          <t>奴入娼館五日</t>
        </is>
      </c>
      <c r="G39" s="26" t="inlineStr">
        <is>
          <t>●</t>
        </is>
      </c>
      <c r="H39" s="29" t="n"/>
      <c r="I39" s="30" t="n"/>
      <c r="J39" s="30" t="n"/>
      <c r="K39" s="30" t="n"/>
      <c r="L39" s="30" t="n"/>
      <c r="M39" s="31" t="n"/>
      <c r="N39" s="29" t="n"/>
      <c r="O39" s="31" t="n"/>
    </row>
    <row r="40" ht="15" customHeight="1" s="16">
      <c r="A40" s="26" t="n">
        <v>39</v>
      </c>
      <c r="B40" s="26" t="n">
        <v>4</v>
      </c>
      <c r="C40" s="26" t="n">
        <v>21</v>
      </c>
      <c r="D40" s="27" t="inlineStr">
        <is>
          <t>贖奴作箕帚妾</t>
        </is>
      </c>
      <c r="E40" s="28" t="inlineStr">
        <is>
          <t>奴入娼館五日</t>
        </is>
      </c>
      <c r="F40" s="27" t="inlineStr">
        <is>
          <t>無敢以千金來者</t>
        </is>
      </c>
      <c r="G40" s="26" t="n"/>
      <c r="H40" s="29" t="n"/>
      <c r="I40" s="30" t="n"/>
      <c r="J40" s="30" t="n"/>
      <c r="K40" s="30" t="n"/>
      <c r="L40" s="30" t="n"/>
      <c r="M40" s="31" t="n"/>
      <c r="N40" s="29" t="n"/>
      <c r="O40" s="31" t="n"/>
    </row>
    <row r="41" ht="15" customHeight="1" s="16">
      <c r="A41" s="26" t="n">
        <v>40</v>
      </c>
      <c r="B41" s="26" t="n">
        <v>4</v>
      </c>
      <c r="C41" s="26" t="n">
        <v>22</v>
      </c>
      <c r="D41" s="27" t="inlineStr">
        <is>
          <t>奴入娼館五日</t>
        </is>
      </c>
      <c r="E41" s="32" t="inlineStr">
        <is>
          <t>無敢以千金來者</t>
        </is>
      </c>
      <c r="F41" s="27" t="inlineStr">
        <is>
          <t>今日幸</t>
        </is>
      </c>
      <c r="G41" s="26" t="inlineStr">
        <is>
          <t>●</t>
        </is>
      </c>
      <c r="H41" s="29" t="n"/>
      <c r="I41" s="30" t="n"/>
      <c r="J41" s="30" t="n"/>
      <c r="K41" s="30" t="n"/>
      <c r="L41" s="30" t="n"/>
      <c r="M41" s="31" t="n"/>
      <c r="N41" s="29" t="n"/>
      <c r="O41" s="31" t="n"/>
    </row>
    <row r="42" ht="15" customHeight="1" s="16">
      <c r="A42" s="26" t="n">
        <v>41</v>
      </c>
      <c r="B42" s="26" t="n">
        <v>4</v>
      </c>
      <c r="C42" s="26" t="n">
        <v>23</v>
      </c>
      <c r="D42" s="27" t="inlineStr">
        <is>
          <t>無敢以千金來者</t>
        </is>
      </c>
      <c r="E42" s="28" t="inlineStr">
        <is>
          <t>今日幸</t>
        </is>
      </c>
      <c r="F42" s="27" t="inlineStr">
        <is>
          <t>逢天下義氣人</t>
        </is>
      </c>
      <c r="G42" s="26" t="n"/>
      <c r="H42" s="29" t="n"/>
      <c r="I42" s="30" t="n"/>
      <c r="J42" s="30" t="n"/>
      <c r="K42" s="30" t="n"/>
      <c r="L42" s="30" t="n"/>
      <c r="M42" s="31" t="n"/>
      <c r="N42" s="29" t="n"/>
      <c r="O42" s="31" t="n"/>
    </row>
    <row r="43" ht="15" customHeight="1" s="16">
      <c r="A43" s="26" t="n">
        <v>42</v>
      </c>
      <c r="B43" s="26" t="n">
        <v>4</v>
      </c>
      <c r="C43" s="26" t="n">
        <v>33</v>
      </c>
      <c r="D43" s="27" t="inlineStr">
        <is>
          <t>奴南京戶部侍郞某女也</t>
        </is>
      </c>
      <c r="E43" s="28" t="inlineStr">
        <is>
          <t>家被籍追贓</t>
        </is>
      </c>
      <c r="F43" s="27" t="inlineStr">
        <is>
          <t>自賣身娼館</t>
        </is>
      </c>
      <c r="G43" s="26" t="n"/>
      <c r="H43" s="29" t="n"/>
      <c r="I43" s="30" t="n"/>
      <c r="J43" s="30" t="n"/>
      <c r="K43" s="30" t="n"/>
      <c r="L43" s="30" t="n"/>
      <c r="M43" s="31" t="n"/>
      <c r="N43" s="29" t="n"/>
      <c r="O43" s="31" t="n"/>
    </row>
    <row r="44" ht="15" customHeight="1" s="16">
      <c r="A44" s="26" t="n">
        <v>43</v>
      </c>
      <c r="B44" s="26" t="n">
        <v>4</v>
      </c>
      <c r="C44" s="26" t="n">
        <v>34</v>
      </c>
      <c r="D44" s="27" t="inlineStr">
        <is>
          <t>家被籍追贓</t>
        </is>
      </c>
      <c r="E44" s="32" t="inlineStr">
        <is>
          <t>自賣身娼館</t>
        </is>
      </c>
      <c r="F44" s="27" t="inlineStr">
        <is>
          <t>以贖父死</t>
        </is>
      </c>
      <c r="G44" s="26" t="inlineStr">
        <is>
          <t>●</t>
        </is>
      </c>
      <c r="H44" s="29" t="n"/>
      <c r="I44" s="30" t="n"/>
      <c r="J44" s="30" t="n"/>
      <c r="K44" s="30" t="n"/>
      <c r="L44" s="30" t="n"/>
      <c r="M44" s="31" t="n"/>
      <c r="N44" s="29" t="n"/>
      <c r="O44" s="31" t="n"/>
    </row>
    <row r="45" ht="15" customHeight="1" s="16">
      <c r="A45" s="26" t="n">
        <v>44</v>
      </c>
      <c r="B45" s="26" t="n">
        <v>4</v>
      </c>
      <c r="C45" s="26" t="n">
        <v>35</v>
      </c>
      <c r="D45" s="27" t="inlineStr">
        <is>
          <t>自賣身娼館</t>
        </is>
      </c>
      <c r="E45" s="32" t="inlineStr">
        <is>
          <t>以贖父死</t>
        </is>
      </c>
      <c r="F45" s="27" t="inlineStr">
        <is>
          <t>洪大驚曰</t>
        </is>
      </c>
      <c r="G45" s="26" t="inlineStr">
        <is>
          <t>●</t>
        </is>
      </c>
      <c r="H45" s="29" t="n"/>
      <c r="I45" s="30" t="n"/>
      <c r="J45" s="30" t="n"/>
      <c r="K45" s="30" t="n"/>
      <c r="L45" s="30" t="n"/>
      <c r="M45" s="31" t="n"/>
      <c r="N45" s="29" t="n"/>
      <c r="O45" s="31" t="n"/>
    </row>
    <row r="46" ht="15" customHeight="1" s="16">
      <c r="A46" s="26" t="n">
        <v>45</v>
      </c>
      <c r="B46" s="26" t="n">
        <v>4</v>
      </c>
      <c r="C46" s="26" t="n">
        <v>36</v>
      </c>
      <c r="D46" s="27" t="inlineStr">
        <is>
          <t>以贖父死</t>
        </is>
      </c>
      <c r="E46" s="28" t="inlineStr">
        <is>
          <t>洪大驚曰</t>
        </is>
      </c>
      <c r="F46" s="27" t="inlineStr">
        <is>
          <t>吾實不識如此</t>
        </is>
      </c>
      <c r="G46" s="26" t="n"/>
      <c r="H46" s="29" t="n"/>
      <c r="I46" s="30" t="n"/>
      <c r="J46" s="30" t="n"/>
      <c r="K46" s="30" t="n"/>
      <c r="L46" s="30" t="n"/>
      <c r="M46" s="31" t="n"/>
      <c r="N46" s="29" t="n"/>
      <c r="O46" s="31" t="n"/>
    </row>
    <row r="47" ht="15" customHeight="1" s="16">
      <c r="A47" s="26" t="n">
        <v>46</v>
      </c>
      <c r="B47" s="26" t="n">
        <v>4</v>
      </c>
      <c r="C47" s="26" t="n">
        <v>37</v>
      </c>
      <c r="D47" s="27" t="inlineStr">
        <is>
          <t>洪大驚曰</t>
        </is>
      </c>
      <c r="E47" s="28" t="inlineStr">
        <is>
          <t>吾實不識如此</t>
        </is>
      </c>
      <c r="F47" s="27" t="inlineStr">
        <is>
          <t>今當贖妹</t>
        </is>
      </c>
      <c r="G47" s="26" t="n"/>
      <c r="H47" s="29" t="n"/>
      <c r="I47" s="30" t="n"/>
      <c r="J47" s="30" t="n"/>
      <c r="K47" s="30" t="n"/>
      <c r="L47" s="30" t="n"/>
      <c r="M47" s="31" t="n"/>
      <c r="N47" s="29" t="n"/>
      <c r="O47" s="31" t="n"/>
    </row>
    <row r="48" ht="15" customHeight="1" s="16">
      <c r="A48" s="26" t="n">
        <v>47</v>
      </c>
      <c r="B48" s="26" t="n">
        <v>4</v>
      </c>
      <c r="C48" s="26" t="n">
        <v>38</v>
      </c>
      <c r="D48" s="27" t="inlineStr">
        <is>
          <t>吾實不識如此</t>
        </is>
      </c>
      <c r="E48" s="32" t="inlineStr">
        <is>
          <t>今當贖妹</t>
        </is>
      </c>
      <c r="F48" s="27" t="inlineStr">
        <is>
          <t>償</t>
        </is>
      </c>
      <c r="G48" s="26" t="inlineStr">
        <is>
          <t>●</t>
        </is>
      </c>
      <c r="H48" s="29" t="n"/>
      <c r="I48" s="30" t="n"/>
      <c r="J48" s="30" t="n"/>
      <c r="K48" s="30" t="n"/>
      <c r="L48" s="30" t="n"/>
      <c r="M48" s="31" t="n"/>
      <c r="N48" s="29" t="n"/>
      <c r="O48" s="31" t="n"/>
    </row>
    <row r="49" ht="15" customHeight="1" s="16">
      <c r="A49" s="26" t="n">
        <v>48</v>
      </c>
      <c r="B49" s="26" t="n">
        <v>4</v>
      </c>
      <c r="C49" s="26" t="n">
        <v>39</v>
      </c>
      <c r="D49" s="27" t="inlineStr">
        <is>
          <t>今當贖妹</t>
        </is>
      </c>
      <c r="E49" s="32" t="inlineStr">
        <is>
          <t>償</t>
        </is>
      </c>
      <c r="F49" s="27" t="inlineStr">
        <is>
          <t>價幾何</t>
        </is>
      </c>
      <c r="G49" s="26" t="inlineStr">
        <is>
          <t>●</t>
        </is>
      </c>
      <c r="H49" s="29" t="n"/>
      <c r="I49" s="30" t="n"/>
      <c r="J49" s="30" t="n"/>
      <c r="K49" s="30" t="n"/>
      <c r="L49" s="30" t="n"/>
      <c r="M49" s="31" t="n"/>
      <c r="N49" s="29" t="n"/>
      <c r="O49" s="31" t="n"/>
    </row>
    <row r="50" ht="15" customHeight="1" s="16">
      <c r="A50" s="26" t="n">
        <v>49</v>
      </c>
      <c r="B50" s="26" t="n">
        <v>4</v>
      </c>
      <c r="C50" s="26" t="n">
        <v>40</v>
      </c>
      <c r="D50" s="27" t="inlineStr">
        <is>
          <t>償</t>
        </is>
      </c>
      <c r="E50" s="32" t="inlineStr">
        <is>
          <t>價幾何</t>
        </is>
      </c>
      <c r="F50" s="27" t="inlineStr">
        <is>
          <t>女曰</t>
        </is>
      </c>
      <c r="G50" s="26" t="inlineStr">
        <is>
          <t>●</t>
        </is>
      </c>
      <c r="H50" s="29" t="n"/>
      <c r="I50" s="30" t="n"/>
      <c r="J50" s="30" t="n"/>
      <c r="K50" s="30" t="n"/>
      <c r="L50" s="30" t="n"/>
      <c r="M50" s="31" t="n"/>
      <c r="N50" s="29" t="n"/>
      <c r="O50" s="31" t="n"/>
    </row>
    <row r="51" ht="15" customHeight="1" s="16">
      <c r="A51" s="26" t="n">
        <v>50</v>
      </c>
      <c r="B51" s="26" t="n">
        <v>4</v>
      </c>
      <c r="C51" s="26" t="n">
        <v>41</v>
      </c>
      <c r="D51" s="27" t="inlineStr">
        <is>
          <t>價幾何</t>
        </is>
      </c>
      <c r="E51" s="28" t="inlineStr">
        <is>
          <t>女曰</t>
        </is>
      </c>
      <c r="F51" s="27" t="inlineStr">
        <is>
          <t>二千金</t>
        </is>
      </c>
      <c r="G51" s="26" t="n"/>
      <c r="H51" s="29" t="n"/>
      <c r="I51" s="30" t="n"/>
      <c r="J51" s="30" t="n"/>
      <c r="K51" s="30" t="n"/>
      <c r="L51" s="30" t="n"/>
      <c r="M51" s="31" t="n"/>
      <c r="N51" s="29" t="n"/>
      <c r="O51" s="31" t="n"/>
    </row>
    <row r="52" ht="15" customHeight="1" s="16">
      <c r="A52" s="26" t="n">
        <v>51</v>
      </c>
      <c r="B52" s="26" t="n">
        <v>4</v>
      </c>
      <c r="C52" s="26" t="n">
        <v>42</v>
      </c>
      <c r="D52" s="27" t="inlineStr">
        <is>
          <t>女曰</t>
        </is>
      </c>
      <c r="E52" s="32" t="inlineStr">
        <is>
          <t>二千金</t>
        </is>
      </c>
      <c r="F52" s="27" t="inlineStr">
        <is>
          <t>洪立輸之</t>
        </is>
      </c>
      <c r="G52" s="26" t="inlineStr">
        <is>
          <t>●</t>
        </is>
      </c>
      <c r="H52" s="29" t="n"/>
      <c r="I52" s="30" t="n"/>
      <c r="J52" s="30" t="n"/>
      <c r="K52" s="30" t="n"/>
      <c r="L52" s="30" t="n"/>
      <c r="M52" s="31" t="n"/>
      <c r="N52" s="29" t="n"/>
      <c r="O52" s="31" t="n"/>
    </row>
    <row r="53" ht="15" customHeight="1" s="16">
      <c r="A53" s="26" t="n">
        <v>52</v>
      </c>
      <c r="B53" s="26" t="n">
        <v>4</v>
      </c>
      <c r="C53" s="26" t="n">
        <v>43</v>
      </c>
      <c r="D53" s="27" t="inlineStr">
        <is>
          <t>二千金</t>
        </is>
      </c>
      <c r="E53" s="28" t="inlineStr">
        <is>
          <t>洪立輸之</t>
        </is>
      </c>
      <c r="F53" s="27" t="inlineStr">
        <is>
          <t>與訣別</t>
        </is>
      </c>
      <c r="G53" s="26" t="n"/>
      <c r="H53" s="29" t="n"/>
      <c r="I53" s="30" t="n"/>
      <c r="J53" s="30" t="n"/>
      <c r="K53" s="30" t="n"/>
      <c r="L53" s="30" t="n"/>
      <c r="M53" s="31" t="n"/>
      <c r="N53" s="29" t="n"/>
      <c r="O53" s="31" t="n"/>
    </row>
    <row r="54" ht="29.85" customHeight="1" s="16">
      <c r="A54" s="26" t="n">
        <v>53</v>
      </c>
      <c r="B54" s="26" t="n">
        <v>4</v>
      </c>
      <c r="C54" s="26" t="n">
        <v>64</v>
      </c>
      <c r="D54" s="27" t="inlineStr">
        <is>
          <t>丈人久忘乃女</t>
        </is>
      </c>
      <c r="E54" s="28" t="inlineStr">
        <is>
          <t>耶</t>
        </is>
      </c>
      <c r="F54" s="27" t="inlineStr">
        <is>
          <t>洪始知夫人乃娼館所贖女也</t>
        </is>
      </c>
      <c r="G54" s="26" t="n"/>
      <c r="H54" s="29" t="n"/>
      <c r="I54" s="30" t="n"/>
      <c r="J54" s="30" t="n"/>
      <c r="K54" s="30" t="n"/>
      <c r="L54" s="30" t="n"/>
      <c r="M54" s="31" t="n"/>
      <c r="N54" s="29" t="n"/>
      <c r="O54" s="31" t="n"/>
    </row>
    <row r="55" ht="15" customHeight="1" s="16">
      <c r="A55" s="26" t="n">
        <v>54</v>
      </c>
      <c r="B55" s="26" t="n">
        <v>4</v>
      </c>
      <c r="C55" s="26" t="n">
        <v>65</v>
      </c>
      <c r="D55" s="27" t="inlineStr">
        <is>
          <t>耶</t>
        </is>
      </c>
      <c r="E55" s="32" t="inlineStr">
        <is>
          <t>洪始知夫人乃娼館所贖女也</t>
        </is>
      </c>
      <c r="F55" s="27" t="inlineStr">
        <is>
          <t>出娼館</t>
        </is>
      </c>
      <c r="G55" s="26" t="inlineStr">
        <is>
          <t>●</t>
        </is>
      </c>
      <c r="H55" s="29" t="n"/>
      <c r="I55" s="30" t="n"/>
      <c r="J55" s="30" t="n"/>
      <c r="K55" s="30" t="n"/>
      <c r="L55" s="30" t="n"/>
      <c r="M55" s="31" t="n"/>
      <c r="N55" s="29" t="n"/>
      <c r="O55" s="31" t="n"/>
    </row>
    <row r="56" ht="29.85" customHeight="1" s="16">
      <c r="A56" s="26" t="n">
        <v>55</v>
      </c>
      <c r="B56" s="26" t="n">
        <v>4</v>
      </c>
      <c r="C56" s="26" t="n">
        <v>66</v>
      </c>
      <c r="D56" s="27" t="inlineStr">
        <is>
          <t>洪始知夫人乃娼館所贖女也</t>
        </is>
      </c>
      <c r="E56" s="28" t="inlineStr">
        <is>
          <t>出娼館</t>
        </is>
      </c>
      <c r="F56" s="27" t="inlineStr">
        <is>
          <t>卽歸石星</t>
        </is>
      </c>
      <c r="G56" s="26" t="n"/>
      <c r="H56" s="29" t="n"/>
      <c r="I56" s="30" t="n"/>
      <c r="J56" s="30" t="n"/>
      <c r="K56" s="30" t="n"/>
      <c r="L56" s="30" t="n"/>
      <c r="M56" s="31" t="n"/>
      <c r="N56" s="29" t="n"/>
      <c r="O56" s="31" t="n"/>
    </row>
    <row r="57" ht="29.85" customHeight="1" s="16">
      <c r="A57" s="26" t="n">
        <v>56</v>
      </c>
      <c r="B57" s="26" t="n">
        <v>4</v>
      </c>
      <c r="C57" s="26" t="n">
        <v>72</v>
      </c>
      <c r="D57" s="27" t="inlineStr">
        <is>
          <t>皆刺報恩字</t>
        </is>
      </c>
      <c r="E57" s="28" t="inlineStr">
        <is>
          <t>及洪歸</t>
        </is>
      </c>
      <c r="F57" s="27" t="inlineStr">
        <is>
          <t>裝送報恩緞及他錦綺金銀</t>
        </is>
      </c>
      <c r="G57" s="26" t="n"/>
      <c r="H57" s="29" t="n"/>
      <c r="I57" s="30" t="n"/>
      <c r="J57" s="30" t="n"/>
      <c r="K57" s="30" t="n"/>
      <c r="L57" s="30" t="n"/>
      <c r="M57" s="31" t="n"/>
      <c r="N57" s="29" t="n"/>
      <c r="O57" s="31" t="n"/>
    </row>
    <row r="58" ht="15" customHeight="1" s="16">
      <c r="A58" s="26" t="n">
        <v>57</v>
      </c>
      <c r="B58" s="26" t="n">
        <v>4</v>
      </c>
      <c r="C58" s="26" t="n">
        <v>73</v>
      </c>
      <c r="D58" s="27" t="inlineStr">
        <is>
          <t>及洪歸</t>
        </is>
      </c>
      <c r="E58" s="32" t="inlineStr">
        <is>
          <t>裝送報恩緞及他錦綺金銀</t>
        </is>
      </c>
      <c r="F58" s="27" t="inlineStr">
        <is>
          <t>不可勝數</t>
        </is>
      </c>
      <c r="G58" s="26" t="inlineStr">
        <is>
          <t>●</t>
        </is>
      </c>
      <c r="H58" s="29" t="n"/>
      <c r="I58" s="30" t="n"/>
      <c r="J58" s="30" t="n"/>
      <c r="K58" s="30" t="n"/>
      <c r="L58" s="30" t="n"/>
      <c r="M58" s="31" t="n"/>
      <c r="N58" s="29" t="n"/>
      <c r="O58" s="31" t="n"/>
    </row>
    <row r="59" ht="29.85" customHeight="1" s="16">
      <c r="A59" s="26" t="n">
        <v>58</v>
      </c>
      <c r="B59" s="26" t="n">
        <v>4</v>
      </c>
      <c r="C59" s="26" t="n">
        <v>74</v>
      </c>
      <c r="D59" s="27" t="inlineStr">
        <is>
          <t>裝送報恩緞及他錦綺金銀</t>
        </is>
      </c>
      <c r="E59" s="28" t="inlineStr">
        <is>
          <t>不可勝數</t>
        </is>
      </c>
      <c r="F59" s="27" t="inlineStr">
        <is>
          <t>及壬倭寇</t>
        </is>
      </c>
      <c r="G59" s="26" t="n"/>
      <c r="H59" s="29" t="n"/>
      <c r="I59" s="30" t="n"/>
      <c r="J59" s="30" t="n"/>
      <c r="K59" s="30" t="n"/>
      <c r="L59" s="30" t="n"/>
      <c r="M59" s="31" t="n"/>
      <c r="N59" s="29" t="n"/>
      <c r="O59" s="31" t="n"/>
    </row>
    <row r="60" ht="15" customHeight="1" s="16">
      <c r="A60" s="26" t="n">
        <v>59</v>
      </c>
      <c r="B60" s="26" t="n">
        <v>4</v>
      </c>
      <c r="C60" s="26" t="n">
        <v>79</v>
      </c>
      <c r="D60" s="27" t="inlineStr">
        <is>
          <t>以石本義朝鮮人</t>
        </is>
      </c>
      <c r="E60" s="28" t="inlineStr">
        <is>
          <t>故也</t>
        </is>
      </c>
      <c r="F60" s="27" t="n"/>
      <c r="G60" s="26" t="n"/>
      <c r="H60" s="29" t="n"/>
      <c r="I60" s="30" t="n"/>
      <c r="J60" s="30" t="n"/>
      <c r="K60" s="30" t="n"/>
      <c r="L60" s="30" t="n"/>
      <c r="M60" s="31" t="n"/>
      <c r="N60" s="29" t="n"/>
      <c r="O60" s="31" t="n"/>
    </row>
    <row r="61" ht="15" customHeight="1" s="16">
      <c r="A61" s="26" t="n">
        <v>60</v>
      </c>
      <c r="B61" s="26" t="n">
        <v>5</v>
      </c>
      <c r="C61" s="26" t="n">
        <v>1</v>
      </c>
      <c r="D61" s="27" t="n"/>
      <c r="E61" s="32" t="inlineStr">
        <is>
          <t>有言朝鮮商賈熟主顧鄭世泰之富</t>
        </is>
      </c>
      <c r="F61" s="27" t="inlineStr">
        <is>
          <t>甲于皇城</t>
        </is>
      </c>
      <c r="G61" s="26" t="inlineStr">
        <is>
          <t>●</t>
        </is>
      </c>
      <c r="H61" s="29" t="n"/>
      <c r="I61" s="30" t="n"/>
      <c r="J61" s="30" t="n"/>
      <c r="K61" s="30" t="n"/>
      <c r="L61" s="30" t="n"/>
      <c r="M61" s="31" t="n"/>
      <c r="N61" s="29" t="n"/>
      <c r="O61" s="31" t="n"/>
    </row>
    <row r="62" ht="29.85" customHeight="1" s="16">
      <c r="A62" s="26" t="n">
        <v>61</v>
      </c>
      <c r="B62" s="26" t="n">
        <v>5</v>
      </c>
      <c r="C62" s="26" t="n">
        <v>2</v>
      </c>
      <c r="D62" s="27" t="inlineStr">
        <is>
          <t>有言朝鮮商賈熟主顧鄭世泰之富</t>
        </is>
      </c>
      <c r="E62" s="28" t="inlineStr">
        <is>
          <t>甲于皇城</t>
        </is>
      </c>
      <c r="F62" s="27" t="inlineStr">
        <is>
          <t>及世泰死</t>
        </is>
      </c>
      <c r="G62" s="26" t="n"/>
      <c r="H62" s="29" t="n"/>
      <c r="I62" s="30" t="n"/>
      <c r="J62" s="30" t="n"/>
      <c r="K62" s="30" t="n"/>
      <c r="L62" s="30" t="n"/>
      <c r="M62" s="31" t="n"/>
      <c r="N62" s="29" t="n"/>
      <c r="O62" s="31" t="n"/>
    </row>
    <row r="63" ht="15" customHeight="1" s="16">
      <c r="A63" s="26" t="n">
        <v>62</v>
      </c>
      <c r="B63" s="26" t="n">
        <v>5</v>
      </c>
      <c r="C63" s="26" t="n">
        <v>7</v>
      </c>
      <c r="D63" s="27" t="inlineStr">
        <is>
          <t>只有一孫</t>
        </is>
      </c>
      <c r="E63" s="28" t="inlineStr">
        <is>
          <t>男中絶色</t>
        </is>
      </c>
      <c r="F63" s="27" t="inlineStr">
        <is>
          <t>幼賣塲</t>
        </is>
      </c>
      <c r="G63" s="26" t="n"/>
      <c r="H63" s="29" t="n"/>
      <c r="I63" s="30" t="n"/>
      <c r="J63" s="30" t="n"/>
      <c r="K63" s="30" t="n"/>
      <c r="L63" s="30" t="n"/>
      <c r="M63" s="31" t="n"/>
      <c r="N63" s="29" t="n"/>
      <c r="O63" s="31" t="n"/>
    </row>
    <row r="64" ht="15" customHeight="1" s="16">
      <c r="A64" s="26" t="n">
        <v>63</v>
      </c>
      <c r="B64" s="26" t="n">
        <v>5</v>
      </c>
      <c r="C64" s="26" t="n">
        <v>8</v>
      </c>
      <c r="D64" s="27" t="inlineStr">
        <is>
          <t>男中絶色</t>
        </is>
      </c>
      <c r="E64" s="32" t="inlineStr">
        <is>
          <t>幼賣塲</t>
        </is>
      </c>
      <c r="F64" s="27" t="inlineStr">
        <is>
          <t>戱</t>
        </is>
      </c>
      <c r="G64" s="26" t="inlineStr">
        <is>
          <t>●</t>
        </is>
      </c>
      <c r="H64" s="29" t="n"/>
      <c r="I64" s="30" t="n"/>
      <c r="J64" s="30" t="n"/>
      <c r="K64" s="30" t="n"/>
      <c r="L64" s="30" t="n"/>
      <c r="M64" s="31" t="n"/>
      <c r="N64" s="29" t="n"/>
      <c r="O64" s="31" t="n"/>
    </row>
    <row r="65" ht="15" customHeight="1" s="16">
      <c r="A65" s="26" t="n">
        <v>64</v>
      </c>
      <c r="B65" s="26" t="n">
        <v>5</v>
      </c>
      <c r="C65" s="26" t="n">
        <v>9</v>
      </c>
      <c r="D65" s="27" t="inlineStr">
        <is>
          <t>幼賣塲</t>
        </is>
      </c>
      <c r="E65" s="28" t="inlineStr">
        <is>
          <t>戱</t>
        </is>
      </c>
      <c r="F65" s="27" t="inlineStr">
        <is>
          <t>世泰時夥計林哥</t>
        </is>
      </c>
      <c r="G65" s="26" t="n"/>
      <c r="H65" s="29" t="n"/>
      <c r="I65" s="30" t="n"/>
      <c r="J65" s="30" t="n"/>
      <c r="K65" s="30" t="n"/>
      <c r="L65" s="30" t="n"/>
      <c r="M65" s="31" t="n"/>
      <c r="N65" s="29" t="n"/>
      <c r="O65" s="31" t="n"/>
    </row>
    <row r="66" ht="15" customHeight="1" s="16">
      <c r="A66" s="26" t="n">
        <v>65</v>
      </c>
      <c r="B66" s="26" t="n">
        <v>5</v>
      </c>
      <c r="C66" s="26" t="n">
        <v>10</v>
      </c>
      <c r="D66" s="27" t="inlineStr">
        <is>
          <t>戱</t>
        </is>
      </c>
      <c r="E66" s="28" t="inlineStr">
        <is>
          <t>世泰時夥計林哥</t>
        </is>
      </c>
      <c r="F66" s="27" t="inlineStr">
        <is>
          <t>今鉅富</t>
        </is>
      </c>
      <c r="G66" s="26" t="n"/>
      <c r="H66" s="29" t="n"/>
      <c r="I66" s="30" t="n"/>
      <c r="J66" s="30" t="n"/>
      <c r="K66" s="30" t="n"/>
      <c r="L66" s="30" t="n"/>
      <c r="M66" s="31" t="n"/>
      <c r="N66" s="29" t="n"/>
      <c r="O66" s="31" t="n"/>
    </row>
    <row r="67" ht="15" customHeight="1" s="16">
      <c r="A67" s="26" t="n">
        <v>66</v>
      </c>
      <c r="B67" s="26" t="n">
        <v>5</v>
      </c>
      <c r="C67" s="26" t="n">
        <v>11</v>
      </c>
      <c r="D67" s="27" t="inlineStr">
        <is>
          <t>世泰時夥計林哥</t>
        </is>
      </c>
      <c r="E67" s="32" t="inlineStr">
        <is>
          <t>今鉅富</t>
        </is>
      </c>
      <c r="F67" s="27" t="inlineStr">
        <is>
          <t>見塲戱中一美男子</t>
        </is>
      </c>
      <c r="G67" s="26" t="inlineStr">
        <is>
          <t>●</t>
        </is>
      </c>
      <c r="H67" s="29" t="n"/>
      <c r="I67" s="30" t="n"/>
      <c r="J67" s="30" t="n"/>
      <c r="K67" s="30" t="n"/>
      <c r="L67" s="30" t="n"/>
      <c r="M67" s="31" t="n"/>
      <c r="N67" s="29" t="n"/>
      <c r="O67" s="31" t="n"/>
    </row>
    <row r="68" ht="15" customHeight="1" s="16">
      <c r="A68" s="26" t="n">
        <v>67</v>
      </c>
      <c r="B68" s="26" t="n">
        <v>5</v>
      </c>
      <c r="C68" s="26" t="n">
        <v>12</v>
      </c>
      <c r="D68" s="27" t="inlineStr">
        <is>
          <t>今鉅富</t>
        </is>
      </c>
      <c r="E68" s="28" t="inlineStr">
        <is>
          <t>見塲戱中一美男子</t>
        </is>
      </c>
      <c r="F68" s="27" t="inlineStr">
        <is>
          <t>呈戱</t>
        </is>
      </c>
      <c r="G68" s="26" t="n"/>
      <c r="H68" s="29" t="n"/>
      <c r="I68" s="30" t="n"/>
      <c r="J68" s="30" t="n"/>
      <c r="K68" s="30" t="n"/>
      <c r="L68" s="30" t="n"/>
      <c r="M68" s="31" t="n"/>
      <c r="N68" s="29" t="n"/>
      <c r="O68" s="31" t="n"/>
    </row>
    <row r="69" ht="15" customHeight="1" s="16">
      <c r="A69" s="26" t="n">
        <v>68</v>
      </c>
      <c r="B69" s="26" t="n">
        <v>5</v>
      </c>
      <c r="C69" s="26" t="n">
        <v>16</v>
      </c>
      <c r="D69" s="27" t="inlineStr">
        <is>
          <t>聞其爲鄭家兒郞</t>
        </is>
      </c>
      <c r="E69" s="28" t="inlineStr">
        <is>
          <t>相持泣</t>
        </is>
      </c>
      <c r="F69" s="27" t="inlineStr">
        <is>
          <t>遂以千金</t>
        </is>
      </c>
      <c r="G69" s="26" t="n"/>
      <c r="H69" s="29" t="n"/>
      <c r="I69" s="30" t="n"/>
      <c r="J69" s="30" t="n"/>
      <c r="K69" s="30" t="n"/>
      <c r="L69" s="30" t="n"/>
      <c r="M69" s="31" t="n"/>
      <c r="N69" s="29" t="n"/>
      <c r="O69" s="31" t="n"/>
    </row>
    <row r="70" ht="15" customHeight="1" s="16">
      <c r="A70" s="26" t="n">
        <v>69</v>
      </c>
      <c r="B70" s="26" t="n">
        <v>5</v>
      </c>
      <c r="C70" s="26" t="n">
        <v>17</v>
      </c>
      <c r="D70" s="27" t="inlineStr">
        <is>
          <t>相持泣</t>
        </is>
      </c>
      <c r="E70" s="32" t="inlineStr">
        <is>
          <t>遂以千金</t>
        </is>
      </c>
      <c r="F70" s="27" t="inlineStr">
        <is>
          <t>贖之</t>
        </is>
      </c>
      <c r="G70" s="26" t="inlineStr">
        <is>
          <t>●</t>
        </is>
      </c>
      <c r="H70" s="29" t="n"/>
      <c r="I70" s="30" t="n"/>
      <c r="J70" s="30" t="n"/>
      <c r="K70" s="30" t="n"/>
      <c r="L70" s="30" t="n"/>
      <c r="M70" s="31" t="n"/>
      <c r="N70" s="29" t="n"/>
      <c r="O70" s="31" t="n"/>
    </row>
    <row r="71" ht="15" customHeight="1" s="16">
      <c r="A71" s="26" t="n">
        <v>70</v>
      </c>
      <c r="B71" s="26" t="n">
        <v>5</v>
      </c>
      <c r="C71" s="26" t="n">
        <v>18</v>
      </c>
      <c r="D71" s="27" t="inlineStr">
        <is>
          <t>遂以千金</t>
        </is>
      </c>
      <c r="E71" s="32" t="inlineStr">
        <is>
          <t>贖之</t>
        </is>
      </c>
      <c r="F71" s="27" t="inlineStr">
        <is>
          <t>與俱歸家</t>
        </is>
      </c>
      <c r="G71" s="26" t="inlineStr">
        <is>
          <t>●</t>
        </is>
      </c>
      <c r="H71" s="29" t="n"/>
      <c r="I71" s="30" t="n"/>
      <c r="J71" s="30" t="n"/>
      <c r="K71" s="30" t="n"/>
      <c r="L71" s="30" t="n"/>
      <c r="M71" s="31" t="n"/>
      <c r="N71" s="29" t="n"/>
      <c r="O71" s="31" t="n"/>
    </row>
    <row r="72" ht="15" customHeight="1" s="16">
      <c r="A72" s="26" t="n">
        <v>71</v>
      </c>
      <c r="B72" s="26" t="n">
        <v>5</v>
      </c>
      <c r="C72" s="26" t="n">
        <v>19</v>
      </c>
      <c r="D72" s="27" t="inlineStr">
        <is>
          <t>贖之</t>
        </is>
      </c>
      <c r="E72" s="28" t="inlineStr">
        <is>
          <t>與俱歸家</t>
        </is>
      </c>
      <c r="F72" s="27" t="inlineStr">
        <is>
          <t>戒家人曰</t>
        </is>
      </c>
      <c r="G72" s="26" t="n"/>
      <c r="H72" s="29" t="n"/>
      <c r="I72" s="30" t="n"/>
      <c r="J72" s="30" t="n"/>
      <c r="K72" s="30" t="n"/>
      <c r="L72" s="30" t="n"/>
      <c r="M72" s="31" t="n"/>
      <c r="N72" s="29" t="n"/>
      <c r="O72" s="31" t="n"/>
    </row>
    <row r="73" ht="15" customHeight="1" s="16">
      <c r="A73" s="26" t="n">
        <v>72</v>
      </c>
      <c r="B73" s="26" t="n">
        <v>5</v>
      </c>
      <c r="C73" s="26" t="n">
        <v>24</v>
      </c>
      <c r="D73" s="27" t="inlineStr">
        <is>
          <t>勿以戱子賤之</t>
        </is>
      </c>
      <c r="E73" s="28" t="inlineStr">
        <is>
          <t>及長</t>
        </is>
      </c>
      <c r="F73" s="27" t="inlineStr">
        <is>
          <t>中分其財而業之</t>
        </is>
      </c>
      <c r="G73" s="26" t="n"/>
      <c r="H73" s="29" t="n"/>
      <c r="I73" s="30" t="n"/>
      <c r="J73" s="30" t="n"/>
      <c r="K73" s="30" t="n"/>
      <c r="L73" s="30" t="n"/>
      <c r="M73" s="31" t="n"/>
      <c r="N73" s="29" t="n"/>
      <c r="O73" s="31" t="n"/>
    </row>
    <row r="74" ht="15" customHeight="1" s="16">
      <c r="A74" s="26" t="n">
        <v>73</v>
      </c>
      <c r="B74" s="26" t="n">
        <v>5</v>
      </c>
      <c r="C74" s="26" t="n">
        <v>25</v>
      </c>
      <c r="D74" s="27" t="inlineStr">
        <is>
          <t>及長</t>
        </is>
      </c>
      <c r="E74" s="32" t="inlineStr">
        <is>
          <t>中分其財而業之</t>
        </is>
      </c>
      <c r="F74" s="27" t="inlineStr">
        <is>
          <t>世泰孫身</t>
        </is>
      </c>
      <c r="G74" s="26" t="inlineStr">
        <is>
          <t>●</t>
        </is>
      </c>
      <c r="H74" s="29" t="n"/>
      <c r="I74" s="30" t="n"/>
      <c r="J74" s="30" t="n"/>
      <c r="K74" s="30" t="n"/>
      <c r="L74" s="30" t="n"/>
      <c r="M74" s="31" t="n"/>
      <c r="N74" s="29" t="n"/>
      <c r="O74" s="31" t="n"/>
    </row>
    <row r="75" ht="15" customHeight="1" s="16">
      <c r="A75" s="26" t="n">
        <v>74</v>
      </c>
      <c r="B75" s="26" t="n">
        <v>5</v>
      </c>
      <c r="C75" s="26" t="n">
        <v>26</v>
      </c>
      <c r="D75" s="27" t="inlineStr">
        <is>
          <t>中分其財而業之</t>
        </is>
      </c>
      <c r="E75" s="28" t="inlineStr">
        <is>
          <t>世泰孫身</t>
        </is>
      </c>
      <c r="F75" s="27" t="inlineStr">
        <is>
          <t>肥白美麗</t>
        </is>
      </c>
      <c r="G75" s="26" t="n"/>
      <c r="H75" s="29" t="n"/>
      <c r="I75" s="30" t="n"/>
      <c r="J75" s="30" t="n"/>
      <c r="K75" s="30" t="n"/>
      <c r="L75" s="30" t="n"/>
      <c r="M75" s="31" t="n"/>
      <c r="N75" s="29" t="n"/>
      <c r="O75" s="31" t="n"/>
    </row>
    <row r="76" ht="15" customHeight="1" s="16">
      <c r="A76" s="26" t="n">
        <v>75</v>
      </c>
      <c r="B76" s="26" t="n">
        <v>5</v>
      </c>
      <c r="C76" s="26" t="n">
        <v>30</v>
      </c>
      <c r="D76" s="27" t="inlineStr">
        <is>
          <t>惟飛紙鷂</t>
        </is>
      </c>
      <c r="E76" s="28" t="inlineStr">
        <is>
          <t>遊戱皇城中</t>
        </is>
      </c>
      <c r="F76" s="27" t="n"/>
      <c r="G76" s="26" t="n"/>
      <c r="H76" s="29" t="n"/>
      <c r="I76" s="30" t="n"/>
      <c r="J76" s="30" t="n"/>
      <c r="K76" s="30" t="n"/>
      <c r="L76" s="30" t="n"/>
      <c r="M76" s="31" t="n"/>
      <c r="N76" s="29" t="n"/>
      <c r="O76" s="31" t="n"/>
    </row>
    <row r="77" ht="15" customHeight="1" s="16">
      <c r="A77" s="26" t="n">
        <v>76</v>
      </c>
      <c r="B77" s="26" t="n">
        <v>6</v>
      </c>
      <c r="C77" s="26" t="n">
        <v>1</v>
      </c>
      <c r="D77" s="27" t="n"/>
      <c r="E77" s="32" t="inlineStr">
        <is>
          <t>舊時買賣</t>
        </is>
      </c>
      <c r="F77" s="27" t="inlineStr">
        <is>
          <t>不開包檢驗</t>
        </is>
      </c>
      <c r="G77" s="26" t="inlineStr">
        <is>
          <t>●</t>
        </is>
      </c>
      <c r="H77" s="29" t="n"/>
      <c r="I77" s="30" t="n"/>
      <c r="J77" s="30" t="n"/>
      <c r="K77" s="30" t="n"/>
      <c r="L77" s="30" t="n"/>
      <c r="M77" s="31" t="n"/>
      <c r="N77" s="29" t="n"/>
      <c r="O77" s="31" t="n"/>
    </row>
    <row r="78" ht="15" customHeight="1" s="16">
      <c r="A78" s="26" t="n">
        <v>77</v>
      </c>
      <c r="B78" s="26" t="n">
        <v>6</v>
      </c>
      <c r="C78" s="26" t="n">
        <v>2</v>
      </c>
      <c r="D78" s="27" t="inlineStr">
        <is>
          <t>舊時買賣</t>
        </is>
      </c>
      <c r="E78" s="28" t="inlineStr">
        <is>
          <t>不開包檢驗</t>
        </is>
      </c>
      <c r="F78" s="27" t="inlineStr">
        <is>
          <t>直以燕裝還</t>
        </is>
      </c>
      <c r="G78" s="26" t="n"/>
      <c r="H78" s="29" t="n"/>
      <c r="I78" s="30" t="n"/>
      <c r="J78" s="30" t="n"/>
      <c r="K78" s="30" t="n"/>
      <c r="L78" s="30" t="n"/>
      <c r="M78" s="31" t="n"/>
      <c r="N78" s="29" t="n"/>
      <c r="O78" s="31" t="n"/>
    </row>
    <row r="79" ht="15" customHeight="1" s="16">
      <c r="A79" s="26" t="n">
        <v>78</v>
      </c>
      <c r="B79" s="26" t="n">
        <v>6</v>
      </c>
      <c r="C79" s="26" t="n">
        <v>10</v>
      </c>
      <c r="D79" s="27" t="inlineStr">
        <is>
          <t>未閱</t>
        </is>
      </c>
      <c r="E79" s="28" t="inlineStr">
        <is>
          <t>丁丑兩恤</t>
        </is>
      </c>
      <c r="F79" s="27" t="inlineStr">
        <is>
          <t>反獲倍直</t>
        </is>
      </c>
      <c r="G79" s="26" t="n"/>
      <c r="H79" s="29" t="n"/>
      <c r="I79" s="30" t="n"/>
      <c r="J79" s="30" t="n"/>
      <c r="K79" s="30" t="n"/>
      <c r="L79" s="30" t="n"/>
      <c r="M79" s="31" t="n"/>
      <c r="N79" s="29" t="n"/>
      <c r="O79" s="31" t="n"/>
    </row>
    <row r="80" ht="15" customHeight="1" s="16">
      <c r="A80" s="26" t="n">
        <v>79</v>
      </c>
      <c r="B80" s="26" t="n">
        <v>6</v>
      </c>
      <c r="C80" s="26" t="n">
        <v>11</v>
      </c>
      <c r="D80" s="27" t="inlineStr">
        <is>
          <t>丁丑兩恤</t>
        </is>
      </c>
      <c r="E80" s="32" t="inlineStr">
        <is>
          <t>反獲倍直</t>
        </is>
      </c>
      <c r="F80" s="27" t="inlineStr">
        <is>
          <t>然亦彼中不古之徵也</t>
        </is>
      </c>
      <c r="G80" s="26" t="inlineStr">
        <is>
          <t>●</t>
        </is>
      </c>
      <c r="H80" s="29" t="n"/>
      <c r="I80" s="30" t="n"/>
      <c r="J80" s="30" t="n"/>
      <c r="K80" s="30" t="n"/>
      <c r="L80" s="30" t="n"/>
      <c r="M80" s="31" t="n"/>
      <c r="N80" s="29" t="n"/>
      <c r="O80" s="31" t="n"/>
    </row>
    <row r="81" ht="15" customHeight="1" s="16">
      <c r="A81" s="26" t="n">
        <v>80</v>
      </c>
      <c r="B81" s="26" t="n">
        <v>6</v>
      </c>
      <c r="C81" s="26" t="n">
        <v>12</v>
      </c>
      <c r="D81" s="27" t="inlineStr">
        <is>
          <t>反獲倍直</t>
        </is>
      </c>
      <c r="E81" s="28" t="inlineStr">
        <is>
          <t>然亦彼中不古之徵也</t>
        </is>
      </c>
      <c r="F81" s="27" t="inlineStr">
        <is>
          <t>近歲則物貨自裝</t>
        </is>
      </c>
      <c r="G81" s="26" t="n"/>
      <c r="H81" s="29" t="n"/>
      <c r="I81" s="30" t="n"/>
      <c r="J81" s="30" t="n"/>
      <c r="K81" s="30" t="n"/>
      <c r="L81" s="30" t="n"/>
      <c r="M81" s="31" t="n"/>
      <c r="N81" s="29" t="n"/>
      <c r="O81" s="31" t="n"/>
    </row>
    <row r="82" ht="15" customHeight="1" s="16">
      <c r="A82" s="26" t="n">
        <v>81</v>
      </c>
      <c r="B82" s="26" t="n">
        <v>6</v>
      </c>
      <c r="C82" s="26" t="n">
        <v>13</v>
      </c>
      <c r="D82" s="27" t="inlineStr">
        <is>
          <t>然亦彼中不古之徵也</t>
        </is>
      </c>
      <c r="E82" s="32" t="inlineStr">
        <is>
          <t>近歲則物貨自裝</t>
        </is>
      </c>
      <c r="F82" s="27" t="inlineStr">
        <is>
          <t>不任主顧裝送云</t>
        </is>
      </c>
      <c r="G82" s="26" t="inlineStr">
        <is>
          <t>●</t>
        </is>
      </c>
      <c r="H82" s="29" t="n"/>
      <c r="I82" s="30" t="n"/>
      <c r="J82" s="30" t="n"/>
      <c r="K82" s="30" t="n"/>
      <c r="L82" s="30" t="n"/>
      <c r="M82" s="31" t="n"/>
      <c r="N82" s="29" t="n"/>
      <c r="O82" s="31" t="n"/>
    </row>
    <row r="83" ht="15" customHeight="1" s="16">
      <c r="A83" s="26" t="n">
        <v>82</v>
      </c>
      <c r="B83" s="26" t="n">
        <v>6</v>
      </c>
      <c r="C83" s="26" t="n">
        <v>14</v>
      </c>
      <c r="D83" s="27" t="inlineStr">
        <is>
          <t>近歲則物貨自裝</t>
        </is>
      </c>
      <c r="E83" s="28" t="inlineStr">
        <is>
          <t>不任主顧裝送云</t>
        </is>
      </c>
      <c r="F83" s="27" t="n"/>
      <c r="G83" s="26" t="n"/>
      <c r="H83" s="29" t="n"/>
      <c r="I83" s="30" t="n"/>
      <c r="J83" s="30" t="n"/>
      <c r="K83" s="30" t="n"/>
      <c r="L83" s="30" t="n"/>
      <c r="M83" s="31" t="n"/>
      <c r="N83" s="29" t="n"/>
      <c r="O83" s="31" t="n"/>
    </row>
    <row r="84" ht="15" customHeight="1" s="16">
      <c r="A84" s="26" t="n">
        <v>83</v>
      </c>
      <c r="B84" s="26" t="n">
        <v>7</v>
      </c>
      <c r="C84" s="26" t="n">
        <v>1</v>
      </c>
      <c r="D84" s="27" t="n"/>
      <c r="E84" s="28" t="inlineStr">
        <is>
          <t>有言卞承業之病也</t>
        </is>
      </c>
      <c r="F84" s="27" t="inlineStr">
        <is>
          <t>欲閱視貨殖都數</t>
        </is>
      </c>
      <c r="G84" s="26" t="n"/>
      <c r="H84" s="29" t="n"/>
      <c r="I84" s="30" t="n"/>
      <c r="J84" s="30" t="n"/>
      <c r="K84" s="30" t="n"/>
      <c r="L84" s="30" t="n"/>
      <c r="M84" s="31" t="n"/>
      <c r="N84" s="29" t="n"/>
      <c r="O84" s="31" t="n"/>
    </row>
    <row r="85" ht="15" customHeight="1" s="16">
      <c r="A85" s="26" t="n">
        <v>84</v>
      </c>
      <c r="B85" s="26" t="n">
        <v>7</v>
      </c>
      <c r="C85" s="26" t="n">
        <v>2</v>
      </c>
      <c r="D85" s="27" t="inlineStr">
        <is>
          <t>有言卞承業之病也</t>
        </is>
      </c>
      <c r="E85" s="32" t="inlineStr">
        <is>
          <t>欲閱視貨殖都數</t>
        </is>
      </c>
      <c r="F85" s="27" t="inlineStr">
        <is>
          <t>聚諸夥計帳簿</t>
        </is>
      </c>
      <c r="G85" s="26" t="inlineStr">
        <is>
          <t>●</t>
        </is>
      </c>
      <c r="H85" s="29" t="n"/>
      <c r="I85" s="30" t="n"/>
      <c r="J85" s="30" t="n"/>
      <c r="K85" s="30" t="n"/>
      <c r="L85" s="30" t="n"/>
      <c r="M85" s="31" t="n"/>
      <c r="N85" s="29" t="n"/>
      <c r="O85" s="31" t="n"/>
    </row>
    <row r="86" ht="15" customHeight="1" s="16">
      <c r="A86" s="26" t="n">
        <v>85</v>
      </c>
      <c r="B86" s="26" t="n">
        <v>7</v>
      </c>
      <c r="C86" s="26" t="n">
        <v>3</v>
      </c>
      <c r="D86" s="27" t="inlineStr">
        <is>
          <t>欲閱視貨殖都數</t>
        </is>
      </c>
      <c r="E86" s="28" t="inlineStr">
        <is>
          <t>聚諸夥計帳簿</t>
        </is>
      </c>
      <c r="F86" s="27" t="inlineStr">
        <is>
          <t>合籌之</t>
        </is>
      </c>
      <c r="G86" s="26" t="n"/>
      <c r="H86" s="29" t="n"/>
      <c r="I86" s="30" t="n"/>
      <c r="J86" s="30" t="n"/>
      <c r="K86" s="30" t="n"/>
      <c r="L86" s="30" t="n"/>
      <c r="M86" s="31" t="n"/>
      <c r="N86" s="29" t="n"/>
      <c r="O86" s="31" t="n"/>
    </row>
    <row r="87" ht="15" customHeight="1" s="16">
      <c r="A87" s="26" t="n">
        <v>86</v>
      </c>
      <c r="B87" s="26" t="n">
        <v>7</v>
      </c>
      <c r="C87" s="26" t="n">
        <v>4</v>
      </c>
      <c r="D87" s="27" t="inlineStr">
        <is>
          <t>聚諸夥計帳簿</t>
        </is>
      </c>
      <c r="E87" s="28" t="inlineStr">
        <is>
          <t>合籌之</t>
        </is>
      </c>
      <c r="F87" s="27" t="inlineStr">
        <is>
          <t>共銀五十餘萬</t>
        </is>
      </c>
      <c r="G87" s="26" t="n"/>
      <c r="H87" s="29" t="n"/>
      <c r="I87" s="30" t="n"/>
      <c r="J87" s="30" t="n"/>
      <c r="K87" s="30" t="n"/>
      <c r="L87" s="30" t="n"/>
      <c r="M87" s="31" t="n"/>
      <c r="N87" s="29" t="n"/>
      <c r="O87" s="31" t="n"/>
    </row>
    <row r="88" ht="15" customHeight="1" s="16">
      <c r="A88" s="26" t="n">
        <v>87</v>
      </c>
      <c r="B88" s="26" t="n">
        <v>7</v>
      </c>
      <c r="C88" s="26" t="n">
        <v>5</v>
      </c>
      <c r="D88" s="27" t="inlineStr">
        <is>
          <t>合籌之</t>
        </is>
      </c>
      <c r="E88" s="32" t="inlineStr">
        <is>
          <t>共銀五十餘萬</t>
        </is>
      </c>
      <c r="F88" s="27" t="inlineStr">
        <is>
          <t>其子曰</t>
        </is>
      </c>
      <c r="G88" s="26" t="inlineStr">
        <is>
          <t>●</t>
        </is>
      </c>
      <c r="H88" s="29" t="n"/>
      <c r="I88" s="30" t="n"/>
      <c r="J88" s="30" t="n"/>
      <c r="K88" s="30" t="n"/>
      <c r="L88" s="30" t="n"/>
      <c r="M88" s="31" t="n"/>
      <c r="N88" s="29" t="n"/>
      <c r="O88" s="31" t="n"/>
    </row>
    <row r="89" ht="15" customHeight="1" s="16">
      <c r="A89" s="26" t="n">
        <v>88</v>
      </c>
      <c r="B89" s="26" t="n">
        <v>7</v>
      </c>
      <c r="C89" s="26" t="n">
        <v>6</v>
      </c>
      <c r="D89" s="27" t="inlineStr">
        <is>
          <t>共銀五十餘萬</t>
        </is>
      </c>
      <c r="E89" s="28" t="inlineStr">
        <is>
          <t>其子曰</t>
        </is>
      </c>
      <c r="F89" s="27" t="inlineStr">
        <is>
          <t>斂散煩</t>
        </is>
      </c>
      <c r="G89" s="26" t="n"/>
      <c r="H89" s="29" t="n"/>
      <c r="I89" s="30" t="n"/>
      <c r="J89" s="30" t="n"/>
      <c r="K89" s="30" t="n"/>
      <c r="L89" s="30" t="n"/>
      <c r="M89" s="31" t="n"/>
      <c r="N89" s="29" t="n"/>
      <c r="O89" s="31" t="n"/>
    </row>
    <row r="90" ht="15" customHeight="1" s="16">
      <c r="A90" s="26" t="n">
        <v>89</v>
      </c>
      <c r="B90" s="26" t="n">
        <v>7</v>
      </c>
      <c r="C90" s="26" t="n">
        <v>20</v>
      </c>
      <c r="D90" s="27" t="inlineStr">
        <is>
          <t>爲家計者</t>
        </is>
      </c>
      <c r="E90" s="28" t="inlineStr">
        <is>
          <t>鮮及三世矣</t>
        </is>
      </c>
      <c r="F90" s="27" t="inlineStr">
        <is>
          <t>國中之爲財者</t>
        </is>
      </c>
      <c r="G90" s="26" t="n"/>
      <c r="H90" s="29" t="n"/>
      <c r="I90" s="30" t="n"/>
      <c r="J90" s="30" t="n"/>
      <c r="K90" s="30" t="n"/>
      <c r="L90" s="30" t="n"/>
      <c r="M90" s="31" t="n"/>
      <c r="N90" s="29" t="n"/>
      <c r="O90" s="31" t="n"/>
    </row>
    <row r="91" ht="15" customHeight="1" s="16">
      <c r="A91" s="26" t="n">
        <v>90</v>
      </c>
      <c r="B91" s="26" t="n">
        <v>7</v>
      </c>
      <c r="C91" s="26" t="n">
        <v>21</v>
      </c>
      <c r="D91" s="27" t="inlineStr">
        <is>
          <t>鮮及三世矣</t>
        </is>
      </c>
      <c r="E91" s="32" t="inlineStr">
        <is>
          <t>國中之爲財者</t>
        </is>
      </c>
      <c r="F91" s="27" t="inlineStr">
        <is>
          <t>視吾家出入</t>
        </is>
      </c>
      <c r="G91" s="26" t="inlineStr">
        <is>
          <t>●</t>
        </is>
      </c>
      <c r="H91" s="29" t="n"/>
      <c r="I91" s="30" t="n"/>
      <c r="J91" s="30" t="n"/>
      <c r="K91" s="30" t="n"/>
      <c r="L91" s="30" t="n"/>
      <c r="M91" s="31" t="n"/>
      <c r="N91" s="29" t="n"/>
      <c r="O91" s="31" t="n"/>
    </row>
    <row r="92" ht="15" customHeight="1" s="16">
      <c r="A92" s="26" t="n">
        <v>91</v>
      </c>
      <c r="B92" s="26" t="n">
        <v>7</v>
      </c>
      <c r="C92" s="26" t="n">
        <v>22</v>
      </c>
      <c r="D92" s="27" t="inlineStr">
        <is>
          <t>國中之爲財者</t>
        </is>
      </c>
      <c r="E92" s="28" t="inlineStr">
        <is>
          <t>視吾家出入</t>
        </is>
      </c>
      <c r="F92" s="27" t="inlineStr">
        <is>
          <t>爲高下</t>
        </is>
      </c>
      <c r="G92" s="26" t="n"/>
      <c r="H92" s="29" t="n"/>
      <c r="I92" s="30" t="n"/>
      <c r="J92" s="30" t="n"/>
      <c r="K92" s="30" t="n"/>
      <c r="L92" s="30" t="n"/>
      <c r="M92" s="31" t="n"/>
      <c r="N92" s="29" t="n"/>
      <c r="O92" s="31" t="n"/>
    </row>
    <row r="93" ht="15" customHeight="1" s="16">
      <c r="A93" s="26" t="n">
        <v>92</v>
      </c>
      <c r="B93" s="26" t="n">
        <v>7</v>
      </c>
      <c r="C93" s="26" t="n">
        <v>26</v>
      </c>
      <c r="D93" s="27" t="inlineStr">
        <is>
          <t>不散</t>
        </is>
      </c>
      <c r="E93" s="28" t="inlineStr">
        <is>
          <t>且及禍</t>
        </is>
      </c>
      <c r="F93" s="27" t="inlineStr">
        <is>
          <t>故其子孫蕃而擧貧窶者</t>
        </is>
      </c>
      <c r="G93" s="26" t="n"/>
      <c r="H93" s="29" t="n"/>
      <c r="I93" s="30" t="n"/>
      <c r="J93" s="30" t="n"/>
      <c r="K93" s="30" t="n"/>
      <c r="L93" s="30" t="n"/>
      <c r="M93" s="31" t="n"/>
      <c r="N93" s="29" t="n"/>
      <c r="O93" s="31" t="n"/>
    </row>
    <row r="94" ht="15" customHeight="1" s="16">
      <c r="A94" s="26" t="n">
        <v>93</v>
      </c>
      <c r="B94" s="26" t="n">
        <v>7</v>
      </c>
      <c r="C94" s="26" t="n">
        <v>27</v>
      </c>
      <c r="D94" s="27" t="inlineStr">
        <is>
          <t>且及禍</t>
        </is>
      </c>
      <c r="E94" s="32" t="inlineStr">
        <is>
          <t>故其子孫蕃而擧貧窶者</t>
        </is>
      </c>
      <c r="F94" s="27" t="inlineStr">
        <is>
          <t>承業旣老</t>
        </is>
      </c>
      <c r="G94" s="26" t="inlineStr">
        <is>
          <t>●</t>
        </is>
      </c>
      <c r="H94" s="29" t="n"/>
      <c r="I94" s="30" t="n"/>
      <c r="J94" s="30" t="n"/>
      <c r="K94" s="30" t="n"/>
      <c r="L94" s="30" t="n"/>
      <c r="M94" s="31" t="n"/>
      <c r="N94" s="29" t="n"/>
      <c r="O94" s="31" t="n"/>
    </row>
    <row r="95" ht="15" customHeight="1" s="16">
      <c r="A95" s="26" t="n">
        <v>94</v>
      </c>
      <c r="B95" s="26" t="n">
        <v>7</v>
      </c>
      <c r="C95" s="26" t="n">
        <v>28</v>
      </c>
      <c r="D95" s="27" t="inlineStr">
        <is>
          <t>故其子孫蕃而擧貧窶者</t>
        </is>
      </c>
      <c r="E95" s="28" t="inlineStr">
        <is>
          <t>承業旣老</t>
        </is>
      </c>
      <c r="F95" s="27" t="inlineStr">
        <is>
          <t>多散之也</t>
        </is>
      </c>
      <c r="G95" s="26" t="n"/>
      <c r="H95" s="29" t="n"/>
      <c r="I95" s="30" t="n"/>
      <c r="J95" s="30" t="n"/>
      <c r="K95" s="30" t="n"/>
      <c r="L95" s="30" t="n"/>
      <c r="M95" s="31" t="n"/>
      <c r="N95" s="29" t="n"/>
      <c r="O95" s="31" t="n"/>
    </row>
    <row r="96" ht="15" customHeight="1" s="16">
      <c r="A96" s="26" t="n">
        <v>95</v>
      </c>
      <c r="B96" s="26" t="n">
        <v>8</v>
      </c>
      <c r="C96" s="26" t="n">
        <v>1</v>
      </c>
      <c r="D96" s="27" t="n"/>
      <c r="E96" s="28" t="inlineStr">
        <is>
          <t>余亦言有尹映者</t>
        </is>
      </c>
      <c r="F96" s="27" t="inlineStr">
        <is>
          <t>嘗道卞承業之富</t>
        </is>
      </c>
      <c r="G96" s="26" t="n"/>
      <c r="H96" s="29" t="n"/>
      <c r="I96" s="30" t="n"/>
      <c r="J96" s="30" t="n"/>
      <c r="K96" s="30" t="n"/>
      <c r="L96" s="30" t="n"/>
      <c r="M96" s="31" t="n"/>
      <c r="N96" s="29" t="n"/>
      <c r="O96" s="31" t="n"/>
    </row>
    <row r="97" ht="15" customHeight="1" s="16">
      <c r="A97" s="26" t="n">
        <v>96</v>
      </c>
      <c r="B97" s="26" t="n">
        <v>8</v>
      </c>
      <c r="C97" s="26" t="n">
        <v>2</v>
      </c>
      <c r="D97" s="27" t="inlineStr">
        <is>
          <t>余亦言有尹映者</t>
        </is>
      </c>
      <c r="E97" s="32" t="inlineStr">
        <is>
          <t>嘗道卞承業之富</t>
        </is>
      </c>
      <c r="F97" s="27" t="inlineStr">
        <is>
          <t>其貨財有自來</t>
        </is>
      </c>
      <c r="G97" s="26" t="inlineStr">
        <is>
          <t>●</t>
        </is>
      </c>
      <c r="H97" s="29" t="n"/>
      <c r="I97" s="30" t="n"/>
      <c r="J97" s="30" t="n"/>
      <c r="K97" s="30" t="n"/>
      <c r="L97" s="30" t="n"/>
      <c r="M97" s="31" t="n"/>
      <c r="N97" s="29" t="n"/>
      <c r="O97" s="31" t="n"/>
    </row>
    <row r="98" ht="15" customHeight="1" s="16">
      <c r="A98" s="26" t="n">
        <v>97</v>
      </c>
      <c r="B98" s="26" t="n">
        <v>8</v>
      </c>
      <c r="C98" s="26" t="n">
        <v>3</v>
      </c>
      <c r="D98" s="27" t="inlineStr">
        <is>
          <t>嘗道卞承業之富</t>
        </is>
      </c>
      <c r="E98" s="32" t="inlineStr">
        <is>
          <t>其貨財有自來</t>
        </is>
      </c>
      <c r="F98" s="27" t="inlineStr">
        <is>
          <t>富甲一國</t>
        </is>
      </c>
      <c r="G98" s="26" t="inlineStr">
        <is>
          <t>●</t>
        </is>
      </c>
      <c r="H98" s="29" t="n"/>
      <c r="I98" s="30" t="n"/>
      <c r="J98" s="30" t="n"/>
      <c r="K98" s="30" t="n"/>
      <c r="L98" s="30" t="n"/>
      <c r="M98" s="31" t="n"/>
      <c r="N98" s="29" t="n"/>
      <c r="O98" s="31" t="n"/>
    </row>
    <row r="99" ht="15" customHeight="1" s="16">
      <c r="A99" s="26" t="n">
        <v>98</v>
      </c>
      <c r="B99" s="26" t="n">
        <v>8</v>
      </c>
      <c r="C99" s="26" t="n">
        <v>4</v>
      </c>
      <c r="D99" s="27" t="inlineStr">
        <is>
          <t>其貨財有自來</t>
        </is>
      </c>
      <c r="E99" s="32" t="inlineStr">
        <is>
          <t>富甲一國</t>
        </is>
      </c>
      <c r="F99" s="27" t="inlineStr">
        <is>
          <t>至承業時少衰</t>
        </is>
      </c>
      <c r="G99" s="26" t="inlineStr">
        <is>
          <t>●</t>
        </is>
      </c>
      <c r="H99" s="29" t="n"/>
      <c r="I99" s="30" t="n"/>
      <c r="J99" s="30" t="n"/>
      <c r="K99" s="30" t="n"/>
      <c r="L99" s="30" t="n"/>
      <c r="M99" s="31" t="n"/>
      <c r="N99" s="29" t="n"/>
      <c r="O99" s="31" t="n"/>
    </row>
    <row r="100" ht="15" customHeight="1" s="16">
      <c r="A100" s="26" t="n">
        <v>99</v>
      </c>
      <c r="B100" s="26" t="n">
        <v>8</v>
      </c>
      <c r="C100" s="26" t="n">
        <v>5</v>
      </c>
      <c r="D100" s="27" t="inlineStr">
        <is>
          <t>富甲一國</t>
        </is>
      </c>
      <c r="E100" s="28" t="inlineStr">
        <is>
          <t>至承業時少衰</t>
        </is>
      </c>
      <c r="F100" s="27" t="inlineStr">
        <is>
          <t>方其初起時</t>
        </is>
      </c>
      <c r="G100" s="26" t="n"/>
      <c r="H100" s="29" t="n"/>
      <c r="I100" s="30" t="n"/>
      <c r="J100" s="30" t="n"/>
      <c r="K100" s="30" t="n"/>
      <c r="L100" s="30" t="n"/>
      <c r="M100" s="31" t="n"/>
      <c r="N100" s="29" t="n"/>
      <c r="O100" s="31" t="n"/>
    </row>
    <row r="101" ht="15" customHeight="1" s="16">
      <c r="A101" s="26" t="n">
        <v>100</v>
      </c>
      <c r="B101" s="26" t="n">
        <v>9</v>
      </c>
      <c r="C101" s="26" t="n">
        <v>20</v>
      </c>
      <c r="D101" s="27" t="inlineStr">
        <is>
          <t>工未素學奈何</t>
        </is>
      </c>
      <c r="E101" s="28" t="inlineStr">
        <is>
          <t>妻曰</t>
        </is>
      </c>
      <c r="F101" s="27" t="inlineStr">
        <is>
          <t>不有商乎</t>
        </is>
      </c>
      <c r="G101" s="26" t="n"/>
      <c r="H101" s="29" t="n"/>
      <c r="I101" s="30" t="n"/>
      <c r="J101" s="30" t="n"/>
      <c r="K101" s="30" t="n"/>
      <c r="L101" s="30" t="n"/>
      <c r="M101" s="31" t="n"/>
      <c r="N101" s="29" t="n"/>
      <c r="O101" s="31" t="n"/>
    </row>
    <row r="102" ht="15" customHeight="1" s="16">
      <c r="A102" s="26" t="n">
        <v>101</v>
      </c>
      <c r="B102" s="26" t="n">
        <v>9</v>
      </c>
      <c r="C102" s="26" t="n">
        <v>21</v>
      </c>
      <c r="D102" s="27" t="inlineStr">
        <is>
          <t>妻曰</t>
        </is>
      </c>
      <c r="E102" s="32" t="inlineStr">
        <is>
          <t>不有商乎</t>
        </is>
      </c>
      <c r="F102" s="27" t="inlineStr">
        <is>
          <t>生曰</t>
        </is>
      </c>
      <c r="G102" s="26" t="inlineStr">
        <is>
          <t>●</t>
        </is>
      </c>
      <c r="H102" s="29" t="n"/>
      <c r="I102" s="30" t="n"/>
      <c r="J102" s="30" t="n"/>
      <c r="K102" s="30" t="n"/>
      <c r="L102" s="30" t="n"/>
      <c r="M102" s="31" t="n"/>
      <c r="N102" s="29" t="n"/>
      <c r="O102" s="31" t="n"/>
    </row>
    <row r="103" ht="15" customHeight="1" s="16">
      <c r="A103" s="26" t="n">
        <v>102</v>
      </c>
      <c r="B103" s="26" t="n">
        <v>9</v>
      </c>
      <c r="C103" s="26" t="n">
        <v>22</v>
      </c>
      <c r="D103" s="27" t="inlineStr">
        <is>
          <t>不有商乎</t>
        </is>
      </c>
      <c r="E103" s="28" t="inlineStr">
        <is>
          <t>生曰</t>
        </is>
      </c>
      <c r="F103" s="27" t="inlineStr">
        <is>
          <t>商無本錢奈何</t>
        </is>
      </c>
      <c r="G103" s="26" t="n"/>
      <c r="H103" s="29" t="n"/>
      <c r="I103" s="30" t="n"/>
      <c r="J103" s="30" t="n"/>
      <c r="K103" s="30" t="n"/>
      <c r="L103" s="30" t="n"/>
      <c r="M103" s="31" t="n"/>
      <c r="N103" s="29" t="n"/>
      <c r="O103" s="31" t="n"/>
    </row>
    <row r="104" ht="15" customHeight="1" s="16">
      <c r="A104" s="26" t="n">
        <v>103</v>
      </c>
      <c r="B104" s="26" t="n">
        <v>9</v>
      </c>
      <c r="C104" s="26" t="n">
        <v>23</v>
      </c>
      <c r="D104" s="27" t="inlineStr">
        <is>
          <t>生曰</t>
        </is>
      </c>
      <c r="E104" s="32" t="inlineStr">
        <is>
          <t>商無本錢奈何</t>
        </is>
      </c>
      <c r="F104" s="27" t="inlineStr">
        <is>
          <t>其妻恚且罵曰</t>
        </is>
      </c>
      <c r="G104" s="26" t="inlineStr">
        <is>
          <t>●</t>
        </is>
      </c>
      <c r="H104" s="29" t="n"/>
      <c r="I104" s="30" t="n"/>
      <c r="J104" s="30" t="n"/>
      <c r="K104" s="30" t="n"/>
      <c r="L104" s="30" t="n"/>
      <c r="M104" s="31" t="n"/>
      <c r="N104" s="29" t="n"/>
      <c r="O104" s="31" t="n"/>
    </row>
    <row r="105" ht="15" customHeight="1" s="16">
      <c r="A105" s="26" t="n">
        <v>104</v>
      </c>
      <c r="B105" s="26" t="n">
        <v>9</v>
      </c>
      <c r="C105" s="26" t="n">
        <v>24</v>
      </c>
      <c r="D105" s="27" t="inlineStr">
        <is>
          <t>商無本錢奈何</t>
        </is>
      </c>
      <c r="E105" s="28" t="inlineStr">
        <is>
          <t>其妻恚且罵曰</t>
        </is>
      </c>
      <c r="F105" s="27" t="inlineStr">
        <is>
          <t>晝夜讀書</t>
        </is>
      </c>
      <c r="G105" s="26" t="n"/>
      <c r="H105" s="29" t="n"/>
      <c r="I105" s="30" t="n"/>
      <c r="J105" s="30" t="n"/>
      <c r="K105" s="30" t="n"/>
      <c r="L105" s="30" t="n"/>
      <c r="M105" s="31" t="n"/>
      <c r="N105" s="29" t="n"/>
      <c r="O105" s="31" t="n"/>
    </row>
    <row r="106" ht="15" customHeight="1" s="16">
      <c r="A106" s="26" t="n">
        <v>105</v>
      </c>
      <c r="B106" s="26" t="n">
        <v>9</v>
      </c>
      <c r="C106" s="26" t="n">
        <v>27</v>
      </c>
      <c r="D106" s="27" t="inlineStr">
        <is>
          <t>只學奈何</t>
        </is>
      </c>
      <c r="E106" s="28" t="inlineStr">
        <is>
          <t>不工</t>
        </is>
      </c>
      <c r="F106" s="27" t="inlineStr">
        <is>
          <t>不商</t>
        </is>
      </c>
      <c r="G106" s="26" t="n"/>
      <c r="H106" s="29" t="n"/>
      <c r="I106" s="30" t="n"/>
      <c r="J106" s="30" t="n"/>
      <c r="K106" s="30" t="n"/>
      <c r="L106" s="30" t="n"/>
      <c r="M106" s="31" t="n"/>
      <c r="N106" s="29" t="n"/>
      <c r="O106" s="31" t="n"/>
    </row>
    <row r="107" ht="15" customHeight="1" s="16">
      <c r="A107" s="26" t="n">
        <v>106</v>
      </c>
      <c r="B107" s="26" t="n">
        <v>9</v>
      </c>
      <c r="C107" s="26" t="n">
        <v>28</v>
      </c>
      <c r="D107" s="27" t="inlineStr">
        <is>
          <t>不工</t>
        </is>
      </c>
      <c r="E107" s="32" t="inlineStr">
        <is>
          <t>不商</t>
        </is>
      </c>
      <c r="F107" s="27" t="inlineStr">
        <is>
          <t>何不盜賊</t>
        </is>
      </c>
      <c r="G107" s="26" t="inlineStr">
        <is>
          <t>●</t>
        </is>
      </c>
      <c r="H107" s="29" t="n"/>
      <c r="I107" s="30" t="n"/>
      <c r="J107" s="30" t="n"/>
      <c r="K107" s="30" t="n"/>
      <c r="L107" s="30" t="n"/>
      <c r="M107" s="31" t="n"/>
      <c r="N107" s="29" t="n"/>
      <c r="O107" s="31" t="n"/>
    </row>
    <row r="108" ht="15" customHeight="1" s="16">
      <c r="A108" s="26" t="n">
        <v>107</v>
      </c>
      <c r="B108" s="26" t="n">
        <v>9</v>
      </c>
      <c r="C108" s="26" t="n">
        <v>29</v>
      </c>
      <c r="D108" s="27" t="inlineStr">
        <is>
          <t>不商</t>
        </is>
      </c>
      <c r="E108" s="28" t="inlineStr">
        <is>
          <t>何不盜賊</t>
        </is>
      </c>
      <c r="F108" s="27" t="inlineStr">
        <is>
          <t>許生掩卷起曰</t>
        </is>
      </c>
      <c r="G108" s="26" t="n"/>
      <c r="H108" s="29" t="n"/>
      <c r="I108" s="30" t="n"/>
      <c r="J108" s="30" t="n"/>
      <c r="K108" s="30" t="n"/>
      <c r="L108" s="30" t="n"/>
      <c r="M108" s="31" t="n"/>
      <c r="N108" s="29" t="n"/>
      <c r="O108" s="31" t="n"/>
    </row>
    <row r="109" ht="15" customHeight="1" s="16">
      <c r="A109" s="26" t="n">
        <v>108</v>
      </c>
      <c r="B109" s="26" t="n">
        <v>9</v>
      </c>
      <c r="C109" s="26" t="n">
        <v>37</v>
      </c>
      <c r="D109" s="27" t="inlineStr">
        <is>
          <t>直之雲從街</t>
        </is>
      </c>
      <c r="E109" s="28" t="inlineStr">
        <is>
          <t>問市中人曰</t>
        </is>
      </c>
      <c r="F109" s="27" t="inlineStr">
        <is>
          <t>漢陽中誰最富</t>
        </is>
      </c>
      <c r="G109" s="26" t="n"/>
      <c r="H109" s="29" t="n"/>
      <c r="I109" s="30" t="n"/>
      <c r="J109" s="30" t="n"/>
      <c r="K109" s="30" t="n"/>
      <c r="L109" s="30" t="n"/>
      <c r="M109" s="31" t="n"/>
      <c r="N109" s="29" t="n"/>
      <c r="O109" s="31" t="n"/>
    </row>
    <row r="110" ht="15" customHeight="1" s="16">
      <c r="A110" s="26" t="n">
        <v>109</v>
      </c>
      <c r="B110" s="26" t="n">
        <v>9</v>
      </c>
      <c r="C110" s="26" t="n">
        <v>38</v>
      </c>
      <c r="D110" s="27" t="inlineStr">
        <is>
          <t>問市中人曰</t>
        </is>
      </c>
      <c r="E110" s="32" t="inlineStr">
        <is>
          <t>漢陽中誰最富</t>
        </is>
      </c>
      <c r="F110" s="27" t="inlineStr">
        <is>
          <t>有道卞氏者</t>
        </is>
      </c>
      <c r="G110" s="26" t="inlineStr">
        <is>
          <t>●</t>
        </is>
      </c>
      <c r="H110" s="29" t="n"/>
      <c r="I110" s="30" t="n"/>
      <c r="J110" s="30" t="n"/>
      <c r="K110" s="30" t="n"/>
      <c r="L110" s="30" t="n"/>
      <c r="M110" s="31" t="n"/>
      <c r="N110" s="29" t="n"/>
      <c r="O110" s="31" t="n"/>
    </row>
    <row r="111" ht="15" customHeight="1" s="16">
      <c r="A111" s="26" t="n">
        <v>110</v>
      </c>
      <c r="B111" s="26" t="n">
        <v>9</v>
      </c>
      <c r="C111" s="26" t="n">
        <v>39</v>
      </c>
      <c r="D111" s="27" t="inlineStr">
        <is>
          <t>漢陽中誰最富</t>
        </is>
      </c>
      <c r="E111" s="28" t="inlineStr">
        <is>
          <t>有道卞氏者</t>
        </is>
      </c>
      <c r="F111" s="27" t="inlineStr">
        <is>
          <t>遂訪其家</t>
        </is>
      </c>
      <c r="G111" s="26" t="n"/>
      <c r="H111" s="29" t="n"/>
      <c r="I111" s="30" t="n"/>
      <c r="J111" s="30" t="n"/>
      <c r="K111" s="30" t="n"/>
      <c r="L111" s="30" t="n"/>
      <c r="M111" s="31" t="n"/>
      <c r="N111" s="29" t="n"/>
      <c r="O111" s="31" t="n"/>
    </row>
    <row r="112" ht="15" customHeight="1" s="16">
      <c r="A112" s="26" t="n">
        <v>111</v>
      </c>
      <c r="B112" s="26" t="n">
        <v>9</v>
      </c>
      <c r="C112" s="26" t="n">
        <v>41</v>
      </c>
      <c r="D112" s="27" t="inlineStr">
        <is>
          <t>遂訪其家</t>
        </is>
      </c>
      <c r="E112" s="28" t="inlineStr">
        <is>
          <t>許生長揖曰</t>
        </is>
      </c>
      <c r="F112" s="27" t="inlineStr">
        <is>
          <t>吾家貧</t>
        </is>
      </c>
      <c r="G112" s="26" t="n"/>
      <c r="H112" s="29" t="n"/>
      <c r="I112" s="30" t="n"/>
      <c r="J112" s="30" t="n"/>
      <c r="K112" s="30" t="n"/>
      <c r="L112" s="30" t="n"/>
      <c r="M112" s="31" t="n"/>
      <c r="N112" s="29" t="n"/>
      <c r="O112" s="31" t="n"/>
    </row>
    <row r="113" ht="15" customHeight="1" s="16">
      <c r="A113" s="26" t="n">
        <v>112</v>
      </c>
      <c r="B113" s="26" t="n">
        <v>9</v>
      </c>
      <c r="C113" s="26" t="n">
        <v>42</v>
      </c>
      <c r="D113" s="27" t="inlineStr">
        <is>
          <t>許生長揖曰</t>
        </is>
      </c>
      <c r="E113" s="32" t="inlineStr">
        <is>
          <t>吾家貧</t>
        </is>
      </c>
      <c r="F113" s="27" t="inlineStr">
        <is>
          <t>欲有所小試</t>
        </is>
      </c>
      <c r="G113" s="26" t="inlineStr">
        <is>
          <t>●</t>
        </is>
      </c>
      <c r="H113" s="29" t="n"/>
      <c r="I113" s="30" t="n"/>
      <c r="J113" s="30" t="n"/>
      <c r="K113" s="30" t="n"/>
      <c r="L113" s="30" t="n"/>
      <c r="M113" s="31" t="n"/>
      <c r="N113" s="29" t="n"/>
      <c r="O113" s="31" t="n"/>
    </row>
    <row r="114" ht="15" customHeight="1" s="16">
      <c r="A114" s="26" t="n">
        <v>113</v>
      </c>
      <c r="B114" s="26" t="n">
        <v>9</v>
      </c>
      <c r="C114" s="26" t="n">
        <v>43</v>
      </c>
      <c r="D114" s="27" t="inlineStr">
        <is>
          <t>吾家貧</t>
        </is>
      </c>
      <c r="E114" s="28" t="inlineStr">
        <is>
          <t>欲有所小試</t>
        </is>
      </c>
      <c r="F114" s="27" t="inlineStr">
        <is>
          <t>願從君借萬金</t>
        </is>
      </c>
      <c r="G114" s="26" t="n"/>
      <c r="H114" s="29" t="n"/>
      <c r="I114" s="30" t="n"/>
      <c r="J114" s="30" t="n"/>
      <c r="K114" s="30" t="n"/>
      <c r="L114" s="30" t="n"/>
      <c r="M114" s="31" t="n"/>
      <c r="N114" s="29" t="n"/>
      <c r="O114" s="31" t="n"/>
    </row>
    <row r="115" ht="15" customHeight="1" s="16">
      <c r="A115" s="26" t="n">
        <v>114</v>
      </c>
      <c r="B115" s="26" t="n">
        <v>9</v>
      </c>
      <c r="C115" s="26" t="n">
        <v>44</v>
      </c>
      <c r="D115" s="27" t="inlineStr">
        <is>
          <t>欲有所小試</t>
        </is>
      </c>
      <c r="E115" s="32" t="inlineStr">
        <is>
          <t>願從君借萬金</t>
        </is>
      </c>
      <c r="F115" s="27" t="inlineStr">
        <is>
          <t>卞氏曰</t>
        </is>
      </c>
      <c r="G115" s="26" t="inlineStr">
        <is>
          <t>●</t>
        </is>
      </c>
      <c r="H115" s="29" t="n"/>
      <c r="I115" s="30" t="n"/>
      <c r="J115" s="30" t="n"/>
      <c r="K115" s="30" t="n"/>
      <c r="L115" s="30" t="n"/>
      <c r="M115" s="31" t="n"/>
      <c r="N115" s="29" t="n"/>
      <c r="O115" s="31" t="n"/>
    </row>
    <row r="116" ht="15" customHeight="1" s="16">
      <c r="A116" s="26" t="n">
        <v>115</v>
      </c>
      <c r="B116" s="26" t="n">
        <v>9</v>
      </c>
      <c r="C116" s="26" t="n">
        <v>45</v>
      </c>
      <c r="D116" s="27" t="inlineStr">
        <is>
          <t>願從君借萬金</t>
        </is>
      </c>
      <c r="E116" s="28" t="inlineStr">
        <is>
          <t>卞氏曰</t>
        </is>
      </c>
      <c r="F116" s="27" t="inlineStr">
        <is>
          <t>諾</t>
        </is>
      </c>
      <c r="G116" s="26" t="n"/>
      <c r="H116" s="29" t="n"/>
      <c r="I116" s="30" t="n"/>
      <c r="J116" s="30" t="n"/>
      <c r="K116" s="30" t="n"/>
      <c r="L116" s="30" t="n"/>
      <c r="M116" s="31" t="n"/>
      <c r="N116" s="29" t="n"/>
      <c r="O116" s="31" t="n"/>
    </row>
    <row r="117" ht="15" customHeight="1" s="16">
      <c r="A117" s="26" t="n">
        <v>116</v>
      </c>
      <c r="B117" s="26" t="n">
        <v>9</v>
      </c>
      <c r="C117" s="26" t="n">
        <v>46</v>
      </c>
      <c r="D117" s="27" t="inlineStr">
        <is>
          <t>卞氏曰</t>
        </is>
      </c>
      <c r="E117" s="28" t="inlineStr">
        <is>
          <t>諾</t>
        </is>
      </c>
      <c r="F117" s="27" t="inlineStr">
        <is>
          <t>立與萬金</t>
        </is>
      </c>
      <c r="G117" s="26" t="n"/>
      <c r="H117" s="29" t="n"/>
      <c r="I117" s="30" t="n"/>
      <c r="J117" s="30" t="n"/>
      <c r="K117" s="30" t="n"/>
      <c r="L117" s="30" t="n"/>
      <c r="M117" s="31" t="n"/>
      <c r="N117" s="29" t="n"/>
      <c r="O117" s="31" t="n"/>
    </row>
    <row r="118" ht="15" customHeight="1" s="16">
      <c r="A118" s="26" t="n">
        <v>117</v>
      </c>
      <c r="B118" s="26" t="n">
        <v>9</v>
      </c>
      <c r="C118" s="26" t="n">
        <v>47</v>
      </c>
      <c r="D118" s="27" t="inlineStr">
        <is>
          <t>諾</t>
        </is>
      </c>
      <c r="E118" s="32" t="inlineStr">
        <is>
          <t>立與萬金</t>
        </is>
      </c>
      <c r="F118" s="27" t="inlineStr">
        <is>
          <t>客竟不謝而去</t>
        </is>
      </c>
      <c r="G118" s="26" t="inlineStr">
        <is>
          <t>●</t>
        </is>
      </c>
      <c r="H118" s="29" t="n"/>
      <c r="I118" s="30" t="n"/>
      <c r="J118" s="30" t="n"/>
      <c r="K118" s="30" t="n"/>
      <c r="L118" s="30" t="n"/>
      <c r="M118" s="31" t="n"/>
      <c r="N118" s="29" t="n"/>
      <c r="O118" s="31" t="n"/>
    </row>
    <row r="119" ht="15" customHeight="1" s="16">
      <c r="A119" s="26" t="n">
        <v>118</v>
      </c>
      <c r="B119" s="26" t="n">
        <v>9</v>
      </c>
      <c r="C119" s="26" t="n">
        <v>48</v>
      </c>
      <c r="D119" s="27" t="inlineStr">
        <is>
          <t>立與萬金</t>
        </is>
      </c>
      <c r="E119" s="28" t="inlineStr">
        <is>
          <t>客竟不謝而去</t>
        </is>
      </c>
      <c r="F119" s="27" t="inlineStr">
        <is>
          <t>子弟賓客</t>
        </is>
      </c>
      <c r="G119" s="26" t="n"/>
      <c r="H119" s="29" t="n"/>
      <c r="I119" s="30" t="n"/>
      <c r="J119" s="30" t="n"/>
      <c r="K119" s="30" t="n"/>
      <c r="L119" s="30" t="n"/>
      <c r="M119" s="31" t="n"/>
      <c r="N119" s="29" t="n"/>
      <c r="O119" s="31" t="n"/>
    </row>
    <row r="120" ht="29.85" customHeight="1" s="16">
      <c r="A120" s="26" t="n">
        <v>119</v>
      </c>
      <c r="B120" s="26" t="n">
        <v>9</v>
      </c>
      <c r="C120" s="26" t="n">
        <v>61</v>
      </c>
      <c r="D120" s="27" t="inlineStr">
        <is>
          <t>不知也</t>
        </is>
      </c>
      <c r="E120" s="28" t="inlineStr">
        <is>
          <t>今一朝</t>
        </is>
      </c>
      <c r="F120" s="27" t="inlineStr">
        <is>
          <t>浪空擲萬金於生平所不知何人</t>
        </is>
      </c>
      <c r="G120" s="26" t="n"/>
      <c r="H120" s="29" t="n"/>
      <c r="I120" s="30" t="n"/>
      <c r="J120" s="30" t="n"/>
      <c r="K120" s="30" t="n"/>
      <c r="L120" s="30" t="n"/>
      <c r="M120" s="31" t="n"/>
      <c r="N120" s="29" t="n"/>
      <c r="O120" s="31" t="n"/>
    </row>
    <row r="121" ht="15" customHeight="1" s="16">
      <c r="A121" s="26" t="n">
        <v>120</v>
      </c>
      <c r="B121" s="26" t="n">
        <v>9</v>
      </c>
      <c r="C121" s="26" t="n">
        <v>62</v>
      </c>
      <c r="D121" s="27" t="inlineStr">
        <is>
          <t>今一朝</t>
        </is>
      </c>
      <c r="E121" s="32" t="inlineStr">
        <is>
          <t>浪空擲萬金於生平所不知何人</t>
        </is>
      </c>
      <c r="F121" s="27" t="inlineStr">
        <is>
          <t>而不問其</t>
        </is>
      </c>
      <c r="G121" s="26" t="inlineStr">
        <is>
          <t>●</t>
        </is>
      </c>
      <c r="H121" s="29" t="n"/>
      <c r="I121" s="30" t="n"/>
      <c r="J121" s="30" t="n"/>
      <c r="K121" s="30" t="n"/>
      <c r="L121" s="30" t="n"/>
      <c r="M121" s="31" t="n"/>
      <c r="N121" s="29" t="n"/>
      <c r="O121" s="31" t="n"/>
    </row>
    <row r="122" ht="29.85" customHeight="1" s="16">
      <c r="A122" s="26" t="n">
        <v>121</v>
      </c>
      <c r="B122" s="26" t="n">
        <v>9</v>
      </c>
      <c r="C122" s="26" t="n">
        <v>63</v>
      </c>
      <c r="D122" s="27" t="inlineStr">
        <is>
          <t>浪空擲萬金於生平所不知何人</t>
        </is>
      </c>
      <c r="E122" s="28" t="inlineStr">
        <is>
          <t>而不問其</t>
        </is>
      </c>
      <c r="F122" s="27" t="inlineStr">
        <is>
          <t>姓名何也</t>
        </is>
      </c>
      <c r="G122" s="26" t="n"/>
      <c r="H122" s="29" t="n"/>
      <c r="I122" s="30" t="n"/>
      <c r="J122" s="30" t="n"/>
      <c r="K122" s="30" t="n"/>
      <c r="L122" s="30" t="n"/>
      <c r="M122" s="31" t="n"/>
      <c r="N122" s="29" t="n"/>
      <c r="O122" s="31" t="n"/>
    </row>
    <row r="123" ht="15" customHeight="1" s="16">
      <c r="A123" s="26" t="n">
        <v>122</v>
      </c>
      <c r="B123" s="26" t="n">
        <v>9</v>
      </c>
      <c r="C123" s="26" t="n">
        <v>79</v>
      </c>
      <c r="D123" s="27" t="inlineStr">
        <is>
          <t>吾亦有所試於客</t>
        </is>
      </c>
      <c r="E123" s="28" t="inlineStr">
        <is>
          <t>不與則已</t>
        </is>
      </c>
      <c r="F123" s="27" t="inlineStr">
        <is>
          <t>旣與之萬金</t>
        </is>
      </c>
      <c r="G123" s="26" t="n"/>
      <c r="H123" s="29" t="n"/>
      <c r="I123" s="30" t="n"/>
      <c r="J123" s="30" t="n"/>
      <c r="K123" s="30" t="n"/>
      <c r="L123" s="30" t="n"/>
      <c r="M123" s="31" t="n"/>
      <c r="N123" s="29" t="n"/>
      <c r="O123" s="31" t="n"/>
    </row>
    <row r="124" ht="15" customHeight="1" s="16">
      <c r="A124" s="26" t="n">
        <v>123</v>
      </c>
      <c r="B124" s="26" t="n">
        <v>9</v>
      </c>
      <c r="C124" s="26" t="n">
        <v>80</v>
      </c>
      <c r="D124" s="27" t="inlineStr">
        <is>
          <t>不與則已</t>
        </is>
      </c>
      <c r="E124" s="32" t="inlineStr">
        <is>
          <t>旣與之萬金</t>
        </is>
      </c>
      <c r="F124" s="27" t="inlineStr">
        <is>
          <t>問姓名何爲</t>
        </is>
      </c>
      <c r="G124" s="26" t="inlineStr">
        <is>
          <t>●</t>
        </is>
      </c>
      <c r="H124" s="29" t="n"/>
      <c r="I124" s="30" t="n"/>
      <c r="J124" s="30" t="n"/>
      <c r="K124" s="30" t="n"/>
      <c r="L124" s="30" t="n"/>
      <c r="M124" s="31" t="n"/>
      <c r="N124" s="29" t="n"/>
      <c r="O124" s="31" t="n"/>
    </row>
    <row r="125" ht="15" customHeight="1" s="16">
      <c r="A125" s="26" t="n">
        <v>124</v>
      </c>
      <c r="B125" s="26" t="n">
        <v>9</v>
      </c>
      <c r="C125" s="26" t="n">
        <v>81</v>
      </c>
      <c r="D125" s="27" t="inlineStr">
        <is>
          <t>旣與之萬金</t>
        </is>
      </c>
      <c r="E125" s="28" t="inlineStr">
        <is>
          <t>問姓名何爲</t>
        </is>
      </c>
      <c r="F125" s="27" t="inlineStr">
        <is>
          <t>於是許生旣得萬金</t>
        </is>
      </c>
      <c r="G125" s="26" t="n"/>
      <c r="H125" s="29" t="n"/>
      <c r="I125" s="30" t="n"/>
      <c r="J125" s="30" t="n"/>
      <c r="K125" s="30" t="n"/>
      <c r="L125" s="30" t="n"/>
      <c r="M125" s="31" t="n"/>
      <c r="N125" s="29" t="n"/>
      <c r="O125" s="31" t="n"/>
    </row>
    <row r="126" ht="15" customHeight="1" s="16">
      <c r="A126" s="26" t="n">
        <v>125</v>
      </c>
      <c r="B126" s="26" t="n">
        <v>9</v>
      </c>
      <c r="C126" s="26" t="n">
        <v>82</v>
      </c>
      <c r="D126" s="27" t="inlineStr">
        <is>
          <t>問姓名何爲</t>
        </is>
      </c>
      <c r="E126" s="32" t="inlineStr">
        <is>
          <t>於是許生旣得萬金</t>
        </is>
      </c>
      <c r="F126" s="27" t="inlineStr">
        <is>
          <t>不復還家</t>
        </is>
      </c>
      <c r="G126" s="26" t="inlineStr">
        <is>
          <t>●</t>
        </is>
      </c>
      <c r="H126" s="29" t="n"/>
      <c r="I126" s="30" t="n"/>
      <c r="J126" s="30" t="n"/>
      <c r="K126" s="30" t="n"/>
      <c r="L126" s="30" t="n"/>
      <c r="M126" s="31" t="n"/>
      <c r="N126" s="29" t="n"/>
      <c r="O126" s="31" t="n"/>
    </row>
    <row r="127" ht="15" customHeight="1" s="16">
      <c r="A127" s="26" t="n">
        <v>126</v>
      </c>
      <c r="B127" s="26" t="n">
        <v>9</v>
      </c>
      <c r="C127" s="26" t="n">
        <v>83</v>
      </c>
      <c r="D127" s="27" t="inlineStr">
        <is>
          <t>於是許生旣得萬金</t>
        </is>
      </c>
      <c r="E127" s="28" t="inlineStr">
        <is>
          <t>不復還家</t>
        </is>
      </c>
      <c r="F127" s="27" t="inlineStr">
        <is>
          <t>以爲安城畿湖之交</t>
        </is>
      </c>
      <c r="G127" s="26" t="n"/>
      <c r="H127" s="29" t="n"/>
      <c r="I127" s="30" t="n"/>
      <c r="J127" s="30" t="n"/>
      <c r="K127" s="30" t="n"/>
      <c r="L127" s="30" t="n"/>
      <c r="M127" s="31" t="n"/>
      <c r="N127" s="29" t="n"/>
      <c r="O127" s="31" t="n"/>
    </row>
    <row r="128" ht="15" customHeight="1" s="16">
      <c r="A128" s="26" t="n">
        <v>127</v>
      </c>
      <c r="B128" s="26" t="n">
        <v>9</v>
      </c>
      <c r="C128" s="26" t="n">
        <v>87</v>
      </c>
      <c r="D128" s="27" t="inlineStr">
        <is>
          <t>遂止居焉</t>
        </is>
      </c>
      <c r="E128" s="28" t="inlineStr">
        <is>
          <t>棗栗柹梨柑榴橘柚之屬</t>
        </is>
      </c>
      <c r="F128" s="27" t="inlineStr">
        <is>
          <t>皆以倍直居之</t>
        </is>
      </c>
      <c r="G128" s="26" t="n"/>
      <c r="H128" s="29" t="n"/>
      <c r="I128" s="30" t="n"/>
      <c r="J128" s="30" t="n"/>
      <c r="K128" s="30" t="n"/>
      <c r="L128" s="30" t="n"/>
      <c r="M128" s="31" t="n"/>
      <c r="N128" s="29" t="n"/>
      <c r="O128" s="31" t="n"/>
    </row>
    <row r="129" ht="15" customHeight="1" s="16">
      <c r="A129" s="26" t="n">
        <v>128</v>
      </c>
      <c r="B129" s="26" t="n">
        <v>9</v>
      </c>
      <c r="C129" s="26" t="n">
        <v>88</v>
      </c>
      <c r="D129" s="27" t="inlineStr">
        <is>
          <t>棗栗柹梨柑榴橘柚之屬</t>
        </is>
      </c>
      <c r="E129" s="32" t="inlineStr">
        <is>
          <t>皆以倍直居之</t>
        </is>
      </c>
      <c r="F129" s="27" t="inlineStr">
        <is>
          <t>許生榷菓</t>
        </is>
      </c>
      <c r="G129" s="26" t="inlineStr">
        <is>
          <t>●</t>
        </is>
      </c>
      <c r="H129" s="29" t="n"/>
      <c r="I129" s="30" t="n"/>
      <c r="J129" s="30" t="n"/>
      <c r="K129" s="30" t="n"/>
      <c r="L129" s="30" t="n"/>
      <c r="M129" s="31" t="n"/>
      <c r="N129" s="29" t="n"/>
      <c r="O129" s="31" t="n"/>
    </row>
    <row r="130" ht="15" customHeight="1" s="16">
      <c r="A130" s="26" t="n">
        <v>129</v>
      </c>
      <c r="B130" s="26" t="n">
        <v>9</v>
      </c>
      <c r="C130" s="26" t="n">
        <v>89</v>
      </c>
      <c r="D130" s="27" t="inlineStr">
        <is>
          <t>皆以倍直居之</t>
        </is>
      </c>
      <c r="E130" s="28" t="inlineStr">
        <is>
          <t>許生榷菓</t>
        </is>
      </c>
      <c r="F130" s="27" t="inlineStr">
        <is>
          <t>而國中無以讌祀</t>
        </is>
      </c>
      <c r="G130" s="26" t="n"/>
      <c r="H130" s="29" t="n"/>
      <c r="I130" s="30" t="n"/>
      <c r="J130" s="30" t="n"/>
      <c r="K130" s="30" t="n"/>
      <c r="L130" s="30" t="n"/>
      <c r="M130" s="31" t="n"/>
      <c r="N130" s="29" t="n"/>
      <c r="O130" s="31" t="n"/>
    </row>
    <row r="131" ht="15" customHeight="1" s="16">
      <c r="A131" s="26" t="n">
        <v>130</v>
      </c>
      <c r="B131" s="26" t="n">
        <v>9</v>
      </c>
      <c r="C131" s="26" t="n">
        <v>91</v>
      </c>
      <c r="D131" s="27" t="inlineStr">
        <is>
          <t>而國中無以讌祀</t>
        </is>
      </c>
      <c r="E131" s="28" t="inlineStr">
        <is>
          <t>居頃之</t>
        </is>
      </c>
      <c r="F131" s="27" t="inlineStr">
        <is>
          <t>諸賈之獲倍直於許生者</t>
        </is>
      </c>
      <c r="G131" s="26" t="n"/>
      <c r="H131" s="29" t="n"/>
      <c r="I131" s="30" t="n"/>
      <c r="J131" s="30" t="n"/>
      <c r="K131" s="30" t="n"/>
      <c r="L131" s="30" t="n"/>
      <c r="M131" s="31" t="n"/>
      <c r="N131" s="29" t="n"/>
      <c r="O131" s="31" t="n"/>
    </row>
    <row r="132" ht="15" customHeight="1" s="16">
      <c r="A132" s="26" t="n">
        <v>131</v>
      </c>
      <c r="B132" s="26" t="n">
        <v>9</v>
      </c>
      <c r="C132" s="26" t="n">
        <v>92</v>
      </c>
      <c r="D132" s="27" t="inlineStr">
        <is>
          <t>居頃之</t>
        </is>
      </c>
      <c r="E132" s="32" t="inlineStr">
        <is>
          <t>諸賈之獲倍直於許生者</t>
        </is>
      </c>
      <c r="F132" s="27" t="inlineStr">
        <is>
          <t>反輸十倍</t>
        </is>
      </c>
      <c r="G132" s="26" t="inlineStr">
        <is>
          <t>●</t>
        </is>
      </c>
      <c r="H132" s="29" t="n"/>
      <c r="I132" s="30" t="n"/>
      <c r="J132" s="30" t="n"/>
      <c r="K132" s="30" t="n"/>
      <c r="L132" s="30" t="n"/>
      <c r="M132" s="31" t="n"/>
      <c r="N132" s="29" t="n"/>
      <c r="O132" s="31" t="n"/>
    </row>
    <row r="133" ht="15" customHeight="1" s="16">
      <c r="A133" s="26" t="n">
        <v>132</v>
      </c>
      <c r="B133" s="26" t="n">
        <v>9</v>
      </c>
      <c r="C133" s="26" t="n">
        <v>93</v>
      </c>
      <c r="D133" s="27" t="inlineStr">
        <is>
          <t>諸賈之獲倍直於許生者</t>
        </is>
      </c>
      <c r="E133" s="32" t="inlineStr">
        <is>
          <t>反輸十倍</t>
        </is>
      </c>
      <c r="F133" s="27" t="inlineStr">
        <is>
          <t>許生喟然嘆曰</t>
        </is>
      </c>
      <c r="G133" s="26" t="inlineStr">
        <is>
          <t>●</t>
        </is>
      </c>
      <c r="H133" s="29" t="n"/>
      <c r="I133" s="30" t="n"/>
      <c r="J133" s="30" t="n"/>
      <c r="K133" s="30" t="n"/>
      <c r="L133" s="30" t="n"/>
      <c r="M133" s="31" t="n"/>
      <c r="N133" s="29" t="n"/>
      <c r="O133" s="31" t="n"/>
    </row>
    <row r="134" ht="15" customHeight="1" s="16">
      <c r="A134" s="26" t="n">
        <v>133</v>
      </c>
      <c r="B134" s="26" t="n">
        <v>9</v>
      </c>
      <c r="C134" s="26" t="n">
        <v>94</v>
      </c>
      <c r="D134" s="27" t="inlineStr">
        <is>
          <t>反輸十倍</t>
        </is>
      </c>
      <c r="E134" s="28" t="inlineStr">
        <is>
          <t>許生喟然嘆曰</t>
        </is>
      </c>
      <c r="F134" s="27" t="inlineStr">
        <is>
          <t>以萬金傾之</t>
        </is>
      </c>
      <c r="G134" s="26" t="n"/>
      <c r="H134" s="29" t="n"/>
      <c r="I134" s="30" t="n"/>
      <c r="J134" s="30" t="n"/>
      <c r="K134" s="30" t="n"/>
      <c r="L134" s="30" t="n"/>
      <c r="M134" s="31" t="n"/>
      <c r="N134" s="29" t="n"/>
      <c r="O134" s="31" t="n"/>
    </row>
    <row r="135" ht="15" customHeight="1" s="16">
      <c r="A135" s="26" t="n">
        <v>134</v>
      </c>
      <c r="B135" s="26" t="n">
        <v>9</v>
      </c>
      <c r="C135" s="26" t="n">
        <v>95</v>
      </c>
      <c r="D135" s="27" t="inlineStr">
        <is>
          <t>許生喟然嘆曰</t>
        </is>
      </c>
      <c r="E135" s="32" t="inlineStr">
        <is>
          <t>以萬金傾之</t>
        </is>
      </c>
      <c r="F135" s="27" t="inlineStr">
        <is>
          <t>短國淺深矣</t>
        </is>
      </c>
      <c r="G135" s="26" t="inlineStr">
        <is>
          <t>●</t>
        </is>
      </c>
      <c r="H135" s="29" t="n"/>
      <c r="I135" s="30" t="n"/>
      <c r="J135" s="30" t="n"/>
      <c r="K135" s="30" t="n"/>
      <c r="L135" s="30" t="n"/>
      <c r="M135" s="31" t="n"/>
      <c r="N135" s="29" t="n"/>
      <c r="O135" s="31" t="n"/>
    </row>
    <row r="136" ht="15" customHeight="1" s="16">
      <c r="A136" s="26" t="n">
        <v>135</v>
      </c>
      <c r="B136" s="26" t="n">
        <v>9</v>
      </c>
      <c r="C136" s="26" t="n">
        <v>96</v>
      </c>
      <c r="D136" s="27" t="inlineStr">
        <is>
          <t>以萬金傾之</t>
        </is>
      </c>
      <c r="E136" s="28" t="inlineStr">
        <is>
          <t>短國淺深矣</t>
        </is>
      </c>
      <c r="F136" s="27" t="inlineStr">
        <is>
          <t>以刀鏄布帛綿入濟州</t>
        </is>
      </c>
      <c r="G136" s="26" t="n"/>
      <c r="H136" s="29" t="n"/>
      <c r="I136" s="30" t="n"/>
      <c r="J136" s="30" t="n"/>
      <c r="K136" s="30" t="n"/>
      <c r="L136" s="30" t="n"/>
      <c r="M136" s="31" t="n"/>
      <c r="N136" s="29" t="n"/>
      <c r="O136" s="31" t="n"/>
    </row>
    <row r="137" ht="15" customHeight="1" s="16">
      <c r="A137" s="26" t="n">
        <v>136</v>
      </c>
      <c r="B137" s="26" t="n">
        <v>9</v>
      </c>
      <c r="C137" s="26" t="n">
        <v>102</v>
      </c>
      <c r="D137" s="27" t="inlineStr">
        <is>
          <t>人不裹頭矣</t>
        </is>
      </c>
      <c r="E137" s="28" t="inlineStr">
        <is>
          <t>居頃之</t>
        </is>
      </c>
      <c r="F137" s="27" t="inlineStr">
        <is>
          <t>網巾價至十倍</t>
        </is>
      </c>
      <c r="G137" s="26" t="n"/>
      <c r="H137" s="29" t="n"/>
      <c r="I137" s="30" t="n"/>
      <c r="J137" s="30" t="n"/>
      <c r="K137" s="30" t="n"/>
      <c r="L137" s="30" t="n"/>
      <c r="M137" s="31" t="n"/>
      <c r="N137" s="29" t="n"/>
      <c r="O137" s="31" t="n"/>
    </row>
    <row r="138" ht="15" customHeight="1" s="16">
      <c r="A138" s="26" t="n">
        <v>137</v>
      </c>
      <c r="B138" s="26" t="n">
        <v>9</v>
      </c>
      <c r="C138" s="26" t="n">
        <v>103</v>
      </c>
      <c r="D138" s="27" t="inlineStr">
        <is>
          <t>居頃之</t>
        </is>
      </c>
      <c r="E138" s="32" t="inlineStr">
        <is>
          <t>網巾價至十倍</t>
        </is>
      </c>
      <c r="F138" s="27" t="inlineStr">
        <is>
          <t>許生問老篙師曰</t>
        </is>
      </c>
      <c r="G138" s="26" t="inlineStr">
        <is>
          <t>●</t>
        </is>
      </c>
      <c r="H138" s="29" t="n"/>
      <c r="I138" s="30" t="n"/>
      <c r="J138" s="30" t="n"/>
      <c r="K138" s="30" t="n"/>
      <c r="L138" s="30" t="n"/>
      <c r="M138" s="31" t="n"/>
      <c r="N138" s="29" t="n"/>
      <c r="O138" s="31" t="n"/>
    </row>
    <row r="139" ht="29.85" customHeight="1" s="16">
      <c r="A139" s="26" t="n">
        <v>138</v>
      </c>
      <c r="B139" s="26" t="n">
        <v>9</v>
      </c>
      <c r="C139" s="26" t="n">
        <v>104</v>
      </c>
      <c r="D139" s="27" t="inlineStr">
        <is>
          <t>網巾價至十倍</t>
        </is>
      </c>
      <c r="E139" s="28" t="inlineStr">
        <is>
          <t>許生問老篙師曰</t>
        </is>
      </c>
      <c r="F139" s="27" t="inlineStr">
        <is>
          <t>海外豈有空島可以居者乎</t>
        </is>
      </c>
      <c r="G139" s="26" t="n"/>
      <c r="H139" s="29" t="n"/>
      <c r="I139" s="30" t="n"/>
      <c r="J139" s="30" t="n"/>
      <c r="K139" s="30" t="n"/>
      <c r="L139" s="30" t="n"/>
      <c r="M139" s="31" t="n"/>
      <c r="N139" s="29" t="n"/>
      <c r="O139" s="31" t="n"/>
    </row>
    <row r="140" ht="15" customHeight="1" s="16">
      <c r="A140" s="26" t="n">
        <v>139</v>
      </c>
      <c r="B140" s="26" t="n">
        <v>9</v>
      </c>
      <c r="C140" s="26" t="n">
        <v>118</v>
      </c>
      <c r="D140" s="27" t="inlineStr">
        <is>
          <t>曰</t>
        </is>
      </c>
      <c r="E140" s="28" t="inlineStr">
        <is>
          <t>爾能導我</t>
        </is>
      </c>
      <c r="F140" s="27" t="inlineStr">
        <is>
          <t>富貴共之</t>
        </is>
      </c>
      <c r="G140" s="26" t="n"/>
      <c r="H140" s="29" t="n"/>
      <c r="I140" s="30" t="n"/>
      <c r="J140" s="30" t="n"/>
      <c r="K140" s="30" t="n"/>
      <c r="L140" s="30" t="n"/>
      <c r="M140" s="31" t="n"/>
      <c r="N140" s="29" t="n"/>
      <c r="O140" s="31" t="n"/>
    </row>
    <row r="141" ht="15" customHeight="1" s="16">
      <c r="A141" s="26" t="n">
        <v>140</v>
      </c>
      <c r="B141" s="26" t="n">
        <v>9</v>
      </c>
      <c r="C141" s="26" t="n">
        <v>119</v>
      </c>
      <c r="D141" s="27" t="inlineStr">
        <is>
          <t>爾能導我</t>
        </is>
      </c>
      <c r="E141" s="32" t="inlineStr">
        <is>
          <t>富貴共之</t>
        </is>
      </c>
      <c r="F141" s="27" t="inlineStr">
        <is>
          <t>篙師從之</t>
        </is>
      </c>
      <c r="G141" s="26" t="inlineStr">
        <is>
          <t>●</t>
        </is>
      </c>
      <c r="H141" s="29" t="n"/>
      <c r="I141" s="30" t="n"/>
      <c r="J141" s="30" t="n"/>
      <c r="K141" s="30" t="n"/>
      <c r="L141" s="30" t="n"/>
      <c r="M141" s="31" t="n"/>
      <c r="N141" s="29" t="n"/>
      <c r="O141" s="31" t="n"/>
    </row>
    <row r="142" ht="15" customHeight="1" s="16">
      <c r="A142" s="26" t="n">
        <v>141</v>
      </c>
      <c r="B142" s="26" t="n">
        <v>9</v>
      </c>
      <c r="C142" s="26" t="n">
        <v>120</v>
      </c>
      <c r="D142" s="27" t="inlineStr">
        <is>
          <t>富貴共之</t>
        </is>
      </c>
      <c r="E142" s="28" t="inlineStr">
        <is>
          <t>篙師從之</t>
        </is>
      </c>
      <c r="F142" s="27" t="inlineStr">
        <is>
          <t>遂御風東南</t>
        </is>
      </c>
      <c r="G142" s="26" t="n"/>
      <c r="H142" s="29" t="n"/>
      <c r="I142" s="30" t="n"/>
      <c r="J142" s="30" t="n"/>
      <c r="K142" s="30" t="n"/>
      <c r="L142" s="30" t="n"/>
      <c r="M142" s="31" t="n"/>
      <c r="N142" s="29" t="n"/>
      <c r="O142" s="31" t="n"/>
    </row>
    <row r="143" ht="15" customHeight="1" s="16">
      <c r="A143" s="26" t="n">
        <v>142</v>
      </c>
      <c r="B143" s="26" t="n">
        <v>9</v>
      </c>
      <c r="C143" s="26" t="n">
        <v>128</v>
      </c>
      <c r="D143" s="27" t="inlineStr">
        <is>
          <t>爲</t>
        </is>
      </c>
      <c r="E143" s="28" t="inlineStr">
        <is>
          <t>土肥泉甘</t>
        </is>
      </c>
      <c r="F143" s="27" t="inlineStr">
        <is>
          <t>只可作富家翁</t>
        </is>
      </c>
      <c r="G143" s="26" t="n"/>
      <c r="H143" s="29" t="n"/>
      <c r="I143" s="30" t="n"/>
      <c r="J143" s="30" t="n"/>
      <c r="K143" s="30" t="n"/>
      <c r="L143" s="30" t="n"/>
      <c r="M143" s="31" t="n"/>
      <c r="N143" s="29" t="n"/>
      <c r="O143" s="31" t="n"/>
    </row>
    <row r="144" ht="15" customHeight="1" s="16">
      <c r="A144" s="26" t="n">
        <v>143</v>
      </c>
      <c r="B144" s="26" t="n">
        <v>9</v>
      </c>
      <c r="C144" s="26" t="n">
        <v>129</v>
      </c>
      <c r="D144" s="27" t="inlineStr">
        <is>
          <t>土肥泉甘</t>
        </is>
      </c>
      <c r="E144" s="32" t="inlineStr">
        <is>
          <t>只可作富家翁</t>
        </is>
      </c>
      <c r="F144" s="27" t="inlineStr">
        <is>
          <t>篙師曰</t>
        </is>
      </c>
      <c r="G144" s="26" t="inlineStr">
        <is>
          <t>●</t>
        </is>
      </c>
      <c r="H144" s="29" t="n"/>
      <c r="I144" s="30" t="n"/>
      <c r="J144" s="30" t="n"/>
      <c r="K144" s="30" t="n"/>
      <c r="L144" s="30" t="n"/>
      <c r="M144" s="31" t="n"/>
      <c r="N144" s="29" t="n"/>
      <c r="O144" s="31" t="n"/>
    </row>
    <row r="145" ht="15" customHeight="1" s="16">
      <c r="A145" s="26" t="n">
        <v>144</v>
      </c>
      <c r="B145" s="26" t="n">
        <v>9</v>
      </c>
      <c r="C145" s="26" t="n">
        <v>130</v>
      </c>
      <c r="D145" s="27" t="inlineStr">
        <is>
          <t>只可作富家翁</t>
        </is>
      </c>
      <c r="E145" s="28" t="inlineStr">
        <is>
          <t>篙師曰</t>
        </is>
      </c>
      <c r="F145" s="27" t="inlineStr">
        <is>
          <t>島空無人</t>
        </is>
      </c>
      <c r="G145" s="26" t="n"/>
      <c r="H145" s="29" t="n"/>
      <c r="I145" s="30" t="n"/>
      <c r="J145" s="30" t="n"/>
      <c r="K145" s="30" t="n"/>
      <c r="L145" s="30" t="n"/>
      <c r="M145" s="31" t="n"/>
      <c r="N145" s="29" t="n"/>
      <c r="O145" s="31" t="n"/>
    </row>
    <row r="146" ht="15" customHeight="1" s="16">
      <c r="A146" s="26" t="n">
        <v>145</v>
      </c>
      <c r="B146" s="26" t="n">
        <v>9</v>
      </c>
      <c r="C146" s="26" t="n">
        <v>144</v>
      </c>
      <c r="D146" s="27" t="inlineStr">
        <is>
          <t>許生入賊中說其魁帥</t>
        </is>
      </c>
      <c r="E146" s="28" t="inlineStr">
        <is>
          <t>曰</t>
        </is>
      </c>
      <c r="F146" s="27" t="inlineStr">
        <is>
          <t>千人掠千金</t>
        </is>
      </c>
      <c r="G146" s="26" t="n"/>
      <c r="H146" s="29" t="n"/>
      <c r="I146" s="30" t="n"/>
      <c r="J146" s="30" t="n"/>
      <c r="K146" s="30" t="n"/>
      <c r="L146" s="30" t="n"/>
      <c r="M146" s="31" t="n"/>
      <c r="N146" s="29" t="n"/>
      <c r="O146" s="31" t="n"/>
    </row>
    <row r="147" ht="15" customHeight="1" s="16">
      <c r="A147" s="26" t="n">
        <v>146</v>
      </c>
      <c r="B147" s="26" t="n">
        <v>9</v>
      </c>
      <c r="C147" s="26" t="n">
        <v>145</v>
      </c>
      <c r="D147" s="27" t="inlineStr">
        <is>
          <t>曰</t>
        </is>
      </c>
      <c r="E147" s="32" t="inlineStr">
        <is>
          <t>千人掠千金</t>
        </is>
      </c>
      <c r="F147" s="27" t="inlineStr">
        <is>
          <t>所分幾何</t>
        </is>
      </c>
      <c r="G147" s="26" t="inlineStr">
        <is>
          <t>●</t>
        </is>
      </c>
      <c r="H147" s="29" t="n"/>
      <c r="I147" s="30" t="n"/>
      <c r="J147" s="30" t="n"/>
      <c r="K147" s="30" t="n"/>
      <c r="L147" s="30" t="n"/>
      <c r="M147" s="31" t="n"/>
      <c r="N147" s="29" t="n"/>
      <c r="O147" s="31" t="n"/>
    </row>
    <row r="148" ht="15" customHeight="1" s="16">
      <c r="A148" s="26" t="n">
        <v>147</v>
      </c>
      <c r="B148" s="26" t="n">
        <v>9</v>
      </c>
      <c r="C148" s="26" t="n">
        <v>146</v>
      </c>
      <c r="D148" s="27" t="inlineStr">
        <is>
          <t>千人掠千金</t>
        </is>
      </c>
      <c r="E148" s="28" t="inlineStr">
        <is>
          <t>所分幾何</t>
        </is>
      </c>
      <c r="F148" s="27" t="inlineStr">
        <is>
          <t>曰</t>
        </is>
      </c>
      <c r="G148" s="26" t="n"/>
      <c r="H148" s="29" t="n"/>
      <c r="I148" s="30" t="n"/>
      <c r="J148" s="30" t="n"/>
      <c r="K148" s="30" t="n"/>
      <c r="L148" s="30" t="n"/>
      <c r="M148" s="31" t="n"/>
      <c r="N148" s="29" t="n"/>
      <c r="O148" s="31" t="n"/>
    </row>
    <row r="149" ht="15" customHeight="1" s="16">
      <c r="A149" s="26" t="n">
        <v>148</v>
      </c>
      <c r="B149" s="26" t="n">
        <v>9</v>
      </c>
      <c r="C149" s="26" t="n">
        <v>161</v>
      </c>
      <c r="D149" s="27" t="inlineStr">
        <is>
          <t>審若是也</t>
        </is>
      </c>
      <c r="E149" s="28" t="inlineStr">
        <is>
          <t>何不娶妻樹屋</t>
        </is>
      </c>
      <c r="F149" s="27" t="inlineStr">
        <is>
          <t>買牛耕田</t>
        </is>
      </c>
      <c r="G149" s="26" t="n"/>
      <c r="H149" s="29" t="n"/>
      <c r="I149" s="30" t="n"/>
      <c r="J149" s="30" t="n"/>
      <c r="K149" s="30" t="n"/>
      <c r="L149" s="30" t="n"/>
      <c r="M149" s="31" t="n"/>
      <c r="N149" s="29" t="n"/>
      <c r="O149" s="31" t="n"/>
    </row>
    <row r="150" ht="15" customHeight="1" s="16">
      <c r="A150" s="26" t="n">
        <v>149</v>
      </c>
      <c r="B150" s="26" t="n">
        <v>9</v>
      </c>
      <c r="C150" s="26" t="n">
        <v>162</v>
      </c>
      <c r="D150" s="27" t="inlineStr">
        <is>
          <t>何不娶妻樹屋</t>
        </is>
      </c>
      <c r="E150" s="32" t="inlineStr">
        <is>
          <t>買牛耕田</t>
        </is>
      </c>
      <c r="F150" s="27" t="inlineStr">
        <is>
          <t>生無盜賊之名</t>
        </is>
      </c>
      <c r="G150" s="26" t="inlineStr">
        <is>
          <t>●</t>
        </is>
      </c>
      <c r="H150" s="29" t="n"/>
      <c r="I150" s="30" t="n"/>
      <c r="J150" s="30" t="n"/>
      <c r="K150" s="30" t="n"/>
      <c r="L150" s="30" t="n"/>
      <c r="M150" s="31" t="n"/>
      <c r="N150" s="29" t="n"/>
      <c r="O150" s="31" t="n"/>
    </row>
    <row r="151" ht="15" customHeight="1" s="16">
      <c r="A151" s="26" t="n">
        <v>150</v>
      </c>
      <c r="B151" s="26" t="n">
        <v>9</v>
      </c>
      <c r="C151" s="26" t="n">
        <v>163</v>
      </c>
      <c r="D151" s="27" t="inlineStr">
        <is>
          <t>買牛耕田</t>
        </is>
      </c>
      <c r="E151" s="28" t="inlineStr">
        <is>
          <t>生無盜賊之名</t>
        </is>
      </c>
      <c r="F151" s="27" t="inlineStr">
        <is>
          <t>而居有妻室之樂</t>
        </is>
      </c>
      <c r="G151" s="26" t="n"/>
      <c r="H151" s="29" t="n"/>
      <c r="I151" s="30" t="n"/>
      <c r="J151" s="30" t="n"/>
      <c r="K151" s="30" t="n"/>
      <c r="L151" s="30" t="n"/>
      <c r="M151" s="31" t="n"/>
      <c r="N151" s="29" t="n"/>
      <c r="O151" s="31" t="n"/>
    </row>
    <row r="152" ht="15" customHeight="1" s="16">
      <c r="A152" s="26" t="n">
        <v>151</v>
      </c>
      <c r="B152" s="26" t="n">
        <v>9</v>
      </c>
      <c r="C152" s="26" t="n">
        <v>169</v>
      </c>
      <c r="D152" s="27" t="inlineStr">
        <is>
          <t>群盜曰</t>
        </is>
      </c>
      <c r="E152" s="28" t="inlineStr">
        <is>
          <t>豈不願如此</t>
        </is>
      </c>
      <c r="F152" s="27" t="inlineStr">
        <is>
          <t>但無錢耳</t>
        </is>
      </c>
      <c r="G152" s="26" t="n"/>
      <c r="H152" s="29" t="n"/>
      <c r="I152" s="30" t="n"/>
      <c r="J152" s="30" t="n"/>
      <c r="K152" s="30" t="n"/>
      <c r="L152" s="30" t="n"/>
      <c r="M152" s="31" t="n"/>
      <c r="N152" s="29" t="n"/>
      <c r="O152" s="31" t="n"/>
    </row>
    <row r="153" ht="15" customHeight="1" s="16">
      <c r="A153" s="26" t="n">
        <v>152</v>
      </c>
      <c r="B153" s="26" t="n">
        <v>9</v>
      </c>
      <c r="C153" s="26" t="n">
        <v>170</v>
      </c>
      <c r="D153" s="27" t="inlineStr">
        <is>
          <t>豈不願如此</t>
        </is>
      </c>
      <c r="E153" s="32" t="inlineStr">
        <is>
          <t>但無錢耳</t>
        </is>
      </c>
      <c r="F153" s="27" t="inlineStr">
        <is>
          <t>許生笑曰</t>
        </is>
      </c>
      <c r="G153" s="26" t="inlineStr">
        <is>
          <t>●</t>
        </is>
      </c>
      <c r="H153" s="29" t="n"/>
      <c r="I153" s="30" t="n"/>
      <c r="J153" s="30" t="n"/>
      <c r="K153" s="30" t="n"/>
      <c r="L153" s="30" t="n"/>
      <c r="M153" s="31" t="n"/>
      <c r="N153" s="29" t="n"/>
      <c r="O153" s="31" t="n"/>
    </row>
    <row r="154" ht="15" customHeight="1" s="16">
      <c r="A154" s="26" t="n">
        <v>153</v>
      </c>
      <c r="B154" s="26" t="n">
        <v>9</v>
      </c>
      <c r="C154" s="26" t="n">
        <v>171</v>
      </c>
      <c r="D154" s="27" t="inlineStr">
        <is>
          <t>但無錢耳</t>
        </is>
      </c>
      <c r="E154" s="28" t="inlineStr">
        <is>
          <t>許生笑曰</t>
        </is>
      </c>
      <c r="F154" s="27" t="inlineStr">
        <is>
          <t>爾爲盜何患無錢</t>
        </is>
      </c>
      <c r="G154" s="26" t="n"/>
      <c r="H154" s="29" t="n"/>
      <c r="I154" s="30" t="n"/>
      <c r="J154" s="30" t="n"/>
      <c r="K154" s="30" t="n"/>
      <c r="L154" s="30" t="n"/>
      <c r="M154" s="31" t="n"/>
      <c r="N154" s="29" t="n"/>
      <c r="O154" s="31" t="n"/>
    </row>
    <row r="155" ht="15" customHeight="1" s="16">
      <c r="A155" s="26" t="n">
        <v>154</v>
      </c>
      <c r="B155" s="26" t="n">
        <v>9</v>
      </c>
      <c r="C155" s="26" t="n">
        <v>172</v>
      </c>
      <c r="D155" s="27" t="inlineStr">
        <is>
          <t>許生笑曰</t>
        </is>
      </c>
      <c r="E155" s="32" t="inlineStr">
        <is>
          <t>爾爲盜何患無錢</t>
        </is>
      </c>
      <c r="F155" s="27" t="inlineStr">
        <is>
          <t>吾能爲</t>
        </is>
      </c>
      <c r="G155" s="26" t="inlineStr">
        <is>
          <t>●</t>
        </is>
      </c>
      <c r="H155" s="29" t="n"/>
      <c r="I155" s="30" t="n"/>
      <c r="J155" s="30" t="n"/>
      <c r="K155" s="30" t="n"/>
      <c r="L155" s="30" t="n"/>
      <c r="M155" s="31" t="n"/>
      <c r="N155" s="29" t="n"/>
      <c r="O155" s="31" t="n"/>
    </row>
    <row r="156" ht="15" customHeight="1" s="16">
      <c r="A156" s="26" t="n">
        <v>155</v>
      </c>
      <c r="B156" s="26" t="n">
        <v>9</v>
      </c>
      <c r="C156" s="26" t="n">
        <v>173</v>
      </c>
      <c r="D156" s="27" t="inlineStr">
        <is>
          <t>爾爲盜何患無錢</t>
        </is>
      </c>
      <c r="E156" s="28" t="inlineStr">
        <is>
          <t>吾能爲</t>
        </is>
      </c>
      <c r="F156" s="27" t="inlineStr">
        <is>
          <t>汝辦之</t>
        </is>
      </c>
      <c r="G156" s="26" t="n"/>
      <c r="H156" s="29" t="n"/>
      <c r="I156" s="30" t="n"/>
      <c r="J156" s="30" t="n"/>
      <c r="K156" s="30" t="n"/>
      <c r="L156" s="30" t="n"/>
      <c r="M156" s="31" t="n"/>
      <c r="N156" s="29" t="n"/>
      <c r="O156" s="31" t="n"/>
    </row>
    <row r="157" ht="15" customHeight="1" s="16">
      <c r="A157" s="26" t="n">
        <v>156</v>
      </c>
      <c r="B157" s="26" t="n">
        <v>9</v>
      </c>
      <c r="C157" s="26" t="n">
        <v>176</v>
      </c>
      <c r="D157" s="27" t="inlineStr">
        <is>
          <t>明日</t>
        </is>
      </c>
      <c r="E157" s="28" t="inlineStr">
        <is>
          <t>視海上風旗紅者</t>
        </is>
      </c>
      <c r="F157" s="27" t="inlineStr">
        <is>
          <t>皆錢船也</t>
        </is>
      </c>
      <c r="G157" s="26" t="n"/>
      <c r="H157" s="29" t="n"/>
      <c r="I157" s="30" t="n"/>
      <c r="J157" s="30" t="n"/>
      <c r="K157" s="30" t="n"/>
      <c r="L157" s="30" t="n"/>
      <c r="M157" s="31" t="n"/>
      <c r="N157" s="29" t="n"/>
      <c r="O157" s="31" t="n"/>
    </row>
    <row r="158" ht="15" customHeight="1" s="16">
      <c r="A158" s="26" t="n">
        <v>157</v>
      </c>
      <c r="B158" s="26" t="n">
        <v>9</v>
      </c>
      <c r="C158" s="26" t="n">
        <v>177</v>
      </c>
      <c r="D158" s="27" t="inlineStr">
        <is>
          <t>視海上風旗紅者</t>
        </is>
      </c>
      <c r="E158" s="32" t="inlineStr">
        <is>
          <t>皆錢船也</t>
        </is>
      </c>
      <c r="F158" s="27" t="inlineStr">
        <is>
          <t>恣汝取去</t>
        </is>
      </c>
      <c r="G158" s="26" t="inlineStr">
        <is>
          <t>●</t>
        </is>
      </c>
      <c r="H158" s="29" t="n"/>
      <c r="I158" s="30" t="n"/>
      <c r="J158" s="30" t="n"/>
      <c r="K158" s="30" t="n"/>
      <c r="L158" s="30" t="n"/>
      <c r="M158" s="31" t="n"/>
      <c r="N158" s="29" t="n"/>
      <c r="O158" s="31" t="n"/>
    </row>
    <row r="159" ht="15" customHeight="1" s="16">
      <c r="A159" s="26" t="n">
        <v>158</v>
      </c>
      <c r="B159" s="26" t="n">
        <v>9</v>
      </c>
      <c r="C159" s="26" t="n">
        <v>178</v>
      </c>
      <c r="D159" s="27" t="inlineStr">
        <is>
          <t>皆錢船也</t>
        </is>
      </c>
      <c r="E159" s="28" t="inlineStr">
        <is>
          <t>恣汝取去</t>
        </is>
      </c>
      <c r="F159" s="27" t="inlineStr">
        <is>
          <t>許生約群盜</t>
        </is>
      </c>
      <c r="G159" s="26" t="n"/>
      <c r="H159" s="29" t="n"/>
      <c r="I159" s="30" t="n"/>
      <c r="J159" s="30" t="n"/>
      <c r="K159" s="30" t="n"/>
      <c r="L159" s="30" t="n"/>
      <c r="M159" s="31" t="n"/>
      <c r="N159" s="29" t="n"/>
      <c r="O159" s="31" t="n"/>
    </row>
    <row r="160" ht="15" customHeight="1" s="16">
      <c r="A160" s="26" t="n">
        <v>159</v>
      </c>
      <c r="B160" s="26" t="n">
        <v>9</v>
      </c>
      <c r="C160" s="26" t="n">
        <v>184</v>
      </c>
      <c r="D160" s="27" t="inlineStr">
        <is>
          <t>至海</t>
        </is>
      </c>
      <c r="E160" s="28" t="inlineStr">
        <is>
          <t>上</t>
        </is>
      </c>
      <c r="F160" s="27" t="inlineStr">
        <is>
          <t>許生載錢三十萬</t>
        </is>
      </c>
      <c r="G160" s="26" t="n"/>
      <c r="H160" s="29" t="n"/>
      <c r="I160" s="30" t="n"/>
      <c r="J160" s="30" t="n"/>
      <c r="K160" s="30" t="n"/>
      <c r="L160" s="30" t="n"/>
      <c r="M160" s="31" t="n"/>
      <c r="N160" s="29" t="n"/>
      <c r="O160" s="31" t="n"/>
    </row>
    <row r="161" ht="15" customHeight="1" s="16">
      <c r="A161" s="26" t="n">
        <v>160</v>
      </c>
      <c r="B161" s="26" t="n">
        <v>9</v>
      </c>
      <c r="C161" s="26" t="n">
        <v>185</v>
      </c>
      <c r="D161" s="27" t="inlineStr">
        <is>
          <t>上</t>
        </is>
      </c>
      <c r="E161" s="32" t="inlineStr">
        <is>
          <t>許生載錢三十萬</t>
        </is>
      </c>
      <c r="F161" s="27" t="inlineStr">
        <is>
          <t>皆大驚羅拜曰</t>
        </is>
      </c>
      <c r="G161" s="26" t="inlineStr">
        <is>
          <t>●</t>
        </is>
      </c>
      <c r="H161" s="29" t="n"/>
      <c r="I161" s="30" t="n"/>
      <c r="J161" s="30" t="n"/>
      <c r="K161" s="30" t="n"/>
      <c r="L161" s="30" t="n"/>
      <c r="M161" s="31" t="n"/>
      <c r="N161" s="29" t="n"/>
      <c r="O161" s="31" t="n"/>
    </row>
    <row r="162" ht="15" customHeight="1" s="16">
      <c r="A162" s="26" t="n">
        <v>161</v>
      </c>
      <c r="B162" s="26" t="n">
        <v>9</v>
      </c>
      <c r="C162" s="26" t="n">
        <v>186</v>
      </c>
      <c r="D162" s="27" t="inlineStr">
        <is>
          <t>許生載錢三十萬</t>
        </is>
      </c>
      <c r="E162" s="28" t="inlineStr">
        <is>
          <t>皆大驚羅拜曰</t>
        </is>
      </c>
      <c r="F162" s="27" t="inlineStr">
        <is>
          <t>唯將軍令</t>
        </is>
      </c>
      <c r="G162" s="26" t="n"/>
      <c r="H162" s="29" t="n"/>
      <c r="I162" s="30" t="n"/>
      <c r="J162" s="30" t="n"/>
      <c r="K162" s="30" t="n"/>
      <c r="L162" s="30" t="n"/>
      <c r="M162" s="31" t="n"/>
      <c r="N162" s="29" t="n"/>
      <c r="O162" s="31" t="n"/>
    </row>
    <row r="163" ht="15" customHeight="1" s="16">
      <c r="A163" s="26" t="n">
        <v>162</v>
      </c>
      <c r="B163" s="26" t="n">
        <v>9</v>
      </c>
      <c r="C163" s="26" t="n">
        <v>190</v>
      </c>
      <c r="D163" s="27" t="inlineStr">
        <is>
          <t>惟力負去</t>
        </is>
      </c>
      <c r="E163" s="28" t="inlineStr">
        <is>
          <t>於是群盜</t>
        </is>
      </c>
      <c r="F163" s="27" t="inlineStr">
        <is>
          <t>爭負錢</t>
        </is>
      </c>
      <c r="G163" s="26" t="n"/>
      <c r="H163" s="29" t="n"/>
      <c r="I163" s="30" t="n"/>
      <c r="J163" s="30" t="n"/>
      <c r="K163" s="30" t="n"/>
      <c r="L163" s="30" t="n"/>
      <c r="M163" s="31" t="n"/>
      <c r="N163" s="29" t="n"/>
      <c r="O163" s="31" t="n"/>
    </row>
    <row r="164" ht="15" customHeight="1" s="16">
      <c r="A164" s="26" t="n">
        <v>163</v>
      </c>
      <c r="B164" s="26" t="n">
        <v>9</v>
      </c>
      <c r="C164" s="26" t="n">
        <v>191</v>
      </c>
      <c r="D164" s="27" t="inlineStr">
        <is>
          <t>於是群盜</t>
        </is>
      </c>
      <c r="E164" s="32" t="inlineStr">
        <is>
          <t>爭負錢</t>
        </is>
      </c>
      <c r="F164" s="27" t="inlineStr">
        <is>
          <t>人不過百金</t>
        </is>
      </c>
      <c r="G164" s="26" t="inlineStr">
        <is>
          <t>●</t>
        </is>
      </c>
      <c r="H164" s="29" t="n"/>
      <c r="I164" s="30" t="n"/>
      <c r="J164" s="30" t="n"/>
      <c r="K164" s="30" t="n"/>
      <c r="L164" s="30" t="n"/>
      <c r="M164" s="31" t="n"/>
      <c r="N164" s="29" t="n"/>
      <c r="O164" s="31" t="n"/>
    </row>
    <row r="165" ht="15" customHeight="1" s="16">
      <c r="A165" s="26" t="n">
        <v>164</v>
      </c>
      <c r="B165" s="26" t="n">
        <v>9</v>
      </c>
      <c r="C165" s="26" t="n">
        <v>192</v>
      </c>
      <c r="D165" s="27" t="inlineStr">
        <is>
          <t>爭負錢</t>
        </is>
      </c>
      <c r="E165" s="28" t="inlineStr">
        <is>
          <t>人不過百金</t>
        </is>
      </c>
      <c r="F165" s="27" t="inlineStr">
        <is>
          <t>許</t>
        </is>
      </c>
      <c r="G165" s="26" t="n"/>
      <c r="H165" s="29" t="n"/>
      <c r="I165" s="30" t="n"/>
      <c r="J165" s="30" t="n"/>
      <c r="K165" s="30" t="n"/>
      <c r="L165" s="30" t="n"/>
      <c r="M165" s="31" t="n"/>
      <c r="N165" s="29" t="n"/>
      <c r="O165" s="31" t="n"/>
    </row>
    <row r="166" ht="15" customHeight="1" s="16">
      <c r="A166" s="26" t="n">
        <v>165</v>
      </c>
      <c r="B166" s="26" t="n">
        <v>9</v>
      </c>
      <c r="C166" s="26" t="n">
        <v>225</v>
      </c>
      <c r="D166" s="27" t="inlineStr">
        <is>
          <t>方大饑</t>
        </is>
      </c>
      <c r="E166" s="28" t="inlineStr">
        <is>
          <t>遂賑之</t>
        </is>
      </c>
      <c r="F166" s="27" t="inlineStr">
        <is>
          <t>獲銀百</t>
        </is>
      </c>
      <c r="G166" s="26" t="n"/>
      <c r="H166" s="29" t="n"/>
      <c r="I166" s="30" t="n"/>
      <c r="J166" s="30" t="n"/>
      <c r="K166" s="30" t="n"/>
      <c r="L166" s="30" t="n"/>
      <c r="M166" s="31" t="n"/>
      <c r="N166" s="29" t="n"/>
      <c r="O166" s="31" t="n"/>
    </row>
    <row r="167" ht="15" customHeight="1" s="16">
      <c r="A167" s="26" t="n">
        <v>166</v>
      </c>
      <c r="B167" s="26" t="n">
        <v>9</v>
      </c>
      <c r="C167" s="26" t="n">
        <v>226</v>
      </c>
      <c r="D167" s="27" t="inlineStr">
        <is>
          <t>遂賑之</t>
        </is>
      </c>
      <c r="E167" s="32" t="inlineStr">
        <is>
          <t>獲銀百</t>
        </is>
      </c>
      <c r="F167" s="27" t="inlineStr">
        <is>
          <t>萬</t>
        </is>
      </c>
      <c r="G167" s="26" t="inlineStr">
        <is>
          <t>●</t>
        </is>
      </c>
      <c r="H167" s="29" t="n"/>
      <c r="I167" s="30" t="n"/>
      <c r="J167" s="30" t="n"/>
      <c r="K167" s="30" t="n"/>
      <c r="L167" s="30" t="n"/>
      <c r="M167" s="31" t="n"/>
      <c r="N167" s="29" t="n"/>
      <c r="O167" s="31" t="n"/>
    </row>
    <row r="168" ht="15" customHeight="1" s="16">
      <c r="A168" s="26" t="n">
        <v>167</v>
      </c>
      <c r="B168" s="26" t="n">
        <v>9</v>
      </c>
      <c r="C168" s="26" t="n">
        <v>227</v>
      </c>
      <c r="D168" s="27" t="inlineStr">
        <is>
          <t>獲銀百</t>
        </is>
      </c>
      <c r="E168" s="28" t="inlineStr">
        <is>
          <t>萬</t>
        </is>
      </c>
      <c r="F168" s="27" t="inlineStr">
        <is>
          <t>許生歎曰</t>
        </is>
      </c>
      <c r="G168" s="26" t="n"/>
      <c r="H168" s="29" t="n"/>
      <c r="I168" s="30" t="n"/>
      <c r="J168" s="30" t="n"/>
      <c r="K168" s="30" t="n"/>
      <c r="L168" s="30" t="n"/>
      <c r="M168" s="31" t="n"/>
      <c r="N168" s="29" t="n"/>
      <c r="O168" s="31" t="n"/>
    </row>
    <row r="169" ht="15" customHeight="1" s="16">
      <c r="A169" s="26" t="n">
        <v>168</v>
      </c>
      <c r="B169" s="26" t="n">
        <v>9</v>
      </c>
      <c r="C169" s="26" t="n">
        <v>232</v>
      </c>
      <c r="D169" s="27" t="inlineStr">
        <is>
          <t>令之曰</t>
        </is>
      </c>
      <c r="E169" s="28" t="inlineStr">
        <is>
          <t>吾始與汝等入此島</t>
        </is>
      </c>
      <c r="F169" s="27" t="inlineStr">
        <is>
          <t>先富之</t>
        </is>
      </c>
      <c r="G169" s="26" t="n"/>
      <c r="H169" s="29" t="n"/>
      <c r="I169" s="30" t="n"/>
      <c r="J169" s="30" t="n"/>
      <c r="K169" s="30" t="n"/>
      <c r="L169" s="30" t="n"/>
      <c r="M169" s="31" t="n"/>
      <c r="N169" s="29" t="n"/>
      <c r="O169" s="31" t="n"/>
    </row>
    <row r="170" ht="15" customHeight="1" s="16">
      <c r="A170" s="26" t="n">
        <v>169</v>
      </c>
      <c r="B170" s="26" t="n">
        <v>9</v>
      </c>
      <c r="C170" s="26" t="n">
        <v>233</v>
      </c>
      <c r="D170" s="27" t="inlineStr">
        <is>
          <t>吾始與汝等入此島</t>
        </is>
      </c>
      <c r="E170" s="32" t="inlineStr">
        <is>
          <t>先富之</t>
        </is>
      </c>
      <c r="F170" s="27" t="inlineStr">
        <is>
          <t>然後別造文</t>
        </is>
      </c>
      <c r="G170" s="26" t="inlineStr">
        <is>
          <t>●</t>
        </is>
      </c>
      <c r="H170" s="29" t="n"/>
      <c r="I170" s="30" t="n"/>
      <c r="J170" s="30" t="n"/>
      <c r="K170" s="30" t="n"/>
      <c r="L170" s="30" t="n"/>
      <c r="M170" s="31" t="n"/>
      <c r="N170" s="29" t="n"/>
      <c r="O170" s="31" t="n"/>
    </row>
    <row r="171" ht="15" customHeight="1" s="16">
      <c r="A171" s="26" t="n">
        <v>170</v>
      </c>
      <c r="B171" s="26" t="n">
        <v>9</v>
      </c>
      <c r="C171" s="26" t="n">
        <v>234</v>
      </c>
      <c r="D171" s="27" t="inlineStr">
        <is>
          <t>先富之</t>
        </is>
      </c>
      <c r="E171" s="28" t="inlineStr">
        <is>
          <t>然後別造文</t>
        </is>
      </c>
      <c r="F171" s="27" t="inlineStr">
        <is>
          <t>字</t>
        </is>
      </c>
      <c r="G171" s="26" t="n"/>
      <c r="H171" s="29" t="n"/>
      <c r="I171" s="30" t="n"/>
      <c r="J171" s="30" t="n"/>
      <c r="K171" s="30" t="n"/>
      <c r="L171" s="30" t="n"/>
      <c r="M171" s="31" t="n"/>
      <c r="N171" s="29" t="n"/>
      <c r="O171" s="31" t="n"/>
    </row>
    <row r="172" ht="15" customHeight="1" s="16">
      <c r="A172" s="26" t="n">
        <v>171</v>
      </c>
      <c r="B172" s="26" t="n">
        <v>9</v>
      </c>
      <c r="C172" s="26" t="n">
        <v>245</v>
      </c>
      <c r="D172" s="27" t="inlineStr">
        <is>
          <t>莫往則莫</t>
        </is>
      </c>
      <c r="E172" s="28" t="inlineStr">
        <is>
          <t>來</t>
        </is>
      </c>
      <c r="F172" s="27" t="inlineStr">
        <is>
          <t>投銀五十萬於海中曰</t>
        </is>
      </c>
      <c r="G172" s="26" t="n"/>
      <c r="H172" s="29" t="n"/>
      <c r="I172" s="30" t="n"/>
      <c r="J172" s="30" t="n"/>
      <c r="K172" s="30" t="n"/>
      <c r="L172" s="30" t="n"/>
      <c r="M172" s="31" t="n"/>
      <c r="N172" s="29" t="n"/>
      <c r="O172" s="31" t="n"/>
    </row>
    <row r="173" ht="15" customHeight="1" s="16">
      <c r="A173" s="26" t="n">
        <v>172</v>
      </c>
      <c r="B173" s="26" t="n">
        <v>9</v>
      </c>
      <c r="C173" s="26" t="n">
        <v>246</v>
      </c>
      <c r="D173" s="27" t="inlineStr">
        <is>
          <t>來</t>
        </is>
      </c>
      <c r="E173" s="32" t="inlineStr">
        <is>
          <t>投銀五十萬於海中曰</t>
        </is>
      </c>
      <c r="F173" s="27" t="inlineStr">
        <is>
          <t>海枯有得者</t>
        </is>
      </c>
      <c r="G173" s="26" t="inlineStr">
        <is>
          <t>●</t>
        </is>
      </c>
      <c r="H173" s="29" t="n"/>
      <c r="I173" s="30" t="n"/>
      <c r="J173" s="30" t="n"/>
      <c r="K173" s="30" t="n"/>
      <c r="L173" s="30" t="n"/>
      <c r="M173" s="31" t="n"/>
      <c r="N173" s="29" t="n"/>
      <c r="O173" s="31" t="n"/>
    </row>
    <row r="174" ht="15" customHeight="1" s="16">
      <c r="A174" s="26" t="n">
        <v>173</v>
      </c>
      <c r="B174" s="26" t="n">
        <v>9</v>
      </c>
      <c r="C174" s="26" t="n">
        <v>247</v>
      </c>
      <c r="D174" s="27" t="inlineStr">
        <is>
          <t>投銀五十萬於海中曰</t>
        </is>
      </c>
      <c r="E174" s="28" t="inlineStr">
        <is>
          <t>海枯有得者</t>
        </is>
      </c>
      <c r="F174" s="27" t="inlineStr">
        <is>
          <t>百萬無所容於國中</t>
        </is>
      </c>
      <c r="G174" s="26" t="n"/>
      <c r="H174" s="29" t="n"/>
      <c r="I174" s="30" t="n"/>
      <c r="J174" s="30" t="n"/>
      <c r="K174" s="30" t="n"/>
      <c r="L174" s="30" t="n"/>
      <c r="M174" s="31" t="n"/>
      <c r="N174" s="29" t="n"/>
      <c r="O174" s="31" t="n"/>
    </row>
    <row r="175" ht="15" customHeight="1" s="16">
      <c r="A175" s="26" t="n">
        <v>174</v>
      </c>
      <c r="B175" s="26" t="n">
        <v>9</v>
      </c>
      <c r="C175" s="26" t="n">
        <v>253</v>
      </c>
      <c r="D175" s="27" t="inlineStr">
        <is>
          <t>於此島</t>
        </is>
      </c>
      <c r="E175" s="28" t="inlineStr">
        <is>
          <t>於是遍行國中</t>
        </is>
      </c>
      <c r="F175" s="27" t="inlineStr">
        <is>
          <t>賑施與貧無告者</t>
        </is>
      </c>
      <c r="G175" s="26" t="n"/>
      <c r="H175" s="29" t="n"/>
      <c r="I175" s="30" t="n"/>
      <c r="J175" s="30" t="n"/>
      <c r="K175" s="30" t="n"/>
      <c r="L175" s="30" t="n"/>
      <c r="M175" s="31" t="n"/>
      <c r="N175" s="29" t="n"/>
      <c r="O175" s="31" t="n"/>
    </row>
    <row r="176" ht="15" customHeight="1" s="16">
      <c r="A176" s="26" t="n">
        <v>175</v>
      </c>
      <c r="B176" s="26" t="n">
        <v>9</v>
      </c>
      <c r="C176" s="26" t="n">
        <v>254</v>
      </c>
      <c r="D176" s="27" t="inlineStr">
        <is>
          <t>於是遍行國中</t>
        </is>
      </c>
      <c r="E176" s="32" t="inlineStr">
        <is>
          <t>賑施與貧無告者</t>
        </is>
      </c>
      <c r="F176" s="27" t="inlineStr">
        <is>
          <t>銀尙餘十萬曰</t>
        </is>
      </c>
      <c r="G176" s="26" t="inlineStr">
        <is>
          <t>●</t>
        </is>
      </c>
      <c r="H176" s="29" t="n"/>
      <c r="I176" s="30" t="n"/>
      <c r="J176" s="30" t="n"/>
      <c r="K176" s="30" t="n"/>
      <c r="L176" s="30" t="n"/>
      <c r="M176" s="31" t="n"/>
      <c r="N176" s="29" t="n"/>
      <c r="O176" s="31" t="n"/>
    </row>
    <row r="177" ht="15" customHeight="1" s="16">
      <c r="A177" s="26" t="n">
        <v>176</v>
      </c>
      <c r="B177" s="26" t="n">
        <v>9</v>
      </c>
      <c r="C177" s="26" t="n">
        <v>255</v>
      </c>
      <c r="D177" s="27" t="inlineStr">
        <is>
          <t>賑施與貧無告者</t>
        </is>
      </c>
      <c r="E177" s="32" t="inlineStr">
        <is>
          <t>銀尙餘十萬曰</t>
        </is>
      </c>
      <c r="F177" s="27" t="inlineStr">
        <is>
          <t>此可以報卞氏</t>
        </is>
      </c>
      <c r="G177" s="26" t="inlineStr">
        <is>
          <t>●</t>
        </is>
      </c>
      <c r="H177" s="29" t="n"/>
      <c r="I177" s="30" t="n"/>
      <c r="J177" s="30" t="n"/>
      <c r="K177" s="30" t="n"/>
      <c r="L177" s="30" t="n"/>
      <c r="M177" s="31" t="n"/>
      <c r="N177" s="29" t="n"/>
      <c r="O177" s="31" t="n"/>
    </row>
    <row r="178" ht="15" customHeight="1" s="16">
      <c r="A178" s="26" t="n">
        <v>177</v>
      </c>
      <c r="B178" s="26" t="n">
        <v>9</v>
      </c>
      <c r="C178" s="26" t="n">
        <v>256</v>
      </c>
      <c r="D178" s="27" t="inlineStr">
        <is>
          <t>銀尙餘十萬曰</t>
        </is>
      </c>
      <c r="E178" s="28" t="inlineStr">
        <is>
          <t>此可以報卞氏</t>
        </is>
      </c>
      <c r="F178" s="27" t="inlineStr">
        <is>
          <t>往見卞氏曰</t>
        </is>
      </c>
      <c r="G178" s="26" t="n"/>
      <c r="H178" s="29" t="n"/>
      <c r="I178" s="30" t="n"/>
      <c r="J178" s="30" t="n"/>
      <c r="K178" s="30" t="n"/>
      <c r="L178" s="30" t="n"/>
      <c r="M178" s="31" t="n"/>
      <c r="N178" s="29" t="n"/>
      <c r="O178" s="31" t="n"/>
    </row>
    <row r="179" ht="15" customHeight="1" s="16">
      <c r="A179" s="26" t="n">
        <v>178</v>
      </c>
      <c r="B179" s="26" t="n">
        <v>9</v>
      </c>
      <c r="C179" s="26" t="n">
        <v>262</v>
      </c>
      <c r="D179" s="27" t="inlineStr">
        <is>
          <t>子之容色</t>
        </is>
      </c>
      <c r="E179" s="28" t="inlineStr">
        <is>
          <t>不少瘳</t>
        </is>
      </c>
      <c r="F179" s="27" t="inlineStr">
        <is>
          <t>得無敗萬金乎</t>
        </is>
      </c>
      <c r="G179" s="26" t="n"/>
      <c r="H179" s="29" t="n"/>
      <c r="I179" s="30" t="n"/>
      <c r="J179" s="30" t="n"/>
      <c r="K179" s="30" t="n"/>
      <c r="L179" s="30" t="n"/>
      <c r="M179" s="31" t="n"/>
      <c r="N179" s="29" t="n"/>
      <c r="O179" s="31" t="n"/>
    </row>
    <row r="180" ht="15" customHeight="1" s="16">
      <c r="A180" s="26" t="n">
        <v>179</v>
      </c>
      <c r="B180" s="26" t="n">
        <v>9</v>
      </c>
      <c r="C180" s="26" t="n">
        <v>263</v>
      </c>
      <c r="D180" s="27" t="inlineStr">
        <is>
          <t>不少瘳</t>
        </is>
      </c>
      <c r="E180" s="32" t="inlineStr">
        <is>
          <t>得無敗萬金乎</t>
        </is>
      </c>
      <c r="F180" s="27" t="inlineStr">
        <is>
          <t>許生笑曰</t>
        </is>
      </c>
      <c r="G180" s="26" t="inlineStr">
        <is>
          <t>●</t>
        </is>
      </c>
      <c r="H180" s="29" t="n"/>
      <c r="I180" s="30" t="n"/>
      <c r="J180" s="30" t="n"/>
      <c r="K180" s="30" t="n"/>
      <c r="L180" s="30" t="n"/>
      <c r="M180" s="31" t="n"/>
      <c r="N180" s="29" t="n"/>
      <c r="O180" s="31" t="n"/>
    </row>
    <row r="181" ht="15" customHeight="1" s="16">
      <c r="A181" s="26" t="n">
        <v>180</v>
      </c>
      <c r="B181" s="26" t="n">
        <v>9</v>
      </c>
      <c r="C181" s="26" t="n">
        <v>264</v>
      </c>
      <c r="D181" s="27" t="inlineStr">
        <is>
          <t>得無敗萬金乎</t>
        </is>
      </c>
      <c r="E181" s="28" t="inlineStr">
        <is>
          <t>許生笑曰</t>
        </is>
      </c>
      <c r="F181" s="27" t="inlineStr">
        <is>
          <t>以財粹面</t>
        </is>
      </c>
      <c r="G181" s="26" t="n"/>
      <c r="H181" s="29" t="n"/>
      <c r="I181" s="30" t="n"/>
      <c r="J181" s="30" t="n"/>
      <c r="K181" s="30" t="n"/>
      <c r="L181" s="30" t="n"/>
      <c r="M181" s="31" t="n"/>
      <c r="N181" s="29" t="n"/>
      <c r="O181" s="31" t="n"/>
    </row>
    <row r="182" ht="15" customHeight="1" s="16">
      <c r="A182" s="26" t="n">
        <v>181</v>
      </c>
      <c r="B182" s="26" t="n">
        <v>9</v>
      </c>
      <c r="C182" s="26" t="n">
        <v>265</v>
      </c>
      <c r="D182" s="27" t="inlineStr">
        <is>
          <t>許生笑曰</t>
        </is>
      </c>
      <c r="E182" s="32" t="inlineStr">
        <is>
          <t>以財粹面</t>
        </is>
      </c>
      <c r="F182" s="27" t="inlineStr">
        <is>
          <t>君輩事耳</t>
        </is>
      </c>
      <c r="G182" s="26" t="inlineStr">
        <is>
          <t>●</t>
        </is>
      </c>
      <c r="H182" s="29" t="n"/>
      <c r="I182" s="30" t="n"/>
      <c r="J182" s="30" t="n"/>
      <c r="K182" s="30" t="n"/>
      <c r="L182" s="30" t="n"/>
      <c r="M182" s="31" t="n"/>
      <c r="N182" s="29" t="n"/>
      <c r="O182" s="31" t="n"/>
    </row>
    <row r="183" ht="15" customHeight="1" s="16">
      <c r="A183" s="26" t="n">
        <v>182</v>
      </c>
      <c r="B183" s="26" t="n">
        <v>9</v>
      </c>
      <c r="C183" s="26" t="n">
        <v>266</v>
      </c>
      <c r="D183" s="27" t="inlineStr">
        <is>
          <t>以財粹面</t>
        </is>
      </c>
      <c r="E183" s="28" t="inlineStr">
        <is>
          <t>君輩事耳</t>
        </is>
      </c>
      <c r="F183" s="27" t="inlineStr">
        <is>
          <t>萬金何肥於道哉</t>
        </is>
      </c>
      <c r="G183" s="26" t="n"/>
      <c r="H183" s="29" t="n"/>
      <c r="I183" s="30" t="n"/>
      <c r="J183" s="30" t="n"/>
      <c r="K183" s="30" t="n"/>
      <c r="L183" s="30" t="n"/>
      <c r="M183" s="31" t="n"/>
      <c r="N183" s="29" t="n"/>
      <c r="O183" s="31" t="n"/>
    </row>
    <row r="184" ht="15" customHeight="1" s="16">
      <c r="A184" s="26" t="n">
        <v>183</v>
      </c>
      <c r="B184" s="26" t="n">
        <v>9</v>
      </c>
      <c r="C184" s="26" t="n">
        <v>267</v>
      </c>
      <c r="D184" s="27" t="inlineStr">
        <is>
          <t>君輩事耳</t>
        </is>
      </c>
      <c r="E184" s="32" t="inlineStr">
        <is>
          <t>萬金何肥於道哉</t>
        </is>
      </c>
      <c r="F184" s="27" t="inlineStr">
        <is>
          <t>於是以銀</t>
        </is>
      </c>
      <c r="G184" s="26" t="inlineStr">
        <is>
          <t>●</t>
        </is>
      </c>
      <c r="H184" s="29" t="n"/>
      <c r="I184" s="30" t="n"/>
      <c r="J184" s="30" t="n"/>
      <c r="K184" s="30" t="n"/>
      <c r="L184" s="30" t="n"/>
      <c r="M184" s="31" t="n"/>
      <c r="N184" s="29" t="n"/>
      <c r="O184" s="31" t="n"/>
    </row>
    <row r="185" ht="15" customHeight="1" s="16">
      <c r="A185" s="26" t="n">
        <v>184</v>
      </c>
      <c r="B185" s="26" t="n">
        <v>9</v>
      </c>
      <c r="C185" s="26" t="n">
        <v>268</v>
      </c>
      <c r="D185" s="27" t="inlineStr">
        <is>
          <t>萬金何肥於道哉</t>
        </is>
      </c>
      <c r="E185" s="32" t="inlineStr">
        <is>
          <t>於是以銀</t>
        </is>
      </c>
      <c r="F185" s="27" t="inlineStr">
        <is>
          <t>十萬付卞氏曰</t>
        </is>
      </c>
      <c r="G185" s="26" t="inlineStr">
        <is>
          <t>●</t>
        </is>
      </c>
      <c r="H185" s="29" t="n"/>
      <c r="I185" s="30" t="n"/>
      <c r="J185" s="30" t="n"/>
      <c r="K185" s="30" t="n"/>
      <c r="L185" s="30" t="n"/>
      <c r="M185" s="31" t="n"/>
      <c r="N185" s="29" t="n"/>
      <c r="O185" s="31" t="n"/>
    </row>
    <row r="186" ht="15" customHeight="1" s="16">
      <c r="A186" s="26" t="n">
        <v>185</v>
      </c>
      <c r="B186" s="26" t="n">
        <v>9</v>
      </c>
      <c r="C186" s="26" t="n">
        <v>269</v>
      </c>
      <c r="D186" s="27" t="inlineStr">
        <is>
          <t>於是以銀</t>
        </is>
      </c>
      <c r="E186" s="28" t="inlineStr">
        <is>
          <t>十萬付卞氏曰</t>
        </is>
      </c>
      <c r="F186" s="27" t="inlineStr">
        <is>
          <t>吾不耐一朝之饑</t>
        </is>
      </c>
      <c r="G186" s="26" t="n"/>
      <c r="H186" s="29" t="n"/>
      <c r="I186" s="30" t="n"/>
      <c r="J186" s="30" t="n"/>
      <c r="K186" s="30" t="n"/>
      <c r="L186" s="30" t="n"/>
      <c r="M186" s="31" t="n"/>
      <c r="N186" s="29" t="n"/>
      <c r="O186" s="31" t="n"/>
    </row>
    <row r="187" ht="15" customHeight="1" s="16">
      <c r="A187" s="26" t="n">
        <v>186</v>
      </c>
      <c r="B187" s="26" t="n">
        <v>9</v>
      </c>
      <c r="C187" s="26" t="n">
        <v>271</v>
      </c>
      <c r="D187" s="27" t="inlineStr">
        <is>
          <t>吾不耐一朝之饑</t>
        </is>
      </c>
      <c r="E187" s="28" t="inlineStr">
        <is>
          <t>未竟讀書</t>
        </is>
      </c>
      <c r="F187" s="27" t="inlineStr">
        <is>
          <t>慙君萬金</t>
        </is>
      </c>
      <c r="G187" s="26" t="n"/>
      <c r="H187" s="29" t="n"/>
      <c r="I187" s="30" t="n"/>
      <c r="J187" s="30" t="n"/>
      <c r="K187" s="30" t="n"/>
      <c r="L187" s="30" t="n"/>
      <c r="M187" s="31" t="n"/>
      <c r="N187" s="29" t="n"/>
      <c r="O187" s="31" t="n"/>
    </row>
    <row r="188" ht="15" customHeight="1" s="16">
      <c r="A188" s="26" t="n">
        <v>187</v>
      </c>
      <c r="B188" s="26" t="n">
        <v>9</v>
      </c>
      <c r="C188" s="26" t="n">
        <v>272</v>
      </c>
      <c r="D188" s="27" t="inlineStr">
        <is>
          <t>未竟讀書</t>
        </is>
      </c>
      <c r="E188" s="32" t="inlineStr">
        <is>
          <t>慙君萬金</t>
        </is>
      </c>
      <c r="F188" s="27" t="inlineStr">
        <is>
          <t>卞氏大驚</t>
        </is>
      </c>
      <c r="G188" s="26" t="inlineStr">
        <is>
          <t>●</t>
        </is>
      </c>
      <c r="H188" s="29" t="n"/>
      <c r="I188" s="30" t="n"/>
      <c r="J188" s="30" t="n"/>
      <c r="K188" s="30" t="n"/>
      <c r="L188" s="30" t="n"/>
      <c r="M188" s="31" t="n"/>
      <c r="N188" s="29" t="n"/>
      <c r="O188" s="31" t="n"/>
    </row>
    <row r="189" ht="15" customHeight="1" s="16">
      <c r="A189" s="26" t="n">
        <v>188</v>
      </c>
      <c r="B189" s="26" t="n">
        <v>9</v>
      </c>
      <c r="C189" s="26" t="n">
        <v>273</v>
      </c>
      <c r="D189" s="27" t="inlineStr">
        <is>
          <t>慙君萬金</t>
        </is>
      </c>
      <c r="E189" s="28" t="inlineStr">
        <is>
          <t>卞氏大驚</t>
        </is>
      </c>
      <c r="F189" s="27" t="inlineStr">
        <is>
          <t>起拜辭謝</t>
        </is>
      </c>
      <c r="G189" s="26" t="n"/>
      <c r="H189" s="29" t="n"/>
      <c r="I189" s="30" t="n"/>
      <c r="J189" s="30" t="n"/>
      <c r="K189" s="30" t="n"/>
      <c r="L189" s="30" t="n"/>
      <c r="M189" s="31" t="n"/>
      <c r="N189" s="29" t="n"/>
      <c r="O189" s="31" t="n"/>
    </row>
    <row r="190" ht="15" customHeight="1" s="16">
      <c r="A190" s="26" t="n">
        <v>189</v>
      </c>
      <c r="B190" s="26" t="n">
        <v>9</v>
      </c>
      <c r="C190" s="26" t="n">
        <v>274</v>
      </c>
      <c r="D190" s="27" t="inlineStr">
        <is>
          <t>卞氏大驚</t>
        </is>
      </c>
      <c r="E190" s="28" t="inlineStr">
        <is>
          <t>起拜辭謝</t>
        </is>
      </c>
      <c r="F190" s="27" t="inlineStr">
        <is>
          <t>願受什一之利</t>
        </is>
      </c>
      <c r="G190" s="26" t="n"/>
      <c r="H190" s="29" t="n"/>
      <c r="I190" s="30" t="n"/>
      <c r="J190" s="30" t="n"/>
      <c r="K190" s="30" t="n"/>
      <c r="L190" s="30" t="n"/>
      <c r="M190" s="31" t="n"/>
      <c r="N190" s="29" t="n"/>
      <c r="O190" s="31" t="n"/>
    </row>
    <row r="191" ht="15" customHeight="1" s="16">
      <c r="A191" s="26" t="n">
        <v>190</v>
      </c>
      <c r="B191" s="26" t="n">
        <v>9</v>
      </c>
      <c r="C191" s="26" t="n">
        <v>275</v>
      </c>
      <c r="D191" s="27" t="inlineStr">
        <is>
          <t>起拜辭謝</t>
        </is>
      </c>
      <c r="E191" s="32" t="inlineStr">
        <is>
          <t>願受什一之利</t>
        </is>
      </c>
      <c r="F191" s="27" t="inlineStr">
        <is>
          <t>許生大怒</t>
        </is>
      </c>
      <c r="G191" s="26" t="inlineStr">
        <is>
          <t>●</t>
        </is>
      </c>
      <c r="H191" s="29" t="n"/>
      <c r="I191" s="30" t="n"/>
      <c r="J191" s="30" t="n"/>
      <c r="K191" s="30" t="n"/>
      <c r="L191" s="30" t="n"/>
      <c r="M191" s="31" t="n"/>
      <c r="N191" s="29" t="n"/>
      <c r="O191" s="31" t="n"/>
    </row>
    <row r="192" ht="15" customHeight="1" s="16">
      <c r="A192" s="26" t="n">
        <v>191</v>
      </c>
      <c r="B192" s="26" t="n">
        <v>9</v>
      </c>
      <c r="C192" s="26" t="n">
        <v>276</v>
      </c>
      <c r="D192" s="27" t="inlineStr">
        <is>
          <t>願受什一之利</t>
        </is>
      </c>
      <c r="E192" s="28" t="inlineStr">
        <is>
          <t>許生大怒</t>
        </is>
      </c>
      <c r="F192" s="27" t="inlineStr">
        <is>
          <t>曰</t>
        </is>
      </c>
      <c r="G192" s="26" t="n"/>
      <c r="H192" s="29" t="n"/>
      <c r="I192" s="30" t="n"/>
      <c r="J192" s="30" t="n"/>
      <c r="K192" s="30" t="n"/>
      <c r="L192" s="30" t="n"/>
      <c r="M192" s="31" t="n"/>
      <c r="N192" s="29" t="n"/>
      <c r="O192" s="31" t="n"/>
    </row>
    <row r="193" ht="15" customHeight="1" s="16">
      <c r="A193" s="26" t="n">
        <v>192</v>
      </c>
      <c r="B193" s="26" t="n">
        <v>9</v>
      </c>
      <c r="C193" s="26" t="n">
        <v>277</v>
      </c>
      <c r="D193" s="27" t="inlineStr">
        <is>
          <t>許生大怒</t>
        </is>
      </c>
      <c r="E193" s="28" t="inlineStr">
        <is>
          <t>曰</t>
        </is>
      </c>
      <c r="F193" s="27" t="inlineStr">
        <is>
          <t>君何以賈竪視我</t>
        </is>
      </c>
      <c r="G193" s="26" t="n"/>
      <c r="H193" s="29" t="n"/>
      <c r="I193" s="30" t="n"/>
      <c r="J193" s="30" t="n"/>
      <c r="K193" s="30" t="n"/>
      <c r="L193" s="30" t="n"/>
      <c r="M193" s="31" t="n"/>
      <c r="N193" s="29" t="n"/>
      <c r="O193" s="31" t="n"/>
    </row>
    <row r="194" ht="15" customHeight="1" s="16">
      <c r="A194" s="26" t="n">
        <v>193</v>
      </c>
      <c r="B194" s="26" t="n">
        <v>9</v>
      </c>
      <c r="C194" s="26" t="n">
        <v>278</v>
      </c>
      <c r="D194" s="27" t="inlineStr">
        <is>
          <t>曰</t>
        </is>
      </c>
      <c r="E194" s="32" t="inlineStr">
        <is>
          <t>君何以賈竪視我</t>
        </is>
      </c>
      <c r="F194" s="27" t="inlineStr">
        <is>
          <t>拂衣而去</t>
        </is>
      </c>
      <c r="G194" s="26" t="inlineStr">
        <is>
          <t>●</t>
        </is>
      </c>
      <c r="H194" s="29" t="n"/>
      <c r="I194" s="30" t="n"/>
      <c r="J194" s="30" t="n"/>
      <c r="K194" s="30" t="n"/>
      <c r="L194" s="30" t="n"/>
      <c r="M194" s="31" t="n"/>
      <c r="N194" s="29" t="n"/>
      <c r="O194" s="31" t="n"/>
    </row>
    <row r="195" ht="15" customHeight="1" s="16">
      <c r="A195" s="26" t="n">
        <v>194</v>
      </c>
      <c r="B195" s="26" t="n">
        <v>9</v>
      </c>
      <c r="C195" s="26" t="n">
        <v>279</v>
      </c>
      <c r="D195" s="27" t="inlineStr">
        <is>
          <t>君何以賈竪視我</t>
        </is>
      </c>
      <c r="E195" s="28" t="inlineStr">
        <is>
          <t>拂衣而去</t>
        </is>
      </c>
      <c r="F195" s="27" t="inlineStr">
        <is>
          <t>卞氏潛踵之</t>
        </is>
      </c>
      <c r="G195" s="26" t="n"/>
      <c r="H195" s="29" t="n"/>
      <c r="I195" s="30" t="n"/>
      <c r="J195" s="30" t="n"/>
      <c r="K195" s="30" t="n"/>
      <c r="L195" s="30" t="n"/>
      <c r="M195" s="31" t="n"/>
      <c r="N195" s="29" t="n"/>
      <c r="O195" s="31" t="n"/>
    </row>
    <row r="196" ht="15" customHeight="1" s="16">
      <c r="A196" s="26" t="n">
        <v>195</v>
      </c>
      <c r="B196" s="26" t="n">
        <v>9</v>
      </c>
      <c r="C196" s="26" t="n">
        <v>289</v>
      </c>
      <c r="D196" s="27" t="inlineStr">
        <is>
          <t>嫗曰</t>
        </is>
      </c>
      <c r="E196" s="28" t="inlineStr">
        <is>
          <t>許生員宅</t>
        </is>
      </c>
      <c r="F196" s="27" t="inlineStr">
        <is>
          <t>貧而好讀書</t>
        </is>
      </c>
      <c r="G196" s="26" t="n"/>
      <c r="H196" s="29" t="n"/>
      <c r="I196" s="30" t="n"/>
      <c r="J196" s="30" t="n"/>
      <c r="K196" s="30" t="n"/>
      <c r="L196" s="30" t="n"/>
      <c r="M196" s="31" t="n"/>
      <c r="N196" s="29" t="n"/>
      <c r="O196" s="31" t="n"/>
    </row>
    <row r="197" ht="15" customHeight="1" s="16">
      <c r="A197" s="26" t="n">
        <v>196</v>
      </c>
      <c r="B197" s="26" t="n">
        <v>9</v>
      </c>
      <c r="C197" s="26" t="n">
        <v>290</v>
      </c>
      <c r="D197" s="27" t="inlineStr">
        <is>
          <t>許生員宅</t>
        </is>
      </c>
      <c r="E197" s="32" t="inlineStr">
        <is>
          <t>貧而好讀書</t>
        </is>
      </c>
      <c r="F197" s="27" t="inlineStr">
        <is>
          <t>一朝出門不返者已五年</t>
        </is>
      </c>
      <c r="G197" s="26" t="inlineStr">
        <is>
          <t>●</t>
        </is>
      </c>
      <c r="H197" s="29" t="n"/>
      <c r="I197" s="30" t="n"/>
      <c r="J197" s="30" t="n"/>
      <c r="K197" s="30" t="n"/>
      <c r="L197" s="30" t="n"/>
      <c r="M197" s="31" t="n"/>
      <c r="N197" s="29" t="n"/>
      <c r="O197" s="31" t="n"/>
    </row>
    <row r="198" ht="15" customHeight="1" s="16">
      <c r="A198" s="26" t="n">
        <v>197</v>
      </c>
      <c r="B198" s="26" t="n">
        <v>9</v>
      </c>
      <c r="C198" s="26" t="n">
        <v>291</v>
      </c>
      <c r="D198" s="27" t="inlineStr">
        <is>
          <t>貧而好讀書</t>
        </is>
      </c>
      <c r="E198" s="28" t="inlineStr">
        <is>
          <t>一朝出門不返者已五年</t>
        </is>
      </c>
      <c r="F198" s="27" t="inlineStr">
        <is>
          <t>獨有妻在</t>
        </is>
      </c>
      <c r="G198" s="26" t="n"/>
      <c r="H198" s="29" t="n"/>
      <c r="I198" s="30" t="n"/>
      <c r="J198" s="30" t="n"/>
      <c r="K198" s="30" t="n"/>
      <c r="L198" s="30" t="n"/>
      <c r="M198" s="31" t="n"/>
      <c r="N198" s="29" t="n"/>
      <c r="O198" s="31" t="n"/>
    </row>
    <row r="199" ht="15" customHeight="1" s="16">
      <c r="A199" s="26" t="n">
        <v>198</v>
      </c>
      <c r="B199" s="26" t="n">
        <v>9</v>
      </c>
      <c r="C199" s="26" t="n">
        <v>295</v>
      </c>
      <c r="D199" s="27" t="inlineStr">
        <is>
          <t>卞氏始知客</t>
        </is>
      </c>
      <c r="E199" s="28" t="inlineStr">
        <is>
          <t>乃姓許</t>
        </is>
      </c>
      <c r="F199" s="27" t="inlineStr">
        <is>
          <t>歎息而歸</t>
        </is>
      </c>
      <c r="G199" s="26" t="n"/>
      <c r="H199" s="29" t="n"/>
      <c r="I199" s="30" t="n"/>
      <c r="J199" s="30" t="n"/>
      <c r="K199" s="30" t="n"/>
      <c r="L199" s="30" t="n"/>
      <c r="M199" s="31" t="n"/>
      <c r="N199" s="29" t="n"/>
      <c r="O199" s="31" t="n"/>
    </row>
    <row r="200" ht="15" customHeight="1" s="16">
      <c r="A200" s="26" t="n">
        <v>199</v>
      </c>
      <c r="B200" s="26" t="n">
        <v>9</v>
      </c>
      <c r="C200" s="26" t="n">
        <v>296</v>
      </c>
      <c r="D200" s="27" t="inlineStr">
        <is>
          <t>乃姓許</t>
        </is>
      </c>
      <c r="E200" s="32" t="inlineStr">
        <is>
          <t>歎息而歸</t>
        </is>
      </c>
      <c r="F200" s="27" t="inlineStr">
        <is>
          <t>明日悉持其銀往遺之</t>
        </is>
      </c>
      <c r="G200" s="26" t="inlineStr">
        <is>
          <t>●</t>
        </is>
      </c>
      <c r="H200" s="29" t="n"/>
      <c r="I200" s="30" t="n"/>
      <c r="J200" s="30" t="n"/>
      <c r="K200" s="30" t="n"/>
      <c r="L200" s="30" t="n"/>
      <c r="M200" s="31" t="n"/>
      <c r="N200" s="29" t="n"/>
      <c r="O200" s="31" t="n"/>
    </row>
    <row r="201" ht="15" customHeight="1" s="16">
      <c r="A201" s="26" t="n">
        <v>200</v>
      </c>
      <c r="B201" s="26" t="n">
        <v>9</v>
      </c>
      <c r="C201" s="26" t="n">
        <v>297</v>
      </c>
      <c r="D201" s="27" t="inlineStr">
        <is>
          <t>歎息而歸</t>
        </is>
      </c>
      <c r="E201" s="32" t="inlineStr">
        <is>
          <t>明日悉持其銀往遺之</t>
        </is>
      </c>
      <c r="F201" s="27" t="inlineStr">
        <is>
          <t>許生辭曰</t>
        </is>
      </c>
      <c r="G201" s="26" t="inlineStr">
        <is>
          <t>●</t>
        </is>
      </c>
      <c r="H201" s="29" t="n"/>
      <c r="I201" s="30" t="n"/>
      <c r="J201" s="30" t="n"/>
      <c r="K201" s="30" t="n"/>
      <c r="L201" s="30" t="n"/>
      <c r="M201" s="31" t="n"/>
      <c r="N201" s="29" t="n"/>
      <c r="O201" s="31" t="n"/>
    </row>
    <row r="202" ht="15" customHeight="1" s="16">
      <c r="A202" s="26" t="n">
        <v>201</v>
      </c>
      <c r="B202" s="26" t="n">
        <v>9</v>
      </c>
      <c r="C202" s="26" t="n">
        <v>298</v>
      </c>
      <c r="D202" s="27" t="inlineStr">
        <is>
          <t>明日悉持其銀往遺之</t>
        </is>
      </c>
      <c r="E202" s="28" t="inlineStr">
        <is>
          <t>許生辭曰</t>
        </is>
      </c>
      <c r="F202" s="27" t="inlineStr">
        <is>
          <t>我欲富也</t>
        </is>
      </c>
      <c r="G202" s="26" t="n"/>
      <c r="H202" s="29" t="n"/>
      <c r="I202" s="30" t="n"/>
      <c r="J202" s="30" t="n"/>
      <c r="K202" s="30" t="n"/>
      <c r="L202" s="30" t="n"/>
      <c r="M202" s="31" t="n"/>
      <c r="N202" s="29" t="n"/>
      <c r="O202" s="31" t="n"/>
    </row>
    <row r="203" ht="15" customHeight="1" s="16">
      <c r="A203" s="26" t="n">
        <v>202</v>
      </c>
      <c r="B203" s="26" t="n">
        <v>9</v>
      </c>
      <c r="C203" s="26" t="n">
        <v>299</v>
      </c>
      <c r="D203" s="27" t="inlineStr">
        <is>
          <t>許生辭曰</t>
        </is>
      </c>
      <c r="E203" s="32" t="inlineStr">
        <is>
          <t>我欲富也</t>
        </is>
      </c>
      <c r="F203" s="27" t="inlineStr">
        <is>
          <t>棄百萬而取十萬乎</t>
        </is>
      </c>
      <c r="G203" s="26" t="inlineStr">
        <is>
          <t>●</t>
        </is>
      </c>
      <c r="H203" s="29" t="n"/>
      <c r="I203" s="30" t="n"/>
      <c r="J203" s="30" t="n"/>
      <c r="K203" s="30" t="n"/>
      <c r="L203" s="30" t="n"/>
      <c r="M203" s="31" t="n"/>
      <c r="N203" s="29" t="n"/>
      <c r="O203" s="31" t="n"/>
    </row>
    <row r="204" ht="15" customHeight="1" s="16">
      <c r="A204" s="26" t="n">
        <v>203</v>
      </c>
      <c r="B204" s="26" t="n">
        <v>9</v>
      </c>
      <c r="C204" s="26" t="n">
        <v>300</v>
      </c>
      <c r="D204" s="27" t="inlineStr">
        <is>
          <t>我欲富也</t>
        </is>
      </c>
      <c r="E204" s="28" t="inlineStr">
        <is>
          <t>棄百萬而取十萬乎</t>
        </is>
      </c>
      <c r="F204" s="27" t="inlineStr">
        <is>
          <t>吾從今得君而活</t>
        </is>
      </c>
      <c r="G204" s="26" t="n"/>
      <c r="H204" s="29" t="n"/>
      <c r="I204" s="30" t="n"/>
      <c r="J204" s="30" t="n"/>
      <c r="K204" s="30" t="n"/>
      <c r="L204" s="30" t="n"/>
      <c r="M204" s="31" t="n"/>
      <c r="N204" s="29" t="n"/>
      <c r="O204" s="31" t="n"/>
    </row>
    <row r="205" ht="15" customHeight="1" s="16">
      <c r="A205" s="26" t="n">
        <v>204</v>
      </c>
      <c r="B205" s="26" t="n">
        <v>9</v>
      </c>
      <c r="C205" s="26" t="n">
        <v>305</v>
      </c>
      <c r="D205" s="27" t="inlineStr">
        <is>
          <t>度身授布</t>
        </is>
      </c>
      <c r="E205" s="28" t="inlineStr">
        <is>
          <t>一生如此足矣</t>
        </is>
      </c>
      <c r="F205" s="27" t="inlineStr">
        <is>
          <t>孰肯以財勞神</t>
        </is>
      </c>
      <c r="G205" s="26" t="n"/>
      <c r="H205" s="29" t="n"/>
      <c r="I205" s="30" t="n"/>
      <c r="J205" s="30" t="n"/>
      <c r="K205" s="30" t="n"/>
      <c r="L205" s="30" t="n"/>
      <c r="M205" s="31" t="n"/>
      <c r="N205" s="29" t="n"/>
      <c r="O205" s="31" t="n"/>
    </row>
    <row r="206" ht="15" customHeight="1" s="16">
      <c r="A206" s="26" t="n">
        <v>205</v>
      </c>
      <c r="B206" s="26" t="n">
        <v>9</v>
      </c>
      <c r="C206" s="26" t="n">
        <v>306</v>
      </c>
      <c r="D206" s="27" t="inlineStr">
        <is>
          <t>一生如此足矣</t>
        </is>
      </c>
      <c r="E206" s="32" t="inlineStr">
        <is>
          <t>孰肯以財勞神</t>
        </is>
      </c>
      <c r="F206" s="27" t="inlineStr">
        <is>
          <t>卞氏說許生百端</t>
        </is>
      </c>
      <c r="G206" s="26" t="inlineStr">
        <is>
          <t>●</t>
        </is>
      </c>
      <c r="H206" s="29" t="n"/>
      <c r="I206" s="30" t="n"/>
      <c r="J206" s="30" t="n"/>
      <c r="K206" s="30" t="n"/>
      <c r="L206" s="30" t="n"/>
      <c r="M206" s="31" t="n"/>
      <c r="N206" s="29" t="n"/>
      <c r="O206" s="31" t="n"/>
    </row>
    <row r="207" ht="15" customHeight="1" s="16">
      <c r="A207" s="26" t="n">
        <v>206</v>
      </c>
      <c r="B207" s="26" t="n">
        <v>9</v>
      </c>
      <c r="C207" s="26" t="n">
        <v>307</v>
      </c>
      <c r="D207" s="27" t="inlineStr">
        <is>
          <t>孰肯以財勞神</t>
        </is>
      </c>
      <c r="E207" s="28" t="inlineStr">
        <is>
          <t>卞氏說許生百端</t>
        </is>
      </c>
      <c r="F207" s="27" t="inlineStr">
        <is>
          <t>竟不可奈何</t>
        </is>
      </c>
      <c r="G207" s="26" t="n"/>
      <c r="H207" s="29" t="n"/>
      <c r="I207" s="30" t="n"/>
      <c r="J207" s="30" t="n"/>
      <c r="K207" s="30" t="n"/>
      <c r="L207" s="30" t="n"/>
      <c r="M207" s="31" t="n"/>
      <c r="N207" s="29" t="n"/>
      <c r="O207" s="31" t="n"/>
    </row>
    <row r="208" ht="15" customHeight="1" s="16">
      <c r="A208" s="26" t="n">
        <v>207</v>
      </c>
      <c r="B208" s="26" t="n">
        <v>9</v>
      </c>
      <c r="C208" s="26" t="n">
        <v>326</v>
      </c>
      <c r="D208" s="27" t="inlineStr">
        <is>
          <t>故百物生于其中</t>
        </is>
      </c>
      <c r="E208" s="28" t="inlineStr">
        <is>
          <t>消于其中</t>
        </is>
      </c>
      <c r="F208" s="27" t="inlineStr">
        <is>
          <t>夫千金小財也</t>
        </is>
      </c>
      <c r="G208" s="26" t="n"/>
      <c r="H208" s="29" t="n"/>
      <c r="I208" s="30" t="n"/>
      <c r="J208" s="30" t="n"/>
      <c r="K208" s="30" t="n"/>
      <c r="L208" s="30" t="n"/>
      <c r="M208" s="31" t="n"/>
      <c r="N208" s="29" t="n"/>
      <c r="O208" s="31" t="n"/>
    </row>
    <row r="209" ht="15" customHeight="1" s="16">
      <c r="A209" s="26" t="n">
        <v>208</v>
      </c>
      <c r="B209" s="26" t="n">
        <v>9</v>
      </c>
      <c r="C209" s="26" t="n">
        <v>327</v>
      </c>
      <c r="D209" s="27" t="inlineStr">
        <is>
          <t>消于其中</t>
        </is>
      </c>
      <c r="E209" s="32" t="inlineStr">
        <is>
          <t>夫千金小財也</t>
        </is>
      </c>
      <c r="F209" s="27" t="inlineStr">
        <is>
          <t>未足以盡物</t>
        </is>
      </c>
      <c r="G209" s="26" t="inlineStr">
        <is>
          <t>●</t>
        </is>
      </c>
      <c r="H209" s="29" t="n"/>
      <c r="I209" s="30" t="n"/>
      <c r="J209" s="30" t="n"/>
      <c r="K209" s="30" t="n"/>
      <c r="L209" s="30" t="n"/>
      <c r="M209" s="31" t="n"/>
      <c r="N209" s="29" t="n"/>
      <c r="O209" s="31" t="n"/>
    </row>
    <row r="210" ht="15" customHeight="1" s="16">
      <c r="A210" s="26" t="n">
        <v>209</v>
      </c>
      <c r="B210" s="26" t="n">
        <v>9</v>
      </c>
      <c r="C210" s="26" t="n">
        <v>328</v>
      </c>
      <c r="D210" s="27" t="inlineStr">
        <is>
          <t>夫千金小財也</t>
        </is>
      </c>
      <c r="E210" s="28" t="inlineStr">
        <is>
          <t>未足以盡物</t>
        </is>
      </c>
      <c r="F210" s="27" t="inlineStr">
        <is>
          <t>然析而十之百金</t>
        </is>
      </c>
      <c r="G210" s="26" t="n"/>
      <c r="H210" s="29" t="n"/>
      <c r="I210" s="30" t="n"/>
      <c r="J210" s="30" t="n"/>
      <c r="K210" s="30" t="n"/>
      <c r="L210" s="30" t="n"/>
      <c r="M210" s="31" t="n"/>
      <c r="N210" s="29" t="n"/>
      <c r="O210" s="31" t="n"/>
    </row>
    <row r="211" ht="15" customHeight="1" s="16">
      <c r="A211" s="26" t="n">
        <v>210</v>
      </c>
      <c r="B211" s="26" t="n">
        <v>9</v>
      </c>
      <c r="C211" s="26" t="n">
        <v>332</v>
      </c>
      <c r="D211" s="27" t="inlineStr">
        <is>
          <t>十物</t>
        </is>
      </c>
      <c r="E211" s="28" t="inlineStr">
        <is>
          <t>物輕則易轉</t>
        </is>
      </c>
      <c r="F211" s="27" t="inlineStr">
        <is>
          <t>故一貨雖絀</t>
        </is>
      </c>
      <c r="G211" s="26" t="n"/>
      <c r="H211" s="29" t="n"/>
      <c r="I211" s="30" t="n"/>
      <c r="J211" s="30" t="n"/>
      <c r="K211" s="30" t="n"/>
      <c r="L211" s="30" t="n"/>
      <c r="M211" s="31" t="n"/>
      <c r="N211" s="29" t="n"/>
      <c r="O211" s="31" t="n"/>
    </row>
    <row r="212" ht="15" customHeight="1" s="16">
      <c r="A212" s="26" t="n">
        <v>211</v>
      </c>
      <c r="B212" s="26" t="n">
        <v>9</v>
      </c>
      <c r="C212" s="26" t="n">
        <v>333</v>
      </c>
      <c r="D212" s="27" t="inlineStr">
        <is>
          <t>物輕則易轉</t>
        </is>
      </c>
      <c r="E212" s="32" t="inlineStr">
        <is>
          <t>故一貨雖絀</t>
        </is>
      </c>
      <c r="F212" s="27" t="inlineStr">
        <is>
          <t>九貨伸之</t>
        </is>
      </c>
      <c r="G212" s="26" t="inlineStr">
        <is>
          <t>●</t>
        </is>
      </c>
      <c r="H212" s="29" t="n"/>
      <c r="I212" s="30" t="n"/>
      <c r="J212" s="30" t="n"/>
      <c r="K212" s="30" t="n"/>
      <c r="L212" s="30" t="n"/>
      <c r="M212" s="31" t="n"/>
      <c r="N212" s="29" t="n"/>
      <c r="O212" s="31" t="n"/>
    </row>
    <row r="213" ht="15" customHeight="1" s="16">
      <c r="A213" s="26" t="n">
        <v>212</v>
      </c>
      <c r="B213" s="26" t="n">
        <v>9</v>
      </c>
      <c r="C213" s="26" t="n">
        <v>334</v>
      </c>
      <c r="D213" s="27" t="inlineStr">
        <is>
          <t>故一貨雖絀</t>
        </is>
      </c>
      <c r="E213" s="32" t="inlineStr">
        <is>
          <t>九貨伸之</t>
        </is>
      </c>
      <c r="F213" s="27" t="inlineStr">
        <is>
          <t>此常利之道</t>
        </is>
      </c>
      <c r="G213" s="26" t="inlineStr">
        <is>
          <t>●</t>
        </is>
      </c>
      <c r="H213" s="29" t="n"/>
      <c r="I213" s="30" t="n"/>
      <c r="J213" s="30" t="n"/>
      <c r="K213" s="30" t="n"/>
      <c r="L213" s="30" t="n"/>
      <c r="M213" s="31" t="n"/>
      <c r="N213" s="29" t="n"/>
      <c r="O213" s="31" t="n"/>
    </row>
    <row r="214" ht="15" customHeight="1" s="16">
      <c r="A214" s="26" t="n">
        <v>213</v>
      </c>
      <c r="B214" s="26" t="n">
        <v>9</v>
      </c>
      <c r="C214" s="26" t="n">
        <v>335</v>
      </c>
      <c r="D214" s="27" t="inlineStr">
        <is>
          <t>九貨伸之</t>
        </is>
      </c>
      <c r="E214" s="32" t="inlineStr">
        <is>
          <t>此常利之道</t>
        </is>
      </c>
      <c r="F214" s="27" t="inlineStr">
        <is>
          <t>小人之賈也</t>
        </is>
      </c>
      <c r="G214" s="26" t="inlineStr">
        <is>
          <t>●</t>
        </is>
      </c>
      <c r="H214" s="29" t="n"/>
      <c r="I214" s="30" t="n"/>
      <c r="J214" s="30" t="n"/>
      <c r="K214" s="30" t="n"/>
      <c r="L214" s="30" t="n"/>
      <c r="M214" s="31" t="n"/>
      <c r="N214" s="29" t="n"/>
      <c r="O214" s="31" t="n"/>
    </row>
    <row r="215" ht="15" customHeight="1" s="16">
      <c r="A215" s="26" t="n">
        <v>214</v>
      </c>
      <c r="B215" s="26" t="n">
        <v>9</v>
      </c>
      <c r="C215" s="26" t="n">
        <v>336</v>
      </c>
      <c r="D215" s="27" t="inlineStr">
        <is>
          <t>此常利之道</t>
        </is>
      </c>
      <c r="E215" s="32" t="inlineStr">
        <is>
          <t>小人之賈也</t>
        </is>
      </c>
      <c r="F215" s="27" t="inlineStr">
        <is>
          <t>夫萬金足以盡物</t>
        </is>
      </c>
      <c r="G215" s="26" t="inlineStr">
        <is>
          <t>●</t>
        </is>
      </c>
      <c r="H215" s="29" t="n"/>
      <c r="I215" s="30" t="n"/>
      <c r="J215" s="30" t="n"/>
      <c r="K215" s="30" t="n"/>
      <c r="L215" s="30" t="n"/>
      <c r="M215" s="31" t="n"/>
      <c r="N215" s="29" t="n"/>
      <c r="O215" s="31" t="n"/>
    </row>
    <row r="216" ht="15" customHeight="1" s="16">
      <c r="A216" s="26" t="n">
        <v>215</v>
      </c>
      <c r="B216" s="26" t="n">
        <v>9</v>
      </c>
      <c r="C216" s="26" t="n">
        <v>337</v>
      </c>
      <c r="D216" s="27" t="inlineStr">
        <is>
          <t>小人之賈也</t>
        </is>
      </c>
      <c r="E216" s="32" t="inlineStr">
        <is>
          <t>夫萬金足以盡物</t>
        </is>
      </c>
      <c r="F216" s="27" t="inlineStr">
        <is>
          <t>故在車專車</t>
        </is>
      </c>
      <c r="G216" s="26" t="inlineStr">
        <is>
          <t>●</t>
        </is>
      </c>
      <c r="H216" s="29" t="n"/>
      <c r="I216" s="30" t="n"/>
      <c r="J216" s="30" t="n"/>
      <c r="K216" s="30" t="n"/>
      <c r="L216" s="30" t="n"/>
      <c r="M216" s="31" t="n"/>
      <c r="N216" s="29" t="n"/>
      <c r="O216" s="31" t="n"/>
    </row>
    <row r="217" ht="15" customHeight="1" s="16">
      <c r="A217" s="26" t="n">
        <v>216</v>
      </c>
      <c r="B217" s="26" t="n">
        <v>9</v>
      </c>
      <c r="C217" s="26" t="n">
        <v>338</v>
      </c>
      <c r="D217" s="27" t="inlineStr">
        <is>
          <t>夫萬金足以盡物</t>
        </is>
      </c>
      <c r="E217" s="28" t="inlineStr">
        <is>
          <t>故在車專車</t>
        </is>
      </c>
      <c r="F217" s="27" t="inlineStr">
        <is>
          <t>在船專船</t>
        </is>
      </c>
      <c r="G217" s="26" t="n"/>
      <c r="H217" s="29" t="n"/>
      <c r="I217" s="30" t="n"/>
      <c r="J217" s="30" t="n"/>
      <c r="K217" s="30" t="n"/>
      <c r="L217" s="30" t="n"/>
      <c r="M217" s="31" t="n"/>
      <c r="N217" s="29" t="n"/>
      <c r="O217" s="31" t="n"/>
    </row>
    <row r="218" ht="15" customHeight="1" s="16">
      <c r="A218" s="26" t="n">
        <v>217</v>
      </c>
      <c r="B218" s="26" t="n">
        <v>9</v>
      </c>
      <c r="C218" s="26" t="n">
        <v>342</v>
      </c>
      <c r="D218" s="27" t="inlineStr">
        <is>
          <t>如綱之有罟</t>
        </is>
      </c>
      <c r="E218" s="28" t="inlineStr">
        <is>
          <t>括物而數之</t>
        </is>
      </c>
      <c r="F218" s="27" t="inlineStr">
        <is>
          <t>陸之產萬</t>
        </is>
      </c>
      <c r="G218" s="26" t="n"/>
      <c r="H218" s="29" t="n"/>
      <c r="I218" s="30" t="n"/>
      <c r="J218" s="30" t="n"/>
      <c r="K218" s="30" t="n"/>
      <c r="L218" s="30" t="n"/>
      <c r="M218" s="31" t="n"/>
      <c r="N218" s="29" t="n"/>
      <c r="O218" s="31" t="n"/>
    </row>
    <row r="219" ht="15" customHeight="1" s="16">
      <c r="A219" s="26" t="n">
        <v>218</v>
      </c>
      <c r="B219" s="26" t="n">
        <v>9</v>
      </c>
      <c r="C219" s="26" t="n">
        <v>343</v>
      </c>
      <c r="D219" s="27" t="inlineStr">
        <is>
          <t>括物而數之</t>
        </is>
      </c>
      <c r="E219" s="32" t="inlineStr">
        <is>
          <t>陸之產萬</t>
        </is>
      </c>
      <c r="F219" s="27" t="inlineStr">
        <is>
          <t>潛停其一</t>
        </is>
      </c>
      <c r="G219" s="26" t="inlineStr">
        <is>
          <t>●</t>
        </is>
      </c>
      <c r="H219" s="29" t="n"/>
      <c r="I219" s="30" t="n"/>
      <c r="J219" s="30" t="n"/>
      <c r="K219" s="30" t="n"/>
      <c r="L219" s="30" t="n"/>
      <c r="M219" s="31" t="n"/>
      <c r="N219" s="29" t="n"/>
      <c r="O219" s="31" t="n"/>
    </row>
    <row r="220" ht="15" customHeight="1" s="16">
      <c r="A220" s="26" t="n">
        <v>219</v>
      </c>
      <c r="B220" s="26" t="n">
        <v>9</v>
      </c>
      <c r="C220" s="26" t="n">
        <v>344</v>
      </c>
      <c r="D220" s="27" t="inlineStr">
        <is>
          <t>陸之產萬</t>
        </is>
      </c>
      <c r="E220" s="28" t="inlineStr">
        <is>
          <t>潛停其一</t>
        </is>
      </c>
      <c r="F220" s="27" t="inlineStr">
        <is>
          <t>水之族萬</t>
        </is>
      </c>
      <c r="G220" s="26" t="n"/>
      <c r="H220" s="29" t="n"/>
      <c r="I220" s="30" t="n"/>
      <c r="J220" s="30" t="n"/>
      <c r="K220" s="30" t="n"/>
      <c r="L220" s="30" t="n"/>
      <c r="M220" s="31" t="n"/>
      <c r="N220" s="29" t="n"/>
      <c r="O220" s="31" t="n"/>
    </row>
    <row r="221" ht="15" customHeight="1" s="16">
      <c r="A221" s="26" t="n">
        <v>220</v>
      </c>
      <c r="B221" s="26" t="n">
        <v>9</v>
      </c>
      <c r="C221" s="26" t="n">
        <v>348</v>
      </c>
      <c r="D221" s="27" t="inlineStr">
        <is>
          <t>醫之材萬</t>
        </is>
      </c>
      <c r="E221" s="28" t="inlineStr">
        <is>
          <t>潛停其一</t>
        </is>
      </c>
      <c r="F221" s="27" t="inlineStr">
        <is>
          <t>一貨潛藏</t>
        </is>
      </c>
      <c r="G221" s="26" t="n"/>
      <c r="H221" s="29" t="n"/>
      <c r="I221" s="30" t="n"/>
      <c r="J221" s="30" t="n"/>
      <c r="K221" s="30" t="n"/>
      <c r="L221" s="30" t="n"/>
      <c r="M221" s="31" t="n"/>
      <c r="N221" s="29" t="n"/>
      <c r="O221" s="31" t="n"/>
    </row>
    <row r="222" ht="15" customHeight="1" s="16">
      <c r="A222" s="26" t="n">
        <v>221</v>
      </c>
      <c r="B222" s="26" t="n">
        <v>9</v>
      </c>
      <c r="C222" s="26" t="n">
        <v>349</v>
      </c>
      <c r="D222" s="27" t="inlineStr">
        <is>
          <t>潛停其一</t>
        </is>
      </c>
      <c r="E222" s="32" t="inlineStr">
        <is>
          <t>一貨潛藏</t>
        </is>
      </c>
      <c r="F222" s="27" t="inlineStr">
        <is>
          <t>百賈涸</t>
        </is>
      </c>
      <c r="G222" s="26" t="inlineStr">
        <is>
          <t>●</t>
        </is>
      </c>
      <c r="H222" s="29" t="n"/>
      <c r="I222" s="30" t="n"/>
      <c r="J222" s="30" t="n"/>
      <c r="K222" s="30" t="n"/>
      <c r="L222" s="30" t="n"/>
      <c r="M222" s="31" t="n"/>
      <c r="N222" s="29" t="n"/>
      <c r="O222" s="31" t="n"/>
    </row>
    <row r="223" ht="15" customHeight="1" s="16">
      <c r="A223" s="26" t="n">
        <v>222</v>
      </c>
      <c r="B223" s="26" t="n">
        <v>9</v>
      </c>
      <c r="C223" s="26" t="n">
        <v>350</v>
      </c>
      <c r="D223" s="27" t="inlineStr">
        <is>
          <t>一貨潛藏</t>
        </is>
      </c>
      <c r="E223" s="32" t="inlineStr">
        <is>
          <t>百賈涸</t>
        </is>
      </c>
      <c r="F223" s="27" t="inlineStr">
        <is>
          <t>此賊民之道也</t>
        </is>
      </c>
      <c r="G223" s="26" t="inlineStr">
        <is>
          <t>●</t>
        </is>
      </c>
      <c r="H223" s="29" t="n"/>
      <c r="I223" s="30" t="n"/>
      <c r="J223" s="30" t="n"/>
      <c r="K223" s="30" t="n"/>
      <c r="L223" s="30" t="n"/>
      <c r="M223" s="31" t="n"/>
      <c r="N223" s="29" t="n"/>
      <c r="O223" s="31" t="n"/>
    </row>
    <row r="224" ht="15" customHeight="1" s="16">
      <c r="A224" s="26" t="n">
        <v>223</v>
      </c>
      <c r="B224" s="26" t="n">
        <v>9</v>
      </c>
      <c r="C224" s="26" t="n">
        <v>351</v>
      </c>
      <c r="D224" s="27" t="inlineStr">
        <is>
          <t>百賈涸</t>
        </is>
      </c>
      <c r="E224" s="28" t="inlineStr">
        <is>
          <t>此賊民之道也</t>
        </is>
      </c>
      <c r="F224" s="27" t="inlineStr">
        <is>
          <t>後世有司者</t>
        </is>
      </c>
      <c r="G224" s="26" t="n"/>
      <c r="H224" s="29" t="n"/>
      <c r="I224" s="30" t="n"/>
      <c r="J224" s="30" t="n"/>
      <c r="K224" s="30" t="n"/>
      <c r="L224" s="30" t="n"/>
      <c r="M224" s="31" t="n"/>
      <c r="N224" s="29" t="n"/>
      <c r="O224" s="31" t="n"/>
    </row>
    <row r="225" ht="15" customHeight="1" s="16">
      <c r="A225" s="26" t="n">
        <v>224</v>
      </c>
      <c r="B225" s="26" t="n">
        <v>9</v>
      </c>
      <c r="C225" s="26" t="n">
        <v>356</v>
      </c>
      <c r="D225" s="27" t="inlineStr">
        <is>
          <t>卞氏曰</t>
        </is>
      </c>
      <c r="E225" s="28" t="inlineStr">
        <is>
          <t>初子何以</t>
        </is>
      </c>
      <c r="F225" s="27" t="inlineStr">
        <is>
          <t>知吾出萬金而來吾求也</t>
        </is>
      </c>
      <c r="G225" s="26" t="n"/>
      <c r="H225" s="29" t="n"/>
      <c r="I225" s="30" t="n"/>
      <c r="J225" s="30" t="n"/>
      <c r="K225" s="30" t="n"/>
      <c r="L225" s="30" t="n"/>
      <c r="M225" s="31" t="n"/>
      <c r="N225" s="29" t="n"/>
      <c r="O225" s="31" t="n"/>
    </row>
    <row r="226" ht="15" customHeight="1" s="16">
      <c r="A226" s="26" t="n">
        <v>225</v>
      </c>
      <c r="B226" s="26" t="n">
        <v>9</v>
      </c>
      <c r="C226" s="26" t="n">
        <v>357</v>
      </c>
      <c r="D226" s="27" t="inlineStr">
        <is>
          <t>初子何以</t>
        </is>
      </c>
      <c r="E226" s="32" t="inlineStr">
        <is>
          <t>知吾出萬金而來吾求也</t>
        </is>
      </c>
      <c r="F226" s="27" t="inlineStr">
        <is>
          <t>許生曰</t>
        </is>
      </c>
      <c r="G226" s="26" t="inlineStr">
        <is>
          <t>●</t>
        </is>
      </c>
      <c r="H226" s="29" t="n"/>
      <c r="I226" s="30" t="n"/>
      <c r="J226" s="30" t="n"/>
      <c r="K226" s="30" t="n"/>
      <c r="L226" s="30" t="n"/>
      <c r="M226" s="31" t="n"/>
      <c r="N226" s="29" t="n"/>
      <c r="O226" s="31" t="n"/>
    </row>
    <row r="227" ht="15" customHeight="1" s="16">
      <c r="A227" s="26" t="n">
        <v>226</v>
      </c>
      <c r="B227" s="26" t="n">
        <v>9</v>
      </c>
      <c r="C227" s="26" t="n">
        <v>358</v>
      </c>
      <c r="D227" s="27" t="inlineStr">
        <is>
          <t>知吾出萬金而來吾求也</t>
        </is>
      </c>
      <c r="E227" s="28" t="inlineStr">
        <is>
          <t>許生曰</t>
        </is>
      </c>
      <c r="F227" s="27" t="inlineStr">
        <is>
          <t>不必君與我也</t>
        </is>
      </c>
      <c r="G227" s="26" t="n"/>
      <c r="H227" s="29" t="n"/>
      <c r="I227" s="30" t="n"/>
      <c r="J227" s="30" t="n"/>
      <c r="K227" s="30" t="n"/>
      <c r="L227" s="30" t="n"/>
      <c r="M227" s="31" t="n"/>
      <c r="N227" s="29" t="n"/>
      <c r="O227" s="31" t="n"/>
    </row>
    <row r="228" ht="15" customHeight="1" s="16">
      <c r="A228" s="26" t="n">
        <v>227</v>
      </c>
      <c r="B228" s="26" t="n">
        <v>9</v>
      </c>
      <c r="C228" s="26" t="n">
        <v>359</v>
      </c>
      <c r="D228" s="27" t="inlineStr">
        <is>
          <t>許生曰</t>
        </is>
      </c>
      <c r="E228" s="28" t="inlineStr">
        <is>
          <t>不必君與我也</t>
        </is>
      </c>
      <c r="F228" s="27" t="inlineStr">
        <is>
          <t>能有萬金者</t>
        </is>
      </c>
      <c r="G228" s="26" t="n"/>
      <c r="H228" s="29" t="n"/>
      <c r="I228" s="30" t="n"/>
      <c r="J228" s="30" t="n"/>
      <c r="K228" s="30" t="n"/>
      <c r="L228" s="30" t="n"/>
      <c r="M228" s="31" t="n"/>
      <c r="N228" s="29" t="n"/>
      <c r="O228" s="31" t="n"/>
    </row>
    <row r="229" ht="15" customHeight="1" s="16">
      <c r="A229" s="26" t="n">
        <v>228</v>
      </c>
      <c r="B229" s="26" t="n">
        <v>9</v>
      </c>
      <c r="C229" s="26" t="n">
        <v>360</v>
      </c>
      <c r="D229" s="27" t="inlineStr">
        <is>
          <t>不必君與我也</t>
        </is>
      </c>
      <c r="E229" s="32" t="inlineStr">
        <is>
          <t>能有萬金者</t>
        </is>
      </c>
      <c r="F229" s="27" t="inlineStr">
        <is>
          <t>莫不與也</t>
        </is>
      </c>
      <c r="G229" s="26" t="inlineStr">
        <is>
          <t>●</t>
        </is>
      </c>
      <c r="H229" s="29" t="n"/>
      <c r="I229" s="30" t="n"/>
      <c r="J229" s="30" t="n"/>
      <c r="K229" s="30" t="n"/>
      <c r="L229" s="30" t="n"/>
      <c r="M229" s="31" t="n"/>
      <c r="N229" s="29" t="n"/>
      <c r="O229" s="31" t="n"/>
    </row>
    <row r="230" ht="15" customHeight="1" s="16">
      <c r="A230" s="26" t="n">
        <v>229</v>
      </c>
      <c r="B230" s="26" t="n">
        <v>9</v>
      </c>
      <c r="C230" s="26" t="n">
        <v>361</v>
      </c>
      <c r="D230" s="27" t="inlineStr">
        <is>
          <t>能有萬金者</t>
        </is>
      </c>
      <c r="E230" s="28" t="inlineStr">
        <is>
          <t>莫不與也</t>
        </is>
      </c>
      <c r="F230" s="27" t="inlineStr">
        <is>
          <t>吾自料吾才足以致百萬</t>
        </is>
      </c>
      <c r="G230" s="26" t="n"/>
      <c r="H230" s="29" t="n"/>
      <c r="I230" s="30" t="n"/>
      <c r="J230" s="30" t="n"/>
      <c r="K230" s="30" t="n"/>
      <c r="L230" s="30" t="n"/>
      <c r="M230" s="31" t="n"/>
      <c r="N230" s="29" t="n"/>
      <c r="O230" s="31" t="n"/>
    </row>
    <row r="231" ht="15" customHeight="1" s="16">
      <c r="A231" s="26" t="n">
        <v>230</v>
      </c>
      <c r="B231" s="26" t="n">
        <v>9</v>
      </c>
      <c r="C231" s="26" t="n">
        <v>367</v>
      </c>
      <c r="D231" s="27" t="inlineStr">
        <is>
          <t>故能用我者</t>
        </is>
      </c>
      <c r="E231" s="28" t="inlineStr">
        <is>
          <t>有福者也</t>
        </is>
      </c>
      <c r="F231" s="27" t="inlineStr">
        <is>
          <t>必富益富</t>
        </is>
      </c>
      <c r="G231" s="26" t="n"/>
      <c r="H231" s="29" t="n"/>
      <c r="I231" s="30" t="n"/>
      <c r="J231" s="30" t="n"/>
      <c r="K231" s="30" t="n"/>
      <c r="L231" s="30" t="n"/>
      <c r="M231" s="31" t="n"/>
      <c r="N231" s="29" t="n"/>
      <c r="O231" s="31" t="n"/>
    </row>
    <row r="232" ht="15" customHeight="1" s="16">
      <c r="A232" s="26" t="n">
        <v>231</v>
      </c>
      <c r="B232" s="26" t="n">
        <v>9</v>
      </c>
      <c r="C232" s="26" t="n">
        <v>368</v>
      </c>
      <c r="D232" s="27" t="inlineStr">
        <is>
          <t>有福者也</t>
        </is>
      </c>
      <c r="E232" s="32" t="inlineStr">
        <is>
          <t>必富益富</t>
        </is>
      </c>
      <c r="F232" s="27" t="inlineStr">
        <is>
          <t>天所命也</t>
        </is>
      </c>
      <c r="G232" s="26" t="inlineStr">
        <is>
          <t>●</t>
        </is>
      </c>
      <c r="H232" s="29" t="n"/>
      <c r="I232" s="30" t="n"/>
      <c r="J232" s="30" t="n"/>
      <c r="K232" s="30" t="n"/>
      <c r="L232" s="30" t="n"/>
      <c r="M232" s="31" t="n"/>
      <c r="N232" s="29" t="n"/>
      <c r="O232" s="31" t="n"/>
    </row>
    <row r="233" ht="15" customHeight="1" s="16">
      <c r="A233" s="26" t="n">
        <v>232</v>
      </c>
      <c r="B233" s="26" t="n">
        <v>9</v>
      </c>
      <c r="C233" s="26" t="n">
        <v>369</v>
      </c>
      <c r="D233" s="27" t="inlineStr">
        <is>
          <t>必富益富</t>
        </is>
      </c>
      <c r="E233" s="28" t="inlineStr">
        <is>
          <t>天所命也</t>
        </is>
      </c>
      <c r="F233" s="27" t="inlineStr">
        <is>
          <t>安得不與</t>
        </is>
      </c>
      <c r="G233" s="26" t="n"/>
      <c r="H233" s="29" t="n"/>
      <c r="I233" s="30" t="n"/>
      <c r="J233" s="30" t="n"/>
      <c r="K233" s="30" t="n"/>
      <c r="L233" s="30" t="n"/>
      <c r="M233" s="31" t="n"/>
      <c r="N233" s="29" t="n"/>
      <c r="O233" s="31" t="n"/>
    </row>
    <row r="234" ht="15" customHeight="1" s="16">
      <c r="A234" s="26" t="n">
        <v>233</v>
      </c>
      <c r="B234" s="26" t="n">
        <v>9</v>
      </c>
      <c r="C234" s="26" t="n">
        <v>370</v>
      </c>
      <c r="D234" s="27" t="inlineStr">
        <is>
          <t>天所命也</t>
        </is>
      </c>
      <c r="E234" s="28" t="inlineStr">
        <is>
          <t>安得不與</t>
        </is>
      </c>
      <c r="F234" s="27" t="inlineStr">
        <is>
          <t>旣得萬金</t>
        </is>
      </c>
      <c r="G234" s="26" t="n"/>
      <c r="H234" s="29" t="n"/>
      <c r="I234" s="30" t="n"/>
      <c r="J234" s="30" t="n"/>
      <c r="K234" s="30" t="n"/>
      <c r="L234" s="30" t="n"/>
      <c r="M234" s="31" t="n"/>
      <c r="N234" s="29" t="n"/>
      <c r="O234" s="31" t="n"/>
    </row>
    <row r="235" ht="15" customHeight="1" s="16">
      <c r="A235" s="26" t="n">
        <v>234</v>
      </c>
      <c r="B235" s="26" t="n">
        <v>9</v>
      </c>
      <c r="C235" s="26" t="n">
        <v>371</v>
      </c>
      <c r="D235" s="27" t="inlineStr">
        <is>
          <t>安得不與</t>
        </is>
      </c>
      <c r="E235" s="32" t="inlineStr">
        <is>
          <t>旣得萬金</t>
        </is>
      </c>
      <c r="F235" s="27" t="inlineStr">
        <is>
          <t>憑其福而</t>
        </is>
      </c>
      <c r="G235" s="26" t="inlineStr">
        <is>
          <t>●</t>
        </is>
      </c>
      <c r="H235" s="29" t="n"/>
      <c r="I235" s="30" t="n"/>
      <c r="J235" s="30" t="n"/>
      <c r="K235" s="30" t="n"/>
      <c r="L235" s="30" t="n"/>
      <c r="M235" s="31" t="n"/>
      <c r="N235" s="29" t="n"/>
      <c r="O235" s="31" t="n"/>
    </row>
    <row r="236" ht="15" customHeight="1" s="16">
      <c r="A236" s="26" t="n">
        <v>235</v>
      </c>
      <c r="B236" s="26" t="n">
        <v>9</v>
      </c>
      <c r="C236" s="26" t="n">
        <v>372</v>
      </c>
      <c r="D236" s="27" t="inlineStr">
        <is>
          <t>旣得萬金</t>
        </is>
      </c>
      <c r="E236" s="28" t="inlineStr">
        <is>
          <t>憑其福而</t>
        </is>
      </c>
      <c r="F236" s="27" t="inlineStr">
        <is>
          <t>行</t>
        </is>
      </c>
      <c r="G236" s="26" t="n"/>
      <c r="H236" s="29" t="n"/>
      <c r="I236" s="30" t="n"/>
      <c r="J236" s="30" t="n"/>
      <c r="K236" s="30" t="n"/>
      <c r="L236" s="30" t="n"/>
      <c r="M236" s="31" t="n"/>
      <c r="N236" s="29" t="n"/>
      <c r="O236" s="31" t="n"/>
    </row>
    <row r="237" ht="15" customHeight="1" s="16">
      <c r="A237" s="26" t="n">
        <v>236</v>
      </c>
      <c r="B237" s="26" t="n">
        <v>9</v>
      </c>
      <c r="C237" s="26" t="n">
        <v>393</v>
      </c>
      <c r="D237" s="27" t="inlineStr">
        <is>
          <t>今之謀國政者</t>
        </is>
      </c>
      <c r="E237" s="28" t="inlineStr">
        <is>
          <t>可知已</t>
        </is>
      </c>
      <c r="F237" s="27" t="inlineStr">
        <is>
          <t>吾善賈者也</t>
        </is>
      </c>
      <c r="G237" s="26" t="n"/>
      <c r="H237" s="29" t="n"/>
      <c r="I237" s="30" t="n"/>
      <c r="J237" s="30" t="n"/>
      <c r="K237" s="30" t="n"/>
      <c r="L237" s="30" t="n"/>
      <c r="M237" s="31" t="n"/>
      <c r="N237" s="29" t="n"/>
      <c r="O237" s="31" t="n"/>
    </row>
    <row r="238" ht="15" customHeight="1" s="16">
      <c r="A238" s="26" t="n">
        <v>237</v>
      </c>
      <c r="B238" s="26" t="n">
        <v>9</v>
      </c>
      <c r="C238" s="26" t="n">
        <v>394</v>
      </c>
      <c r="D238" s="27" t="inlineStr">
        <is>
          <t>可知已</t>
        </is>
      </c>
      <c r="E238" s="32" t="inlineStr">
        <is>
          <t>吾善賈者也</t>
        </is>
      </c>
      <c r="F238" s="27" t="inlineStr">
        <is>
          <t>其銀足以市</t>
        </is>
      </c>
      <c r="G238" s="26" t="inlineStr">
        <is>
          <t>●</t>
        </is>
      </c>
      <c r="H238" s="29" t="n"/>
      <c r="I238" s="30" t="n"/>
      <c r="J238" s="30" t="n"/>
      <c r="K238" s="30" t="n"/>
      <c r="L238" s="30" t="n"/>
      <c r="M238" s="31" t="n"/>
      <c r="N238" s="29" t="n"/>
      <c r="O238" s="31" t="n"/>
    </row>
    <row r="239" ht="15" customHeight="1" s="16">
      <c r="A239" s="26" t="n">
        <v>238</v>
      </c>
      <c r="B239" s="26" t="n">
        <v>9</v>
      </c>
      <c r="C239" s="26" t="n">
        <v>395</v>
      </c>
      <c r="D239" s="27" t="inlineStr">
        <is>
          <t>吾善賈者也</t>
        </is>
      </c>
      <c r="E239" s="32" t="inlineStr">
        <is>
          <t>其銀足以市</t>
        </is>
      </c>
      <c r="F239" s="27" t="inlineStr">
        <is>
          <t>九王之頭</t>
        </is>
      </c>
      <c r="G239" s="26" t="inlineStr">
        <is>
          <t>●</t>
        </is>
      </c>
      <c r="H239" s="29" t="n"/>
      <c r="I239" s="30" t="n"/>
      <c r="J239" s="30" t="n"/>
      <c r="K239" s="30" t="n"/>
      <c r="L239" s="30" t="n"/>
      <c r="M239" s="31" t="n"/>
      <c r="N239" s="29" t="n"/>
      <c r="O239" s="31" t="n"/>
    </row>
    <row r="240" ht="15" customHeight="1" s="16">
      <c r="A240" s="26" t="n">
        <v>239</v>
      </c>
      <c r="B240" s="26" t="n">
        <v>9</v>
      </c>
      <c r="C240" s="26" t="n">
        <v>396</v>
      </c>
      <c r="D240" s="27" t="inlineStr">
        <is>
          <t>其銀足以市</t>
        </is>
      </c>
      <c r="E240" s="28" t="inlineStr">
        <is>
          <t>九王之頭</t>
        </is>
      </c>
      <c r="F240" s="27" t="inlineStr">
        <is>
          <t>然投之海中而來者</t>
        </is>
      </c>
      <c r="G240" s="26" t="n"/>
      <c r="H240" s="29" t="n"/>
      <c r="I240" s="30" t="n"/>
      <c r="J240" s="30" t="n"/>
      <c r="K240" s="30" t="n"/>
      <c r="L240" s="30" t="n"/>
      <c r="M240" s="31" t="n"/>
      <c r="N240" s="29" t="n"/>
      <c r="O240" s="31" t="n"/>
    </row>
    <row r="241" ht="15" customHeight="1" s="16">
      <c r="A241" s="26" t="n">
        <v>240</v>
      </c>
      <c r="B241" s="26" t="n">
        <v>9</v>
      </c>
      <c r="C241" s="26" t="n">
        <v>398</v>
      </c>
      <c r="D241" s="27" t="inlineStr">
        <is>
          <t>然投之海中而來者</t>
        </is>
      </c>
      <c r="E241" s="28" t="inlineStr">
        <is>
          <t>無所可用故耳</t>
        </is>
      </c>
      <c r="F241" s="27" t="inlineStr">
        <is>
          <t>卞氏喟然太息而去</t>
        </is>
      </c>
      <c r="G241" s="26" t="n"/>
      <c r="H241" s="29" t="n"/>
      <c r="I241" s="30" t="n"/>
      <c r="J241" s="30" t="n"/>
      <c r="K241" s="30" t="n"/>
      <c r="L241" s="30" t="n"/>
      <c r="M241" s="31" t="n"/>
      <c r="N241" s="29" t="n"/>
      <c r="O241" s="31" t="n"/>
    </row>
    <row r="242" ht="15" customHeight="1" s="16">
      <c r="A242" s="26" t="n">
        <v>241</v>
      </c>
      <c r="B242" s="26" t="n">
        <v>9</v>
      </c>
      <c r="C242" s="26" t="n">
        <v>399</v>
      </c>
      <c r="D242" s="27" t="inlineStr">
        <is>
          <t>無所可用故耳</t>
        </is>
      </c>
      <c r="E242" s="32" t="inlineStr">
        <is>
          <t>卞氏喟然太息而去</t>
        </is>
      </c>
      <c r="F242" s="27" t="inlineStr">
        <is>
          <t>卞氏本與李政丞浣善</t>
        </is>
      </c>
      <c r="G242" s="26" t="inlineStr">
        <is>
          <t>●</t>
        </is>
      </c>
      <c r="H242" s="29" t="n"/>
      <c r="I242" s="30" t="n"/>
      <c r="J242" s="30" t="n"/>
      <c r="K242" s="30" t="n"/>
      <c r="L242" s="30" t="n"/>
      <c r="M242" s="31" t="n"/>
      <c r="N242" s="29" t="n"/>
      <c r="O242" s="31" t="n"/>
    </row>
    <row r="243" ht="15" customHeight="1" s="16">
      <c r="A243" s="26" t="n">
        <v>242</v>
      </c>
      <c r="B243" s="26" t="n">
        <v>9</v>
      </c>
      <c r="C243" s="26" t="n">
        <v>400</v>
      </c>
      <c r="D243" s="27" t="inlineStr">
        <is>
          <t>卞氏喟然太息而去</t>
        </is>
      </c>
      <c r="E243" s="28" t="inlineStr">
        <is>
          <t>卞氏本與李政丞浣善</t>
        </is>
      </c>
      <c r="F243" s="27" t="inlineStr">
        <is>
          <t>李公時爲御</t>
        </is>
      </c>
      <c r="G243" s="26" t="n"/>
      <c r="H243" s="29" t="n"/>
      <c r="I243" s="30" t="n"/>
      <c r="J243" s="30" t="n"/>
      <c r="K243" s="30" t="n"/>
      <c r="L243" s="30" t="n"/>
      <c r="M243" s="31" t="n"/>
      <c r="N243" s="29" t="n"/>
      <c r="O243" s="31" t="n"/>
    </row>
    <row r="244" ht="15" customHeight="1" s="16">
      <c r="A244" s="26" t="n">
        <v>243</v>
      </c>
      <c r="B244" s="26" t="n">
        <v>9</v>
      </c>
      <c r="C244" s="26" t="n">
        <v>481</v>
      </c>
      <c r="D244" s="27" t="inlineStr">
        <is>
          <t>誠能請遣子弟入學遊宦</t>
        </is>
      </c>
      <c r="E244" s="28" t="inlineStr">
        <is>
          <t>如唐元故事</t>
        </is>
      </c>
      <c r="F244" s="27" t="inlineStr">
        <is>
          <t>商賈出入不禁</t>
        </is>
      </c>
      <c r="G244" s="26" t="n"/>
      <c r="H244" s="29" t="n"/>
      <c r="I244" s="30" t="n"/>
      <c r="J244" s="30" t="n"/>
      <c r="K244" s="30" t="n"/>
      <c r="L244" s="30" t="n"/>
      <c r="M244" s="31" t="n"/>
      <c r="N244" s="29" t="n"/>
      <c r="O244" s="31" t="n"/>
    </row>
    <row r="245" ht="15" customHeight="1" s="16">
      <c r="A245" s="26" t="n">
        <v>244</v>
      </c>
      <c r="B245" s="26" t="n">
        <v>9</v>
      </c>
      <c r="C245" s="26" t="n">
        <v>482</v>
      </c>
      <c r="D245" s="27" t="inlineStr">
        <is>
          <t>如唐元故事</t>
        </is>
      </c>
      <c r="E245" s="32" t="inlineStr">
        <is>
          <t>商賈出入不禁</t>
        </is>
      </c>
      <c r="F245" s="27" t="inlineStr">
        <is>
          <t>彼必喜其見親而許之</t>
        </is>
      </c>
      <c r="G245" s="26" t="inlineStr">
        <is>
          <t>●</t>
        </is>
      </c>
      <c r="H245" s="29" t="n"/>
      <c r="I245" s="30" t="n"/>
      <c r="J245" s="30" t="n"/>
      <c r="K245" s="30" t="n"/>
      <c r="L245" s="30" t="n"/>
      <c r="M245" s="31" t="n"/>
      <c r="N245" s="29" t="n"/>
      <c r="O245" s="31" t="n"/>
    </row>
    <row r="246" ht="15" customHeight="1" s="16">
      <c r="A246" s="26" t="n">
        <v>245</v>
      </c>
      <c r="B246" s="26" t="n">
        <v>9</v>
      </c>
      <c r="C246" s="26" t="n">
        <v>483</v>
      </c>
      <c r="D246" s="27" t="inlineStr">
        <is>
          <t>商賈出入不禁</t>
        </is>
      </c>
      <c r="E246" s="28" t="inlineStr">
        <is>
          <t>彼必喜其見親而許之</t>
        </is>
      </c>
      <c r="F246" s="27" t="inlineStr">
        <is>
          <t>妙選國中之子</t>
        </is>
      </c>
      <c r="G246" s="26" t="n"/>
      <c r="H246" s="29" t="n"/>
      <c r="I246" s="30" t="n"/>
      <c r="J246" s="30" t="n"/>
      <c r="K246" s="30" t="n"/>
      <c r="L246" s="30" t="n"/>
      <c r="M246" s="31" t="n"/>
      <c r="N246" s="29" t="n"/>
      <c r="O246" s="31" t="n"/>
    </row>
    <row r="247" ht="15" customHeight="1" s="16">
      <c r="A247" s="26" t="n">
        <v>246</v>
      </c>
      <c r="B247" s="26" t="n">
        <v>9</v>
      </c>
      <c r="C247" s="26" t="n">
        <v>487</v>
      </c>
      <c r="D247" s="27" t="inlineStr">
        <is>
          <t>薙髮胡服</t>
        </is>
      </c>
      <c r="E247" s="28" t="inlineStr">
        <is>
          <t>其君子往赴賓擧</t>
        </is>
      </c>
      <c r="F247" s="27" t="inlineStr">
        <is>
          <t>其小人遠商江南</t>
        </is>
      </c>
      <c r="G247" s="26" t="n"/>
      <c r="H247" s="29" t="n"/>
      <c r="I247" s="30" t="n"/>
      <c r="J247" s="30" t="n"/>
      <c r="K247" s="30" t="n"/>
      <c r="L247" s="30" t="n"/>
      <c r="M247" s="31" t="n"/>
      <c r="N247" s="29" t="n"/>
      <c r="O247" s="31" t="n"/>
    </row>
    <row r="248" ht="15" customHeight="1" s="16">
      <c r="A248" s="26" t="n">
        <v>247</v>
      </c>
      <c r="B248" s="26" t="n">
        <v>9</v>
      </c>
      <c r="C248" s="26" t="n">
        <v>488</v>
      </c>
      <c r="D248" s="27" t="inlineStr">
        <is>
          <t>其君子往赴賓擧</t>
        </is>
      </c>
      <c r="E248" s="32" t="inlineStr">
        <is>
          <t>其小人遠商江南</t>
        </is>
      </c>
      <c r="F248" s="27" t="inlineStr">
        <is>
          <t>覘其虛實</t>
        </is>
      </c>
      <c r="G248" s="26" t="inlineStr">
        <is>
          <t>●</t>
        </is>
      </c>
      <c r="H248" s="29" t="n"/>
      <c r="I248" s="30" t="n"/>
      <c r="J248" s="30" t="n"/>
      <c r="K248" s="30" t="n"/>
      <c r="L248" s="30" t="n"/>
      <c r="M248" s="31" t="n"/>
      <c r="N248" s="29" t="n"/>
      <c r="O248" s="31" t="n"/>
    </row>
    <row r="249" ht="15" customHeight="1" s="16">
      <c r="A249" s="26" t="n">
        <v>248</v>
      </c>
      <c r="B249" s="26" t="n">
        <v>9</v>
      </c>
      <c r="C249" s="26" t="n">
        <v>489</v>
      </c>
      <c r="D249" s="27" t="inlineStr">
        <is>
          <t>其小人遠商江南</t>
        </is>
      </c>
      <c r="E249" s="28" t="inlineStr">
        <is>
          <t>覘其虛實</t>
        </is>
      </c>
      <c r="F249" s="27" t="inlineStr">
        <is>
          <t>結其豪傑</t>
        </is>
      </c>
      <c r="G249" s="26" t="n"/>
      <c r="H249" s="29" t="n"/>
      <c r="I249" s="30" t="n"/>
      <c r="J249" s="30" t="n"/>
      <c r="K249" s="30" t="n"/>
      <c r="L249" s="30" t="n"/>
      <c r="M249" s="31" t="n"/>
      <c r="N249" s="29" t="n"/>
      <c r="O249" s="31" t="n"/>
    </row>
    <row r="250" ht="15" customHeight="1" s="16">
      <c r="A250" s="26" t="n">
        <v>249</v>
      </c>
      <c r="B250" s="26" t="n">
        <v>9</v>
      </c>
      <c r="C250" s="26" t="n">
        <v>502</v>
      </c>
      <c r="D250" s="27" t="inlineStr">
        <is>
          <t>所謂士大夫</t>
        </is>
      </c>
      <c r="E250" s="28" t="inlineStr">
        <is>
          <t>是何等也</t>
        </is>
      </c>
      <c r="F250" s="27" t="inlineStr">
        <is>
          <t>產於彛貊之地</t>
        </is>
      </c>
      <c r="G250" s="26" t="n"/>
      <c r="H250" s="29" t="n"/>
      <c r="I250" s="30" t="n"/>
      <c r="J250" s="30" t="n"/>
      <c r="K250" s="30" t="n"/>
      <c r="L250" s="30" t="n"/>
      <c r="M250" s="31" t="n"/>
      <c r="N250" s="29" t="n"/>
      <c r="O250" s="31" t="n"/>
    </row>
    <row r="251" ht="15" customHeight="1" s="16">
      <c r="A251" s="26" t="n">
        <v>250</v>
      </c>
      <c r="B251" s="26" t="n">
        <v>9</v>
      </c>
      <c r="C251" s="26" t="n">
        <v>503</v>
      </c>
      <c r="D251" s="27" t="inlineStr">
        <is>
          <t>是何等也</t>
        </is>
      </c>
      <c r="E251" s="32" t="inlineStr">
        <is>
          <t>產於彛貊之地</t>
        </is>
      </c>
      <c r="F251" s="27" t="inlineStr">
        <is>
          <t>自稱曰士大夫</t>
        </is>
      </c>
      <c r="G251" s="26" t="inlineStr">
        <is>
          <t>●</t>
        </is>
      </c>
      <c r="H251" s="29" t="n"/>
      <c r="I251" s="30" t="n"/>
      <c r="J251" s="30" t="n"/>
      <c r="K251" s="30" t="n"/>
      <c r="L251" s="30" t="n"/>
      <c r="M251" s="31" t="n"/>
      <c r="N251" s="29" t="n"/>
      <c r="O251" s="31" t="n"/>
    </row>
    <row r="252" ht="15" customHeight="1" s="16">
      <c r="A252" s="26" t="n">
        <v>251</v>
      </c>
      <c r="B252" s="26" t="n">
        <v>9</v>
      </c>
      <c r="C252" s="26" t="n">
        <v>504</v>
      </c>
      <c r="D252" s="27" t="inlineStr">
        <is>
          <t>產於彛貊之地</t>
        </is>
      </c>
      <c r="E252" s="28" t="inlineStr">
        <is>
          <t>自稱曰士大夫</t>
        </is>
      </c>
      <c r="F252" s="27" t="inlineStr">
        <is>
          <t>豈非騃乎</t>
        </is>
      </c>
      <c r="G252" s="26" t="n"/>
      <c r="H252" s="29" t="n"/>
      <c r="I252" s="30" t="n"/>
      <c r="J252" s="30" t="n"/>
      <c r="K252" s="30" t="n"/>
      <c r="L252" s="30" t="n"/>
      <c r="M252" s="31" t="n"/>
      <c r="N252" s="29" t="n"/>
      <c r="O252" s="31" t="n"/>
    </row>
    <row r="253" ht="15" customHeight="1" s="16">
      <c r="A253" s="26" t="n">
        <v>252</v>
      </c>
      <c r="B253" s="26" t="n">
        <v>10</v>
      </c>
      <c r="C253" s="26" t="n">
        <v>30</v>
      </c>
      <c r="D253" s="27" t="inlineStr">
        <is>
          <t>隨我來</t>
        </is>
      </c>
      <c r="E253" s="28" t="inlineStr">
        <is>
          <t>趙公行數里</t>
        </is>
      </c>
      <c r="F253" s="27" t="inlineStr">
        <is>
          <t>喘息汗流不止</t>
        </is>
      </c>
      <c r="G253" s="26" t="n"/>
      <c r="H253" s="29" t="n"/>
      <c r="I253" s="30" t="n"/>
      <c r="J253" s="30" t="n"/>
      <c r="K253" s="30" t="n"/>
      <c r="L253" s="30" t="n"/>
      <c r="M253" s="31" t="n"/>
      <c r="N253" s="29" t="n"/>
      <c r="O253" s="31" t="n"/>
    </row>
    <row r="254" ht="15" customHeight="1" s="16">
      <c r="A254" s="26" t="n">
        <v>253</v>
      </c>
      <c r="B254" s="26" t="n">
        <v>10</v>
      </c>
      <c r="C254" s="26" t="n">
        <v>31</v>
      </c>
      <c r="D254" s="27" t="inlineStr">
        <is>
          <t>趙公行數里</t>
        </is>
      </c>
      <c r="E254" s="32" t="inlineStr">
        <is>
          <t>喘息汗流不止</t>
        </is>
      </c>
      <c r="F254" s="27" t="inlineStr">
        <is>
          <t>願小憩</t>
        </is>
      </c>
      <c r="G254" s="26" t="inlineStr">
        <is>
          <t>●</t>
        </is>
      </c>
      <c r="H254" s="29" t="n"/>
      <c r="I254" s="30" t="n"/>
      <c r="J254" s="30" t="n"/>
      <c r="K254" s="30" t="n"/>
      <c r="L254" s="30" t="n"/>
      <c r="M254" s="31" t="n"/>
      <c r="N254" s="29" t="n"/>
      <c r="O254" s="31" t="n"/>
    </row>
    <row r="255" ht="15" customHeight="1" s="16">
      <c r="A255" s="26" t="n">
        <v>254</v>
      </c>
      <c r="B255" s="26" t="n">
        <v>10</v>
      </c>
      <c r="C255" s="26" t="n">
        <v>32</v>
      </c>
      <c r="D255" s="27" t="inlineStr">
        <is>
          <t>喘息汗流不止</t>
        </is>
      </c>
      <c r="E255" s="28" t="inlineStr">
        <is>
          <t>願小憩</t>
        </is>
      </c>
      <c r="F255" s="27" t="inlineStr">
        <is>
          <t>僧罵</t>
        </is>
      </c>
      <c r="G255" s="26" t="n"/>
      <c r="H255" s="29" t="n"/>
      <c r="I255" s="30" t="n"/>
      <c r="J255" s="30" t="n"/>
      <c r="K255" s="30" t="n"/>
      <c r="L255" s="30" t="n"/>
      <c r="M255" s="31" t="n"/>
      <c r="N255" s="29" t="n"/>
      <c r="O255" s="31" t="n"/>
    </row>
  </sheetData>
  <dataValidations count="4">
    <dataValidation sqref="H2:H255" showDropDown="0" showInputMessage="0" showErrorMessage="0" allowBlank="1" type="list" errorStyle="stop" operator="between">
      <formula1>"Y,N"</formula1>
      <formula2>0</formula2>
    </dataValidation>
    <dataValidation sqref="I2:I255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255" showDropDown="0" showInputMessage="0" showErrorMessage="0" allowBlank="1" type="list" errorStyle="stop" operator="between">
      <formula1>"높음,보통,낮음"</formula1>
      <formula2>0</formula2>
    </dataValidation>
    <dataValidation sqref="J2:J255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2</v>
      </c>
      <c r="C2" s="26" t="n">
        <v>23</v>
      </c>
      <c r="D2" s="27" t="inlineStr">
        <is>
          <t>故其所都燕京曰京師</t>
        </is>
      </c>
      <c r="E2" s="28" t="inlineStr">
        <is>
          <t>其巡幸之所曰行在</t>
        </is>
      </c>
      <c r="F2" s="27" t="inlineStr">
        <is>
          <t>我效土物之儀曰職貢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2</v>
      </c>
      <c r="C3" s="26" t="n">
        <v>24</v>
      </c>
      <c r="D3" s="27" t="inlineStr">
        <is>
          <t>其巡幸之所曰行在</t>
        </is>
      </c>
      <c r="E3" s="32" t="inlineStr">
        <is>
          <t>我效土物之儀曰職貢</t>
        </is>
      </c>
      <c r="F3" s="27" t="inlineStr">
        <is>
          <t>其語當宁曰天子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2</v>
      </c>
      <c r="C4" s="26" t="n">
        <v>25</v>
      </c>
      <c r="D4" s="27" t="inlineStr">
        <is>
          <t>我效土物之儀曰職貢</t>
        </is>
      </c>
      <c r="E4" s="28" t="inlineStr">
        <is>
          <t>其語當宁曰天子</t>
        </is>
      </c>
      <c r="F4" s="27" t="inlineStr">
        <is>
          <t>其朝</t>
        </is>
      </c>
      <c r="G4" s="26" t="n"/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2</v>
      </c>
      <c r="C5" s="26" t="n">
        <v>36</v>
      </c>
      <c r="D5" s="27" t="inlineStr">
        <is>
          <t>昔倭人覆我疆域</t>
        </is>
      </c>
      <c r="E5" s="28" t="inlineStr">
        <is>
          <t>我神宗皇帝提天下之師東援之</t>
        </is>
      </c>
      <c r="F5" s="27" t="inlineStr">
        <is>
          <t>竭帑銀以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29.85" customHeight="1" s="16">
      <c r="A6" s="26" t="n">
        <v>5</v>
      </c>
      <c r="B6" s="26" t="n">
        <v>2</v>
      </c>
      <c r="C6" s="26" t="n">
        <v>37</v>
      </c>
      <c r="D6" s="27" t="inlineStr">
        <is>
          <t>我神宗皇帝提天下之師東援之</t>
        </is>
      </c>
      <c r="E6" s="32" t="inlineStr">
        <is>
          <t>竭帑銀以</t>
        </is>
      </c>
      <c r="F6" s="27" t="inlineStr">
        <is>
          <t>供師旅</t>
        </is>
      </c>
      <c r="G6" s="26" t="inlineStr">
        <is>
          <t>●</t>
        </is>
      </c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2</v>
      </c>
      <c r="C7" s="26" t="n">
        <v>38</v>
      </c>
      <c r="D7" s="27" t="inlineStr">
        <is>
          <t>竭帑銀以</t>
        </is>
      </c>
      <c r="E7" s="28" t="inlineStr">
        <is>
          <t>供師旅</t>
        </is>
      </c>
      <c r="F7" s="27" t="inlineStr">
        <is>
          <t>復我三都</t>
        </is>
      </c>
      <c r="G7" s="26" t="n"/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2</v>
      </c>
      <c r="C8" s="26" t="n">
        <v>50</v>
      </c>
      <c r="D8" s="27" t="inlineStr">
        <is>
          <t>所以加惠我國者</t>
        </is>
      </c>
      <c r="E8" s="28" t="inlineStr">
        <is>
          <t>亦累葉矣</t>
        </is>
      </c>
      <c r="F8" s="27" t="inlineStr">
        <is>
          <t>金非土產則蠲之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2</v>
      </c>
      <c r="C9" s="26" t="n">
        <v>51</v>
      </c>
      <c r="D9" s="27" t="inlineStr">
        <is>
          <t>亦累葉矣</t>
        </is>
      </c>
      <c r="E9" s="32" t="inlineStr">
        <is>
          <t>金非土產則蠲之</t>
        </is>
      </c>
      <c r="F9" s="27" t="inlineStr">
        <is>
          <t>綵馬衰小則</t>
        </is>
      </c>
      <c r="G9" s="26" t="inlineStr">
        <is>
          <t>●</t>
        </is>
      </c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2</v>
      </c>
      <c r="C10" s="26" t="n">
        <v>52</v>
      </c>
      <c r="D10" s="27" t="inlineStr">
        <is>
          <t>金非土產則蠲之</t>
        </is>
      </c>
      <c r="E10" s="28" t="inlineStr">
        <is>
          <t>綵馬衰小則</t>
        </is>
      </c>
      <c r="F10" s="27" t="inlineStr">
        <is>
          <t>免之</t>
        </is>
      </c>
      <c r="G10" s="26" t="n"/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2</v>
      </c>
      <c r="C11" s="26" t="n">
        <v>64</v>
      </c>
      <c r="D11" s="27" t="inlineStr">
        <is>
          <t>命班于大臣之列</t>
        </is>
      </c>
      <c r="E11" s="28" t="inlineStr">
        <is>
          <t>其聽戱得比廷臣而宴賚之</t>
        </is>
      </c>
      <c r="F11" s="27" t="inlineStr">
        <is>
          <t>又詔永蠲正貢外</t>
        </is>
      </c>
      <c r="G11" s="26" t="n"/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29.85" customHeight="1" s="16">
      <c r="A12" s="26" t="n">
        <v>11</v>
      </c>
      <c r="B12" s="26" t="n">
        <v>2</v>
      </c>
      <c r="C12" s="26" t="n">
        <v>65</v>
      </c>
      <c r="D12" s="27" t="inlineStr">
        <is>
          <t>其聽戱得比廷臣而宴賚之</t>
        </is>
      </c>
      <c r="E12" s="32" t="inlineStr">
        <is>
          <t>又詔永蠲正貢外</t>
        </is>
      </c>
      <c r="F12" s="27" t="inlineStr">
        <is>
          <t>別使方物</t>
        </is>
      </c>
      <c r="G12" s="26" t="inlineStr">
        <is>
          <t>●</t>
        </is>
      </c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2</v>
      </c>
      <c r="C13" s="26" t="n">
        <v>66</v>
      </c>
      <c r="D13" s="27" t="inlineStr">
        <is>
          <t>又詔永蠲正貢外</t>
        </is>
      </c>
      <c r="E13" s="28" t="inlineStr">
        <is>
          <t>別使方物</t>
        </is>
      </c>
      <c r="F13" s="27" t="inlineStr">
        <is>
          <t>此實曠世盛典</t>
        </is>
      </c>
      <c r="G13" s="26" t="n"/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2</v>
      </c>
      <c r="C14" s="26" t="n">
        <v>84</v>
      </c>
      <c r="D14" s="27" t="inlineStr">
        <is>
          <t>在大國不過爲卹小</t>
        </is>
      </c>
      <c r="E14" s="28" t="inlineStr">
        <is>
          <t>柔遠之政</t>
        </is>
      </c>
      <c r="F14" s="27" t="inlineStr">
        <is>
          <t>則雖代蠲一貢</t>
        </is>
      </c>
      <c r="G14" s="26" t="n"/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2</v>
      </c>
      <c r="C15" s="26" t="n">
        <v>85</v>
      </c>
      <c r="D15" s="27" t="inlineStr">
        <is>
          <t>柔遠之政</t>
        </is>
      </c>
      <c r="E15" s="32" t="inlineStr">
        <is>
          <t>則雖代蠲一貢</t>
        </is>
      </c>
      <c r="F15" s="27" t="inlineStr">
        <is>
          <t>歲免一幣</t>
        </is>
      </c>
      <c r="G15" s="26" t="inlineStr">
        <is>
          <t>●</t>
        </is>
      </c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15" customHeight="1" s="16">
      <c r="A16" s="26" t="n">
        <v>15</v>
      </c>
      <c r="B16" s="26" t="n">
        <v>2</v>
      </c>
      <c r="C16" s="26" t="n">
        <v>86</v>
      </c>
      <c r="D16" s="27" t="inlineStr">
        <is>
          <t>則雖代蠲一貢</t>
        </is>
      </c>
      <c r="E16" s="28" t="inlineStr">
        <is>
          <t>歲免一幣</t>
        </is>
      </c>
      <c r="F16" s="27" t="inlineStr">
        <is>
          <t>是惠也</t>
        </is>
      </c>
      <c r="G16" s="26" t="n"/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44" customHeight="1" s="16">
      <c r="A17" s="26" t="n">
        <v>16</v>
      </c>
      <c r="B17" s="26" t="n">
        <v>8</v>
      </c>
      <c r="C17" s="26" t="n">
        <v>6</v>
      </c>
      <c r="D17" s="27" t="inlineStr">
        <is>
          <t>會同理藩院司員等帶領朝鮮使臣正使朴副使鄭書</t>
        </is>
      </c>
      <c r="E17" s="28" t="inlineStr">
        <is>
          <t>狀官趙等</t>
        </is>
      </c>
      <c r="F17" s="27" t="inlineStr">
        <is>
          <t>前詣札什倫布</t>
        </is>
      </c>
      <c r="G17" s="26" t="n"/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15" customHeight="1" s="16">
      <c r="A18" s="26" t="n">
        <v>17</v>
      </c>
      <c r="B18" s="26" t="n">
        <v>8</v>
      </c>
      <c r="C18" s="26" t="n">
        <v>7</v>
      </c>
      <c r="D18" s="27" t="inlineStr">
        <is>
          <t>狀官趙等</t>
        </is>
      </c>
      <c r="E18" s="32" t="inlineStr">
        <is>
          <t>前詣札什倫布</t>
        </is>
      </c>
      <c r="F18" s="27" t="inlineStr">
        <is>
          <t>拜見額爾德尼</t>
        </is>
      </c>
      <c r="G18" s="26" t="inlineStr">
        <is>
          <t>●</t>
        </is>
      </c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8</v>
      </c>
      <c r="C19" s="26" t="n">
        <v>8</v>
      </c>
      <c r="D19" s="27" t="inlineStr">
        <is>
          <t>前詣札什倫布</t>
        </is>
      </c>
      <c r="E19" s="28" t="inlineStr">
        <is>
          <t>拜見額爾德尼</t>
        </is>
      </c>
      <c r="F19" s="27" t="inlineStr">
        <is>
          <t>行禮後</t>
        </is>
      </c>
      <c r="G19" s="26" t="n"/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15" customHeight="1" s="16">
      <c r="A20" s="26" t="n">
        <v>19</v>
      </c>
      <c r="B20" s="26" t="n">
        <v>8</v>
      </c>
      <c r="C20" s="26" t="n">
        <v>11</v>
      </c>
      <c r="D20" s="27" t="inlineStr">
        <is>
          <t>令坐吃茶</t>
        </is>
      </c>
      <c r="E20" s="28" t="inlineStr">
        <is>
          <t>詢問該國遠近</t>
        </is>
      </c>
      <c r="F20" s="27" t="inlineStr">
        <is>
          <t>幷入貢緣由</t>
        </is>
      </c>
      <c r="G20" s="26" t="n"/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15" customHeight="1" s="16">
      <c r="A21" s="26" t="n">
        <v>20</v>
      </c>
      <c r="B21" s="26" t="n">
        <v>8</v>
      </c>
      <c r="C21" s="26" t="n">
        <v>12</v>
      </c>
      <c r="D21" s="27" t="inlineStr">
        <is>
          <t>詢問該國遠近</t>
        </is>
      </c>
      <c r="E21" s="32" t="inlineStr">
        <is>
          <t>幷入貢緣由</t>
        </is>
      </c>
      <c r="F21" s="27" t="inlineStr">
        <is>
          <t>該使臣答以</t>
        </is>
      </c>
      <c r="G21" s="26" t="inlineStr">
        <is>
          <t>●</t>
        </is>
      </c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15" customHeight="1" s="16">
      <c r="A22" s="26" t="n">
        <v>21</v>
      </c>
      <c r="B22" s="26" t="n">
        <v>8</v>
      </c>
      <c r="C22" s="26" t="n">
        <v>13</v>
      </c>
      <c r="D22" s="27" t="inlineStr">
        <is>
          <t>幷入貢緣由</t>
        </is>
      </c>
      <c r="E22" s="28" t="inlineStr">
        <is>
          <t>該使臣答以</t>
        </is>
      </c>
      <c r="F22" s="27" t="inlineStr">
        <is>
          <t>因皇上七旬大慶</t>
        </is>
      </c>
      <c r="G22" s="26" t="n"/>
      <c r="H22" s="29" t="n"/>
      <c r="I22" s="30" t="n"/>
      <c r="J22" s="30" t="n"/>
      <c r="K22" s="30" t="n"/>
      <c r="L22" s="30" t="n"/>
      <c r="M22" s="31" t="n"/>
      <c r="N22" s="29" t="n"/>
      <c r="O22" s="31" t="n"/>
    </row>
    <row r="23" ht="29.85" customHeight="1" s="16">
      <c r="A23" s="26" t="n">
        <v>22</v>
      </c>
      <c r="B23" s="26" t="n">
        <v>9</v>
      </c>
      <c r="C23" s="26" t="n">
        <v>2</v>
      </c>
      <c r="D23" s="27" t="inlineStr">
        <is>
          <t>使臣見班禪事</t>
        </is>
      </c>
      <c r="E23" s="28" t="inlineStr">
        <is>
          <t>余具載之</t>
        </is>
      </c>
      <c r="F23" s="27" t="inlineStr">
        <is>
          <t>札什倫布記及見禮部奏聞</t>
        </is>
      </c>
      <c r="G23" s="26" t="n"/>
      <c r="H23" s="29" t="n"/>
      <c r="I23" s="30" t="n"/>
      <c r="J23" s="30" t="n"/>
      <c r="K23" s="30" t="n"/>
      <c r="L23" s="30" t="n"/>
      <c r="M23" s="31" t="n"/>
      <c r="N23" s="29" t="n"/>
      <c r="O23" s="31" t="n"/>
    </row>
    <row r="24" ht="15" customHeight="1" s="16">
      <c r="A24" s="26" t="n">
        <v>23</v>
      </c>
      <c r="B24" s="26" t="n">
        <v>9</v>
      </c>
      <c r="C24" s="26" t="n">
        <v>3</v>
      </c>
      <c r="D24" s="27" t="inlineStr">
        <is>
          <t>余具載之</t>
        </is>
      </c>
      <c r="E24" s="32" t="inlineStr">
        <is>
          <t>札什倫布記及見禮部奏聞</t>
        </is>
      </c>
      <c r="F24" s="27" t="inlineStr">
        <is>
          <t>其稱拜見額爾德尼</t>
        </is>
      </c>
      <c r="G24" s="26" t="inlineStr">
        <is>
          <t>●</t>
        </is>
      </c>
      <c r="H24" s="29" t="n"/>
      <c r="I24" s="30" t="n"/>
      <c r="J24" s="30" t="n"/>
      <c r="K24" s="30" t="n"/>
      <c r="L24" s="30" t="n"/>
      <c r="M24" s="31" t="n"/>
      <c r="N24" s="29" t="n"/>
      <c r="O24" s="31" t="n"/>
    </row>
    <row r="25" ht="29.85" customHeight="1" s="16">
      <c r="A25" s="26" t="n">
        <v>24</v>
      </c>
      <c r="B25" s="26" t="n">
        <v>9</v>
      </c>
      <c r="C25" s="26" t="n">
        <v>4</v>
      </c>
      <c r="D25" s="27" t="inlineStr">
        <is>
          <t>札什倫布記及見禮部奏聞</t>
        </is>
      </c>
      <c r="E25" s="28" t="inlineStr">
        <is>
          <t>其稱拜見額爾德尼</t>
        </is>
      </c>
      <c r="F25" s="27" t="inlineStr">
        <is>
          <t>給與使臣等物件</t>
        </is>
      </c>
      <c r="G25" s="26" t="n"/>
      <c r="H25" s="29" t="n"/>
      <c r="I25" s="30" t="n"/>
      <c r="J25" s="30" t="n"/>
      <c r="K25" s="30" t="n"/>
      <c r="L25" s="30" t="n"/>
      <c r="M25" s="31" t="n"/>
      <c r="N25" s="29" t="n"/>
      <c r="O25" s="31" t="n"/>
    </row>
    <row r="26" ht="15" customHeight="1" s="16">
      <c r="A26" s="26" t="n">
        <v>25</v>
      </c>
      <c r="B26" s="26" t="n">
        <v>9</v>
      </c>
      <c r="C26" s="26" t="n">
        <v>11</v>
      </c>
      <c r="D26" s="27" t="inlineStr">
        <is>
          <t>不得不爾</t>
        </is>
      </c>
      <c r="E26" s="28" t="inlineStr">
        <is>
          <t>第據吾所目擊者詳錄之</t>
        </is>
      </c>
      <c r="F26" s="27" t="inlineStr">
        <is>
          <t>以資山中曝背一粲</t>
        </is>
      </c>
      <c r="G26" s="26" t="n"/>
      <c r="H26" s="29" t="n"/>
      <c r="I26" s="30" t="n"/>
      <c r="J26" s="30" t="n"/>
      <c r="K26" s="30" t="n"/>
      <c r="L26" s="30" t="n"/>
      <c r="M26" s="31" t="n"/>
      <c r="N26" s="29" t="n"/>
      <c r="O26" s="31" t="n"/>
    </row>
    <row r="27" ht="15" customHeight="1" s="16">
      <c r="A27" s="26" t="n">
        <v>26</v>
      </c>
      <c r="B27" s="26" t="n">
        <v>9</v>
      </c>
      <c r="C27" s="26" t="n">
        <v>12</v>
      </c>
      <c r="D27" s="27" t="inlineStr">
        <is>
          <t>第據吾所目擊者詳錄之</t>
        </is>
      </c>
      <c r="E27" s="32" t="inlineStr">
        <is>
          <t>以資山中曝背一粲</t>
        </is>
      </c>
      <c r="F27" s="27" t="inlineStr">
        <is>
          <t>覽者</t>
        </is>
      </c>
      <c r="G27" s="26" t="inlineStr">
        <is>
          <t>●</t>
        </is>
      </c>
      <c r="H27" s="29" t="n"/>
      <c r="I27" s="30" t="n"/>
      <c r="J27" s="30" t="n"/>
      <c r="K27" s="30" t="n"/>
      <c r="L27" s="30" t="n"/>
      <c r="M27" s="31" t="n"/>
      <c r="N27" s="29" t="n"/>
      <c r="O27" s="31" t="n"/>
    </row>
    <row r="28" ht="15" customHeight="1" s="16">
      <c r="A28" s="26" t="n">
        <v>27</v>
      </c>
      <c r="B28" s="26" t="n">
        <v>9</v>
      </c>
      <c r="C28" s="26" t="n">
        <v>13</v>
      </c>
      <c r="D28" s="27" t="inlineStr">
        <is>
          <t>以資山中曝背一粲</t>
        </is>
      </c>
      <c r="E28" s="28" t="inlineStr">
        <is>
          <t>覽者</t>
        </is>
      </c>
      <c r="F28" s="27" t="inlineStr">
        <is>
          <t>當有以察之</t>
        </is>
      </c>
      <c r="G28" s="26" t="n"/>
      <c r="H28" s="29" t="n"/>
      <c r="I28" s="30" t="n"/>
      <c r="J28" s="30" t="n"/>
      <c r="K28" s="30" t="n"/>
      <c r="L28" s="30" t="n"/>
      <c r="M28" s="31" t="n"/>
      <c r="N28" s="29" t="n"/>
      <c r="O28" s="31" t="n"/>
    </row>
    <row r="29" ht="15" customHeight="1" s="16">
      <c r="A29" s="26" t="n">
        <v>28</v>
      </c>
      <c r="B29" s="26" t="n">
        <v>13</v>
      </c>
      <c r="C29" s="26" t="n">
        <v>4</v>
      </c>
      <c r="D29" s="27" t="inlineStr">
        <is>
          <t>中國例相贈遺遠遊者</t>
        </is>
      </c>
      <c r="E29" s="28" t="inlineStr">
        <is>
          <t>必持此朝夕供養</t>
        </is>
      </c>
      <c r="F29" s="27" t="inlineStr">
        <is>
          <t>藏俗年例進貢</t>
        </is>
      </c>
      <c r="G29" s="26" t="n"/>
      <c r="H29" s="29" t="n"/>
      <c r="I29" s="30" t="n"/>
      <c r="J29" s="30" t="n"/>
      <c r="K29" s="30" t="n"/>
      <c r="L29" s="30" t="n"/>
      <c r="M29" s="31" t="n"/>
      <c r="N29" s="29" t="n"/>
      <c r="O29" s="31" t="n"/>
    </row>
    <row r="30" ht="15" customHeight="1" s="16">
      <c r="A30" s="26" t="n">
        <v>29</v>
      </c>
      <c r="B30" s="26" t="n">
        <v>13</v>
      </c>
      <c r="C30" s="26" t="n">
        <v>5</v>
      </c>
      <c r="D30" s="27" t="inlineStr">
        <is>
          <t>必持此朝夕供養</t>
        </is>
      </c>
      <c r="E30" s="32" t="inlineStr">
        <is>
          <t>藏俗年例進貢</t>
        </is>
      </c>
      <c r="F30" s="27" t="inlineStr">
        <is>
          <t>首以佛一尊爲</t>
        </is>
      </c>
      <c r="G30" s="26" t="inlineStr">
        <is>
          <t>●</t>
        </is>
      </c>
      <c r="H30" s="29" t="n"/>
      <c r="I30" s="30" t="n"/>
      <c r="J30" s="30" t="n"/>
      <c r="K30" s="30" t="n"/>
      <c r="L30" s="30" t="n"/>
      <c r="M30" s="31" t="n"/>
      <c r="N30" s="29" t="n"/>
      <c r="O30" s="31" t="n"/>
    </row>
    <row r="31" ht="15" customHeight="1" s="16">
      <c r="A31" s="26" t="n">
        <v>30</v>
      </c>
      <c r="B31" s="26" t="n">
        <v>13</v>
      </c>
      <c r="C31" s="26" t="n">
        <v>6</v>
      </c>
      <c r="D31" s="27" t="inlineStr">
        <is>
          <t>藏俗年例進貢</t>
        </is>
      </c>
      <c r="E31" s="28" t="inlineStr">
        <is>
          <t>首以佛一尊爲</t>
        </is>
      </c>
      <c r="F31" s="27" t="inlineStr">
        <is>
          <t>方物</t>
        </is>
      </c>
      <c r="G31" s="26" t="n"/>
      <c r="H31" s="29" t="n"/>
      <c r="I31" s="30" t="n"/>
      <c r="J31" s="30" t="n"/>
      <c r="K31" s="30" t="n"/>
      <c r="L31" s="30" t="n"/>
      <c r="M31" s="31" t="n"/>
      <c r="N31" s="29" t="n"/>
      <c r="O31" s="31" t="n"/>
    </row>
    <row r="32" ht="15" customHeight="1" s="16">
      <c r="A32" s="26" t="n">
        <v>31</v>
      </c>
      <c r="B32" s="26" t="n">
        <v>13</v>
      </c>
      <c r="C32" s="26" t="n">
        <v>18</v>
      </c>
      <c r="D32" s="27" t="inlineStr">
        <is>
          <t>諸譯亦視同糞穢</t>
        </is>
      </c>
      <c r="E32" s="28" t="inlineStr">
        <is>
          <t>若將凂焉</t>
        </is>
      </c>
      <c r="F32" s="27" t="inlineStr">
        <is>
          <t>售銀九十兩</t>
        </is>
      </c>
      <c r="G32" s="26" t="n"/>
      <c r="H32" s="29" t="n"/>
      <c r="I32" s="30" t="n"/>
      <c r="J32" s="30" t="n"/>
      <c r="K32" s="30" t="n"/>
      <c r="L32" s="30" t="n"/>
      <c r="M32" s="31" t="n"/>
      <c r="N32" s="29" t="n"/>
      <c r="O32" s="31" t="n"/>
    </row>
    <row r="33" ht="15" customHeight="1" s="16">
      <c r="A33" s="26" t="n">
        <v>32</v>
      </c>
      <c r="B33" s="26" t="n">
        <v>13</v>
      </c>
      <c r="C33" s="26" t="n">
        <v>19</v>
      </c>
      <c r="D33" s="27" t="inlineStr">
        <is>
          <t>若將凂焉</t>
        </is>
      </c>
      <c r="E33" s="32" t="inlineStr">
        <is>
          <t>售銀九十兩</t>
        </is>
      </c>
      <c r="F33" s="27" t="inlineStr">
        <is>
          <t>散之一行</t>
        </is>
      </c>
      <c r="G33" s="26" t="inlineStr">
        <is>
          <t>●</t>
        </is>
      </c>
      <c r="H33" s="29" t="n"/>
      <c r="I33" s="30" t="n"/>
      <c r="J33" s="30" t="n"/>
      <c r="K33" s="30" t="n"/>
      <c r="L33" s="30" t="n"/>
      <c r="M33" s="31" t="n"/>
      <c r="N33" s="29" t="n"/>
      <c r="O33" s="31" t="n"/>
    </row>
    <row r="34" ht="15" customHeight="1" s="16">
      <c r="A34" s="26" t="n">
        <v>33</v>
      </c>
      <c r="B34" s="26" t="n">
        <v>13</v>
      </c>
      <c r="C34" s="26" t="n">
        <v>20</v>
      </c>
      <c r="D34" s="27" t="inlineStr">
        <is>
          <t>售銀九十兩</t>
        </is>
      </c>
      <c r="E34" s="28" t="inlineStr">
        <is>
          <t>散之一行</t>
        </is>
      </c>
      <c r="F34" s="27" t="inlineStr">
        <is>
          <t>馬頭輩</t>
        </is>
      </c>
      <c r="G34" s="26" t="n"/>
      <c r="H34" s="29" t="n"/>
      <c r="I34" s="30" t="n"/>
      <c r="J34" s="30" t="n"/>
      <c r="K34" s="30" t="n"/>
      <c r="L34" s="30" t="n"/>
      <c r="M34" s="31" t="n"/>
      <c r="N34" s="29" t="n"/>
      <c r="O34" s="31" t="n"/>
    </row>
    <row r="35" ht="15" customHeight="1" s="16">
      <c r="A35" s="26" t="n">
        <v>34</v>
      </c>
      <c r="B35" s="26" t="n">
        <v>13</v>
      </c>
      <c r="C35" s="26" t="n">
        <v>21</v>
      </c>
      <c r="D35" s="27" t="inlineStr">
        <is>
          <t>散之一行</t>
        </is>
      </c>
      <c r="E35" s="28" t="inlineStr">
        <is>
          <t>馬頭輩</t>
        </is>
      </c>
      <c r="F35" s="27" t="inlineStr">
        <is>
          <t>而不以此銀</t>
        </is>
      </c>
      <c r="G35" s="26" t="n"/>
      <c r="H35" s="29" t="n"/>
      <c r="I35" s="30" t="n"/>
      <c r="J35" s="30" t="n"/>
      <c r="K35" s="30" t="n"/>
      <c r="L35" s="30" t="n"/>
      <c r="M35" s="31" t="n"/>
      <c r="N35" s="29" t="n"/>
      <c r="O35" s="31" t="n"/>
    </row>
    <row r="36" ht="15" customHeight="1" s="16">
      <c r="A36" s="26" t="n">
        <v>35</v>
      </c>
      <c r="B36" s="26" t="n">
        <v>13</v>
      </c>
      <c r="C36" s="26" t="n">
        <v>22</v>
      </c>
      <c r="D36" s="27" t="inlineStr">
        <is>
          <t>馬頭輩</t>
        </is>
      </c>
      <c r="E36" s="32" t="inlineStr">
        <is>
          <t>而不以此銀</t>
        </is>
      </c>
      <c r="F36" s="27" t="inlineStr">
        <is>
          <t>沽飮一盃酒</t>
        </is>
      </c>
      <c r="G36" s="26" t="inlineStr">
        <is>
          <t>●</t>
        </is>
      </c>
      <c r="H36" s="29" t="n"/>
      <c r="I36" s="30" t="n"/>
      <c r="J36" s="30" t="n"/>
      <c r="K36" s="30" t="n"/>
      <c r="L36" s="30" t="n"/>
      <c r="M36" s="31" t="n"/>
      <c r="N36" s="29" t="n"/>
      <c r="O36" s="31" t="n"/>
    </row>
    <row r="37" ht="15" customHeight="1" s="16">
      <c r="A37" s="26" t="n">
        <v>36</v>
      </c>
      <c r="B37" s="26" t="n">
        <v>13</v>
      </c>
      <c r="C37" s="26" t="n">
        <v>23</v>
      </c>
      <c r="D37" s="27" t="inlineStr">
        <is>
          <t>而不以此銀</t>
        </is>
      </c>
      <c r="E37" s="28" t="inlineStr">
        <is>
          <t>沽飮一盃酒</t>
        </is>
      </c>
      <c r="F37" s="27" t="inlineStr">
        <is>
          <t>潔則潔矣</t>
        </is>
      </c>
      <c r="G37" s="26" t="n"/>
      <c r="H37" s="29" t="n"/>
      <c r="I37" s="30" t="n"/>
      <c r="J37" s="30" t="n"/>
      <c r="K37" s="30" t="n"/>
      <c r="L37" s="30" t="n"/>
      <c r="M37" s="31" t="n"/>
      <c r="N37" s="29" t="n"/>
      <c r="O37" s="31" t="n"/>
    </row>
    <row r="38" ht="44" customHeight="1" s="16">
      <c r="A38" s="26" t="n">
        <v>37</v>
      </c>
      <c r="B38" s="26" t="n">
        <v>16</v>
      </c>
      <c r="C38" s="26" t="n">
        <v>3</v>
      </c>
      <c r="D38" s="27" t="inlineStr">
        <is>
          <t>稱乾隆四十五年八月十二日內閣奉上諭朝鮮世守藩封</t>
        </is>
      </c>
      <c r="E38" s="28" t="inlineStr">
        <is>
          <t>素稱恭順</t>
        </is>
      </c>
      <c r="F38" s="27" t="inlineStr">
        <is>
          <t>歲時職貢</t>
        </is>
      </c>
      <c r="G38" s="26" t="n"/>
      <c r="H38" s="29" t="n"/>
      <c r="I38" s="30" t="n"/>
      <c r="J38" s="30" t="n"/>
      <c r="K38" s="30" t="n"/>
      <c r="L38" s="30" t="n"/>
      <c r="M38" s="31" t="n"/>
      <c r="N38" s="29" t="n"/>
      <c r="O38" s="31" t="n"/>
    </row>
    <row r="39" ht="15" customHeight="1" s="16">
      <c r="A39" s="26" t="n">
        <v>38</v>
      </c>
      <c r="B39" s="26" t="n">
        <v>16</v>
      </c>
      <c r="C39" s="26" t="n">
        <v>4</v>
      </c>
      <c r="D39" s="27" t="inlineStr">
        <is>
          <t>素稱恭順</t>
        </is>
      </c>
      <c r="E39" s="32" t="inlineStr">
        <is>
          <t>歲時職貢</t>
        </is>
      </c>
      <c r="F39" s="27" t="inlineStr">
        <is>
          <t>祗愼可嘉</t>
        </is>
      </c>
      <c r="G39" s="26" t="inlineStr">
        <is>
          <t>●</t>
        </is>
      </c>
      <c r="H39" s="29" t="n"/>
      <c r="I39" s="30" t="n"/>
      <c r="J39" s="30" t="n"/>
      <c r="K39" s="30" t="n"/>
      <c r="L39" s="30" t="n"/>
      <c r="M39" s="31" t="n"/>
      <c r="N39" s="29" t="n"/>
      <c r="O39" s="31" t="n"/>
    </row>
    <row r="40" ht="29.85" customHeight="1" s="16">
      <c r="A40" s="26" t="n">
        <v>39</v>
      </c>
      <c r="B40" s="26" t="n">
        <v>16</v>
      </c>
      <c r="C40" s="26" t="n">
        <v>5</v>
      </c>
      <c r="D40" s="27" t="inlineStr">
        <is>
          <t>歲時職貢</t>
        </is>
      </c>
      <c r="E40" s="28" t="inlineStr">
        <is>
          <t>祗愼可嘉</t>
        </is>
      </c>
      <c r="F40" s="27" t="inlineStr">
        <is>
          <t>間遇特頒敕諭及資送歸國等事</t>
        </is>
      </c>
      <c r="G40" s="26" t="n"/>
      <c r="H40" s="29" t="n"/>
      <c r="I40" s="30" t="n"/>
      <c r="J40" s="30" t="n"/>
      <c r="K40" s="30" t="n"/>
      <c r="L40" s="30" t="n"/>
      <c r="M40" s="31" t="n"/>
      <c r="N40" s="29" t="n"/>
      <c r="O40" s="31" t="n"/>
    </row>
    <row r="41" ht="15" customHeight="1" s="16">
      <c r="A41" s="26" t="n">
        <v>40</v>
      </c>
      <c r="B41" s="26" t="n">
        <v>16</v>
      </c>
      <c r="C41" s="26" t="n">
        <v>6</v>
      </c>
      <c r="D41" s="27" t="inlineStr">
        <is>
          <t>祗愼可嘉</t>
        </is>
      </c>
      <c r="E41" s="32" t="inlineStr">
        <is>
          <t>間遇特頒敕諭及資送歸國等事</t>
        </is>
      </c>
      <c r="F41" s="27" t="inlineStr">
        <is>
          <t>如琉球等國</t>
        </is>
      </c>
      <c r="G41" s="26" t="inlineStr">
        <is>
          <t>●</t>
        </is>
      </c>
      <c r="H41" s="29" t="n"/>
      <c r="I41" s="30" t="n"/>
      <c r="J41" s="30" t="n"/>
      <c r="K41" s="30" t="n"/>
      <c r="L41" s="30" t="n"/>
      <c r="M41" s="31" t="n"/>
      <c r="N41" s="29" t="n"/>
      <c r="O41" s="31" t="n"/>
    </row>
    <row r="42" ht="29.85" customHeight="1" s="16">
      <c r="A42" s="26" t="n">
        <v>41</v>
      </c>
      <c r="B42" s="26" t="n">
        <v>16</v>
      </c>
      <c r="C42" s="26" t="n">
        <v>7</v>
      </c>
      <c r="D42" s="27" t="inlineStr">
        <is>
          <t>間遇特頒敕諭及資送歸國等事</t>
        </is>
      </c>
      <c r="E42" s="28" t="inlineStr">
        <is>
          <t>如琉球等國</t>
        </is>
      </c>
      <c r="F42" s="27" t="inlineStr">
        <is>
          <t>亦俱章陳謝</t>
        </is>
      </c>
      <c r="G42" s="26" t="n"/>
      <c r="H42" s="29" t="n"/>
      <c r="I42" s="30" t="n"/>
      <c r="J42" s="30" t="n"/>
      <c r="K42" s="30" t="n"/>
      <c r="L42" s="30" t="n"/>
      <c r="M42" s="31" t="n"/>
      <c r="N42" s="29" t="n"/>
      <c r="O42" s="31" t="n"/>
    </row>
    <row r="43" ht="15" customHeight="1" s="16">
      <c r="A43" s="26" t="n">
        <v>42</v>
      </c>
      <c r="B43" s="26" t="n">
        <v>16</v>
      </c>
      <c r="C43" s="26" t="n">
        <v>13</v>
      </c>
      <c r="D43" s="27" t="inlineStr">
        <is>
          <t>向因專使遠來</t>
        </is>
      </c>
      <c r="E43" s="28" t="inlineStr">
        <is>
          <t>若令賫回徒滋跋涉</t>
        </is>
      </c>
      <c r="F43" s="27" t="inlineStr">
        <is>
          <t>是以歷次留作正貢</t>
        </is>
      </c>
      <c r="G43" s="26" t="n"/>
      <c r="H43" s="29" t="n"/>
      <c r="I43" s="30" t="n"/>
      <c r="J43" s="30" t="n"/>
      <c r="K43" s="30" t="n"/>
      <c r="L43" s="30" t="n"/>
      <c r="M43" s="31" t="n"/>
      <c r="N43" s="29" t="n"/>
      <c r="O43" s="31" t="n"/>
    </row>
    <row r="44" ht="15" customHeight="1" s="16">
      <c r="A44" s="26" t="n">
        <v>43</v>
      </c>
      <c r="B44" s="26" t="n">
        <v>16</v>
      </c>
      <c r="C44" s="26" t="n">
        <v>14</v>
      </c>
      <c r="D44" s="27" t="inlineStr">
        <is>
          <t>若令賫回徒滋跋涉</t>
        </is>
      </c>
      <c r="E44" s="32" t="inlineStr">
        <is>
          <t>是以歷次留作正貢</t>
        </is>
      </c>
      <c r="F44" s="27" t="inlineStr">
        <is>
          <t>以示優卹</t>
        </is>
      </c>
      <c r="G44" s="26" t="inlineStr">
        <is>
          <t>●</t>
        </is>
      </c>
      <c r="H44" s="29" t="n"/>
      <c r="I44" s="30" t="n"/>
      <c r="J44" s="30" t="n"/>
      <c r="K44" s="30" t="n"/>
      <c r="L44" s="30" t="n"/>
      <c r="M44" s="31" t="n"/>
      <c r="N44" s="29" t="n"/>
      <c r="O44" s="31" t="n"/>
    </row>
    <row r="45" ht="15" customHeight="1" s="16">
      <c r="A45" s="26" t="n">
        <v>44</v>
      </c>
      <c r="B45" s="26" t="n">
        <v>16</v>
      </c>
      <c r="C45" s="26" t="n">
        <v>15</v>
      </c>
      <c r="D45" s="27" t="inlineStr">
        <is>
          <t>是以歷次留作正貢</t>
        </is>
      </c>
      <c r="E45" s="28" t="inlineStr">
        <is>
          <t>以示優卹</t>
        </is>
      </c>
      <c r="F45" s="27" t="inlineStr">
        <is>
          <t>而該國恪供</t>
        </is>
      </c>
      <c r="G45" s="26" t="n"/>
      <c r="H45" s="29" t="n"/>
      <c r="I45" s="30" t="n"/>
      <c r="J45" s="30" t="n"/>
      <c r="K45" s="30" t="n"/>
      <c r="L45" s="30" t="n"/>
      <c r="M45" s="31" t="n"/>
      <c r="N45" s="29" t="n"/>
      <c r="O45" s="31" t="n"/>
    </row>
    <row r="46" ht="15" customHeight="1" s="16">
      <c r="A46" s="26" t="n">
        <v>45</v>
      </c>
      <c r="B46" s="26" t="n">
        <v>16</v>
      </c>
      <c r="C46" s="26" t="n">
        <v>17</v>
      </c>
      <c r="D46" s="27" t="inlineStr">
        <is>
          <t>而該國恪供</t>
        </is>
      </c>
      <c r="E46" s="28" t="inlineStr">
        <is>
          <t>職守</t>
        </is>
      </c>
      <c r="F46" s="27" t="inlineStr">
        <is>
          <t>届應正貢時</t>
        </is>
      </c>
      <c r="G46" s="26" t="n"/>
      <c r="H46" s="29" t="n"/>
      <c r="I46" s="30" t="n"/>
      <c r="J46" s="30" t="n"/>
      <c r="K46" s="30" t="n"/>
      <c r="L46" s="30" t="n"/>
      <c r="M46" s="31" t="n"/>
      <c r="N46" s="29" t="n"/>
      <c r="O46" s="31" t="n"/>
    </row>
    <row r="47" ht="15" customHeight="1" s="16">
      <c r="A47" s="26" t="n">
        <v>46</v>
      </c>
      <c r="B47" s="26" t="n">
        <v>16</v>
      </c>
      <c r="C47" s="26" t="n">
        <v>18</v>
      </c>
      <c r="D47" s="27" t="inlineStr">
        <is>
          <t>職守</t>
        </is>
      </c>
      <c r="E47" s="32" t="inlineStr">
        <is>
          <t>届應正貢時</t>
        </is>
      </c>
      <c r="F47" s="27" t="inlineStr">
        <is>
          <t>仍復備物呈獻</t>
        </is>
      </c>
      <c r="G47" s="26" t="inlineStr">
        <is>
          <t>●</t>
        </is>
      </c>
      <c r="H47" s="29" t="n"/>
      <c r="I47" s="30" t="n"/>
      <c r="J47" s="30" t="n"/>
      <c r="K47" s="30" t="n"/>
      <c r="L47" s="30" t="n"/>
      <c r="M47" s="31" t="n"/>
      <c r="N47" s="29" t="n"/>
      <c r="O47" s="31" t="n"/>
    </row>
    <row r="48" ht="15" customHeight="1" s="16">
      <c r="A48" s="26" t="n">
        <v>47</v>
      </c>
      <c r="B48" s="26" t="n">
        <v>16</v>
      </c>
      <c r="C48" s="26" t="n">
        <v>19</v>
      </c>
      <c r="D48" s="27" t="inlineStr">
        <is>
          <t>届應正貢時</t>
        </is>
      </c>
      <c r="E48" s="28" t="inlineStr">
        <is>
          <t>仍復備物呈獻</t>
        </is>
      </c>
      <c r="F48" s="27" t="inlineStr">
        <is>
          <t>往來煩複</t>
        </is>
      </c>
      <c r="G48" s="26" t="n"/>
      <c r="H48" s="29" t="n"/>
      <c r="I48" s="30" t="n"/>
      <c r="J48" s="30" t="n"/>
      <c r="K48" s="30" t="n"/>
      <c r="L48" s="30" t="n"/>
      <c r="M48" s="31" t="n"/>
      <c r="N48" s="29" t="n"/>
      <c r="O48" s="31" t="n"/>
    </row>
    <row r="49" ht="15" customHeight="1" s="16">
      <c r="A49" s="26" t="n">
        <v>48</v>
      </c>
      <c r="B49" s="26" t="n">
        <v>16</v>
      </c>
      <c r="C49" s="26" t="n">
        <v>31</v>
      </c>
      <c r="D49" s="27" t="inlineStr">
        <is>
          <t>隨朝臣一軆行禮宴</t>
        </is>
      </c>
      <c r="E49" s="28" t="inlineStr">
        <is>
          <t>賚其隨</t>
        </is>
      </c>
      <c r="F49" s="27" t="inlineStr">
        <is>
          <t>表貢物</t>
        </is>
      </c>
      <c r="G49" s="26" t="n"/>
      <c r="H49" s="29" t="n"/>
      <c r="I49" s="30" t="n"/>
      <c r="J49" s="30" t="n"/>
      <c r="K49" s="30" t="n"/>
      <c r="L49" s="30" t="n"/>
      <c r="M49" s="31" t="n"/>
      <c r="N49" s="29" t="n"/>
      <c r="O49" s="31" t="n"/>
    </row>
    <row r="50" ht="15" customHeight="1" s="16">
      <c r="A50" s="26" t="n">
        <v>49</v>
      </c>
      <c r="B50" s="26" t="n">
        <v>16</v>
      </c>
      <c r="C50" s="26" t="n">
        <v>32</v>
      </c>
      <c r="D50" s="27" t="inlineStr">
        <is>
          <t>賚其隨</t>
        </is>
      </c>
      <c r="E50" s="32" t="inlineStr">
        <is>
          <t>表貢物</t>
        </is>
      </c>
      <c r="F50" s="27" t="inlineStr">
        <is>
          <t>此次卽行收受</t>
        </is>
      </c>
      <c r="G50" s="26" t="inlineStr">
        <is>
          <t>●</t>
        </is>
      </c>
      <c r="H50" s="29" t="n"/>
      <c r="I50" s="30" t="n"/>
      <c r="J50" s="30" t="n"/>
      <c r="K50" s="30" t="n"/>
      <c r="L50" s="30" t="n"/>
      <c r="M50" s="31" t="n"/>
      <c r="N50" s="29" t="n"/>
      <c r="O50" s="31" t="n"/>
    </row>
    <row r="51" ht="15" customHeight="1" s="16">
      <c r="A51" s="26" t="n">
        <v>50</v>
      </c>
      <c r="B51" s="26" t="n">
        <v>16</v>
      </c>
      <c r="C51" s="26" t="n">
        <v>33</v>
      </c>
      <c r="D51" s="27" t="inlineStr">
        <is>
          <t>表貢物</t>
        </is>
      </c>
      <c r="E51" s="28" t="inlineStr">
        <is>
          <t>此次卽行收受</t>
        </is>
      </c>
      <c r="F51" s="27" t="inlineStr">
        <is>
          <t>以伸該國慶祝之誠</t>
        </is>
      </c>
      <c r="G51" s="26" t="n"/>
      <c r="H51" s="29" t="n"/>
      <c r="I51" s="30" t="n"/>
      <c r="J51" s="30" t="n"/>
      <c r="K51" s="30" t="n"/>
      <c r="L51" s="30" t="n"/>
      <c r="M51" s="31" t="n"/>
      <c r="N51" s="29" t="n"/>
      <c r="O51" s="31" t="n"/>
    </row>
    <row r="52" ht="15" customHeight="1" s="16">
      <c r="A52" s="26" t="n">
        <v>51</v>
      </c>
      <c r="B52" s="26" t="n">
        <v>16</v>
      </c>
      <c r="C52" s="26" t="n">
        <v>34</v>
      </c>
      <c r="D52" s="27" t="inlineStr">
        <is>
          <t>此次卽行收受</t>
        </is>
      </c>
      <c r="E52" s="28" t="inlineStr">
        <is>
          <t>以伸該國慶祝之誠</t>
        </is>
      </c>
      <c r="F52" s="27" t="inlineStr">
        <is>
          <t>嗣後除歲時慶節正貢</t>
        </is>
      </c>
      <c r="G52" s="26" t="n"/>
      <c r="H52" s="29" t="n"/>
      <c r="I52" s="30" t="n"/>
      <c r="J52" s="30" t="n"/>
      <c r="K52" s="30" t="n"/>
      <c r="L52" s="30" t="n"/>
      <c r="M52" s="31" t="n"/>
      <c r="N52" s="29" t="n"/>
      <c r="O52" s="31" t="n"/>
    </row>
    <row r="53" ht="15" customHeight="1" s="16">
      <c r="A53" s="26" t="n">
        <v>52</v>
      </c>
      <c r="B53" s="26" t="n">
        <v>16</v>
      </c>
      <c r="C53" s="26" t="n">
        <v>35</v>
      </c>
      <c r="D53" s="27" t="inlineStr">
        <is>
          <t>以伸該國慶祝之誠</t>
        </is>
      </c>
      <c r="E53" s="32" t="inlineStr">
        <is>
          <t>嗣後除歲時慶節正貢</t>
        </is>
      </c>
      <c r="F53" s="27" t="inlineStr">
        <is>
          <t>仍聽其照例備進</t>
        </is>
      </c>
      <c r="G53" s="26" t="inlineStr">
        <is>
          <t>●</t>
        </is>
      </c>
      <c r="H53" s="29" t="n"/>
      <c r="I53" s="30" t="n"/>
      <c r="J53" s="30" t="n"/>
      <c r="K53" s="30" t="n"/>
      <c r="L53" s="30" t="n"/>
      <c r="M53" s="31" t="n"/>
      <c r="N53" s="29" t="n"/>
      <c r="O53" s="31" t="n"/>
    </row>
    <row r="54" ht="15" customHeight="1" s="16">
      <c r="A54" s="26" t="n">
        <v>53</v>
      </c>
      <c r="B54" s="26" t="n">
        <v>16</v>
      </c>
      <c r="C54" s="26" t="n">
        <v>36</v>
      </c>
      <c r="D54" s="27" t="inlineStr">
        <is>
          <t>嗣後除歲時慶節正貢</t>
        </is>
      </c>
      <c r="E54" s="28" t="inlineStr">
        <is>
          <t>仍聽其照例備進</t>
        </is>
      </c>
      <c r="F54" s="27" t="inlineStr">
        <is>
          <t>其餘陳謝表章</t>
        </is>
      </c>
      <c r="G54" s="26" t="n"/>
      <c r="H54" s="29" t="n"/>
      <c r="I54" s="30" t="n"/>
      <c r="J54" s="30" t="n"/>
      <c r="K54" s="30" t="n"/>
      <c r="L54" s="30" t="n"/>
      <c r="M54" s="31" t="n"/>
      <c r="N54" s="29" t="n"/>
      <c r="O54" s="31" t="n"/>
    </row>
    <row r="55" ht="15" customHeight="1" s="16">
      <c r="A55" s="26" t="n">
        <v>54</v>
      </c>
      <c r="B55" s="26" t="n">
        <v>16</v>
      </c>
      <c r="C55" s="26" t="n">
        <v>37</v>
      </c>
      <c r="D55" s="27" t="inlineStr">
        <is>
          <t>仍聽其照例備進</t>
        </is>
      </c>
      <c r="E55" s="28" t="inlineStr">
        <is>
          <t>其餘陳謝表章</t>
        </is>
      </c>
      <c r="F55" s="27" t="inlineStr">
        <is>
          <t>所有隨表貢物</t>
        </is>
      </c>
      <c r="G55" s="26" t="n"/>
      <c r="H55" s="29" t="n"/>
      <c r="I55" s="30" t="n"/>
      <c r="J55" s="30" t="n"/>
      <c r="K55" s="30" t="n"/>
      <c r="L55" s="30" t="n"/>
      <c r="M55" s="31" t="n"/>
      <c r="N55" s="29" t="n"/>
      <c r="O55" s="31" t="n"/>
    </row>
    <row r="56" ht="15" customHeight="1" s="16">
      <c r="A56" s="26" t="n">
        <v>55</v>
      </c>
      <c r="B56" s="26" t="n">
        <v>16</v>
      </c>
      <c r="C56" s="26" t="n">
        <v>38</v>
      </c>
      <c r="D56" s="27" t="inlineStr">
        <is>
          <t>其餘陳謝表章</t>
        </is>
      </c>
      <c r="E56" s="32" t="inlineStr">
        <is>
          <t>所有隨表貢物</t>
        </is>
      </c>
      <c r="F56" s="27" t="inlineStr">
        <is>
          <t>槪行停止</t>
        </is>
      </c>
      <c r="G56" s="26" t="inlineStr">
        <is>
          <t>●</t>
        </is>
      </c>
      <c r="H56" s="29" t="n"/>
      <c r="I56" s="30" t="n"/>
      <c r="J56" s="30" t="n"/>
      <c r="K56" s="30" t="n"/>
      <c r="L56" s="30" t="n"/>
      <c r="M56" s="31" t="n"/>
      <c r="N56" s="29" t="n"/>
      <c r="O56" s="31" t="n"/>
    </row>
    <row r="57" ht="15" customHeight="1" s="16">
      <c r="A57" s="26" t="n">
        <v>56</v>
      </c>
      <c r="B57" s="26" t="n">
        <v>16</v>
      </c>
      <c r="C57" s="26" t="n">
        <v>39</v>
      </c>
      <c r="D57" s="27" t="inlineStr">
        <is>
          <t>所有隨表貢物</t>
        </is>
      </c>
      <c r="E57" s="28" t="inlineStr">
        <is>
          <t>槪行停止</t>
        </is>
      </c>
      <c r="F57" s="27" t="inlineStr">
        <is>
          <t>毋庸備進</t>
        </is>
      </c>
      <c r="G57" s="26" t="n"/>
      <c r="H57" s="29" t="n"/>
      <c r="I57" s="30" t="n"/>
      <c r="J57" s="30" t="n"/>
      <c r="K57" s="30" t="n"/>
      <c r="L57" s="30" t="n"/>
      <c r="M57" s="31" t="n"/>
      <c r="N57" s="29" t="n"/>
      <c r="O57" s="31" t="n"/>
    </row>
    <row r="58" ht="15" customHeight="1" s="16">
      <c r="A58" s="26" t="n">
        <v>57</v>
      </c>
      <c r="B58" s="26" t="n">
        <v>17</v>
      </c>
      <c r="C58" s="26" t="n">
        <v>16</v>
      </c>
      <c r="D58" s="27" t="inlineStr">
        <is>
          <t>改加賞國王</t>
        </is>
      </c>
      <c r="E58" s="28" t="inlineStr">
        <is>
          <t>陪臣幷從人等</t>
        </is>
      </c>
      <c r="F58" s="27" t="inlineStr">
        <is>
          <t>緞匹銀兩</t>
        </is>
      </c>
      <c r="G58" s="26" t="n"/>
      <c r="H58" s="29" t="n"/>
      <c r="I58" s="30" t="n"/>
      <c r="J58" s="30" t="n"/>
      <c r="K58" s="30" t="n"/>
      <c r="L58" s="30" t="n"/>
      <c r="M58" s="31" t="n"/>
      <c r="N58" s="29" t="n"/>
      <c r="O58" s="31" t="n"/>
    </row>
    <row r="59" ht="15" customHeight="1" s="16">
      <c r="A59" s="26" t="n">
        <v>58</v>
      </c>
      <c r="B59" s="26" t="n">
        <v>17</v>
      </c>
      <c r="C59" s="26" t="n">
        <v>17</v>
      </c>
      <c r="D59" s="27" t="inlineStr">
        <is>
          <t>陪臣幷從人等</t>
        </is>
      </c>
      <c r="E59" s="32" t="inlineStr">
        <is>
          <t>緞匹銀兩</t>
        </is>
      </c>
      <c r="F59" s="27" t="inlineStr">
        <is>
          <t>榮光所被</t>
        </is>
      </c>
      <c r="G59" s="26" t="inlineStr">
        <is>
          <t>●</t>
        </is>
      </c>
      <c r="H59" s="29" t="n"/>
      <c r="I59" s="30" t="n"/>
      <c r="J59" s="30" t="n"/>
      <c r="K59" s="30" t="n"/>
      <c r="L59" s="30" t="n"/>
      <c r="M59" s="31" t="n"/>
      <c r="N59" s="29" t="n"/>
      <c r="O59" s="31" t="n"/>
    </row>
    <row r="60" ht="15" customHeight="1" s="16">
      <c r="A60" s="26" t="n">
        <v>59</v>
      </c>
      <c r="B60" s="26" t="n">
        <v>17</v>
      </c>
      <c r="C60" s="26" t="n">
        <v>18</v>
      </c>
      <c r="D60" s="27" t="inlineStr">
        <is>
          <t>緞匹銀兩</t>
        </is>
      </c>
      <c r="E60" s="28" t="inlineStr">
        <is>
          <t>榮光所被</t>
        </is>
      </c>
      <c r="F60" s="27" t="inlineStr">
        <is>
          <t>曠絶前後</t>
        </is>
      </c>
      <c r="G60" s="26" t="n"/>
      <c r="H60" s="29" t="n"/>
      <c r="I60" s="30" t="n"/>
      <c r="J60" s="30" t="n"/>
      <c r="K60" s="30" t="n"/>
      <c r="L60" s="30" t="n"/>
      <c r="M60" s="31" t="n"/>
      <c r="N60" s="29" t="n"/>
      <c r="O60" s="31" t="n"/>
    </row>
    <row r="61" ht="15" customHeight="1" s="16">
      <c r="A61" s="26" t="n">
        <v>60</v>
      </c>
      <c r="B61" s="26" t="n">
        <v>19</v>
      </c>
      <c r="C61" s="26" t="n">
        <v>26</v>
      </c>
      <c r="D61" s="27" t="inlineStr">
        <is>
          <t>潛改句語</t>
        </is>
      </c>
      <c r="E61" s="28" t="inlineStr">
        <is>
          <t>不顧大軆</t>
        </is>
      </c>
      <c r="F61" s="27" t="inlineStr">
        <is>
          <t>只要一時悅豫之資</t>
        </is>
      </c>
      <c r="G61" s="26" t="n"/>
      <c r="H61" s="29" t="n"/>
      <c r="I61" s="30" t="n"/>
      <c r="J61" s="30" t="n"/>
      <c r="K61" s="30" t="n"/>
      <c r="L61" s="30" t="n"/>
      <c r="M61" s="31" t="n"/>
      <c r="N61" s="29" t="n"/>
      <c r="O61" s="31" t="n"/>
    </row>
    <row r="62" ht="15" customHeight="1" s="16">
      <c r="A62" s="26" t="n">
        <v>61</v>
      </c>
      <c r="B62" s="26" t="n">
        <v>19</v>
      </c>
      <c r="C62" s="26" t="n">
        <v>27</v>
      </c>
      <c r="D62" s="27" t="inlineStr">
        <is>
          <t>不顧大軆</t>
        </is>
      </c>
      <c r="E62" s="32" t="inlineStr">
        <is>
          <t>只要一時悅豫之資</t>
        </is>
      </c>
      <c r="F62" s="27" t="inlineStr">
        <is>
          <t>自</t>
        </is>
      </c>
      <c r="G62" s="26" t="inlineStr">
        <is>
          <t>●</t>
        </is>
      </c>
      <c r="H62" s="29" t="n"/>
      <c r="I62" s="30" t="n"/>
      <c r="J62" s="30" t="n"/>
      <c r="K62" s="30" t="n"/>
      <c r="L62" s="30" t="n"/>
      <c r="M62" s="31" t="n"/>
      <c r="N62" s="29" t="n"/>
      <c r="O62" s="31" t="n"/>
    </row>
    <row r="63" ht="15" customHeight="1" s="16">
      <c r="A63" s="26" t="n">
        <v>62</v>
      </c>
      <c r="B63" s="26" t="n">
        <v>19</v>
      </c>
      <c r="C63" s="26" t="n">
        <v>28</v>
      </c>
      <c r="D63" s="27" t="inlineStr">
        <is>
          <t>只要一時悅豫之資</t>
        </is>
      </c>
      <c r="E63" s="28" t="inlineStr">
        <is>
          <t>自</t>
        </is>
      </c>
      <c r="F63" s="27" t="inlineStr">
        <is>
          <t>陷罔上之科</t>
        </is>
      </c>
      <c r="G63" s="26" t="n"/>
      <c r="H63" s="29" t="n"/>
      <c r="I63" s="30" t="n"/>
      <c r="J63" s="30" t="n"/>
      <c r="K63" s="30" t="n"/>
      <c r="L63" s="30" t="n"/>
      <c r="M63" s="31" t="n"/>
      <c r="N63" s="29" t="n"/>
      <c r="O63" s="31" t="n"/>
    </row>
    <row r="64" ht="29.85" customHeight="1" s="16">
      <c r="A64" s="26" t="n">
        <v>63</v>
      </c>
      <c r="B64" s="26" t="n">
        <v>21</v>
      </c>
      <c r="C64" s="26" t="n">
        <v>2</v>
      </c>
      <c r="D64" s="27" t="inlineStr">
        <is>
          <t>仲存氏曰</t>
        </is>
      </c>
      <c r="E64" s="28" t="inlineStr">
        <is>
          <t>俱是深憂遠慮</t>
        </is>
      </c>
      <c r="F64" s="27" t="inlineStr">
        <is>
          <t>此編及原集中所論銀貨一段</t>
        </is>
      </c>
      <c r="G64" s="26" t="n"/>
      <c r="H64" s="29" t="n"/>
      <c r="I64" s="30" t="n"/>
      <c r="J64" s="30" t="n"/>
      <c r="K64" s="30" t="n"/>
      <c r="L64" s="30" t="n"/>
      <c r="M64" s="31" t="n"/>
      <c r="N64" s="29" t="n"/>
      <c r="O64" s="31" t="n"/>
    </row>
    <row r="65" ht="15" customHeight="1" s="16">
      <c r="A65" s="26" t="n">
        <v>64</v>
      </c>
      <c r="B65" s="26" t="n">
        <v>21</v>
      </c>
      <c r="C65" s="26" t="n">
        <v>3</v>
      </c>
      <c r="D65" s="27" t="inlineStr">
        <is>
          <t>俱是深憂遠慮</t>
        </is>
      </c>
      <c r="E65" s="32" t="inlineStr">
        <is>
          <t>此編及原集中所論銀貨一段</t>
        </is>
      </c>
      <c r="F65" s="27" t="inlineStr">
        <is>
          <t>有司者宜熟講</t>
        </is>
      </c>
      <c r="G65" s="26" t="inlineStr">
        <is>
          <t>●</t>
        </is>
      </c>
      <c r="H65" s="29" t="n"/>
      <c r="I65" s="30" t="n"/>
      <c r="J65" s="30" t="n"/>
      <c r="K65" s="30" t="n"/>
      <c r="L65" s="30" t="n"/>
      <c r="M65" s="31" t="n"/>
      <c r="N65" s="29" t="n"/>
      <c r="O65" s="31" t="n"/>
    </row>
    <row r="66" ht="29.85" customHeight="1" s="16">
      <c r="A66" s="26" t="n">
        <v>65</v>
      </c>
      <c r="B66" s="26" t="n">
        <v>21</v>
      </c>
      <c r="C66" s="26" t="n">
        <v>4</v>
      </c>
      <c r="D66" s="27" t="inlineStr">
        <is>
          <t>此編及原集中所論銀貨一段</t>
        </is>
      </c>
      <c r="E66" s="28" t="inlineStr">
        <is>
          <t>有司者宜熟講</t>
        </is>
      </c>
      <c r="F66" s="27" t="n"/>
      <c r="G66" s="26" t="n"/>
      <c r="H66" s="29" t="n"/>
      <c r="I66" s="30" t="n"/>
      <c r="J66" s="30" t="n"/>
      <c r="K66" s="30" t="n"/>
      <c r="L66" s="30" t="n"/>
      <c r="M66" s="31" t="n"/>
      <c r="N66" s="29" t="n"/>
      <c r="O66" s="31" t="n"/>
    </row>
  </sheetData>
  <dataValidations count="4">
    <dataValidation sqref="H2:H66" showDropDown="0" showInputMessage="0" showErrorMessage="0" allowBlank="1" type="list" errorStyle="stop" operator="between">
      <formula1>"Y,N"</formula1>
      <formula2>0</formula2>
    </dataValidation>
    <dataValidation sqref="I2:I66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66" showDropDown="0" showInputMessage="0" showErrorMessage="0" allowBlank="1" type="list" errorStyle="stop" operator="between">
      <formula1>"높음,보통,낮음"</formula1>
      <formula2>0</formula2>
    </dataValidation>
    <dataValidation sqref="J2:J66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" customWidth="1" style="15" min="2" max="3"/>
    <col width="20" customWidth="1" style="15" min="4" max="4"/>
    <col width="26" customWidth="1" style="15" min="5" max="5"/>
    <col width="20" customWidth="1" style="15" min="6" max="6"/>
    <col width="7" customWidth="1" style="15" min="7" max="7"/>
    <col width="9" customWidth="1" style="15" min="8" max="8"/>
    <col width="18" customWidth="1" style="15" min="9" max="10"/>
    <col width="12" customWidth="1" style="15" min="11" max="11"/>
    <col width="14" customWidth="1" style="15" min="12" max="12"/>
    <col width="26" customWidth="1" style="15" min="13" max="13"/>
    <col width="8" customWidth="1" style="15" min="14" max="14"/>
    <col width="16" customWidth="1" style="15" min="15" max="15"/>
  </cols>
  <sheetData>
    <row r="1" ht="30" customHeight="1" s="16">
      <c r="A1" s="17" t="inlineStr">
        <is>
          <t>연번</t>
        </is>
      </c>
      <c r="B1" s="17" t="inlineStr">
        <is>
          <t>문단</t>
        </is>
      </c>
      <c r="C1" s="17" t="inlineStr">
        <is>
          <t>절번호</t>
        </is>
      </c>
      <c r="D1" s="17" t="inlineStr">
        <is>
          <t>앞 절</t>
        </is>
      </c>
      <c r="E1" s="17" t="inlineStr">
        <is>
          <t>판정 대상 절</t>
        </is>
      </c>
      <c r="F1" s="17" t="inlineStr">
        <is>
          <t>뒤 절</t>
        </is>
      </c>
      <c r="G1" s="17" t="inlineStr">
        <is>
          <t>트리거</t>
        </is>
      </c>
      <c r="H1" s="17" t="inlineStr">
        <is>
          <t>은유 여부</t>
        </is>
      </c>
      <c r="I1" s="17" t="inlineStr">
        <is>
          <t>원천 영역</t>
        </is>
      </c>
      <c r="J1" s="17" t="inlineStr">
        <is>
          <t>목표 영역</t>
        </is>
      </c>
      <c r="K1" s="17" t="inlineStr">
        <is>
          <t>원천 어휘</t>
        </is>
      </c>
      <c r="L1" s="17" t="inlineStr">
        <is>
          <t>목표 개념</t>
        </is>
      </c>
      <c r="M1" s="17" t="inlineStr">
        <is>
          <t>판정 근거</t>
        </is>
      </c>
      <c r="N1" s="17" t="inlineStr">
        <is>
          <t>확신도</t>
        </is>
      </c>
      <c r="O1" s="17" t="inlineStr">
        <is>
          <t>비고</t>
        </is>
      </c>
    </row>
    <row r="2" ht="15" customHeight="1" s="16">
      <c r="A2" s="26" t="n">
        <v>1</v>
      </c>
      <c r="B2" s="26" t="n">
        <v>2</v>
      </c>
      <c r="C2" s="26" t="n">
        <v>22</v>
      </c>
      <c r="D2" s="27" t="inlineStr">
        <is>
          <t>道</t>
        </is>
      </c>
      <c r="E2" s="28" t="inlineStr">
        <is>
          <t>逢御史汪道昆</t>
        </is>
      </c>
      <c r="F2" s="27" t="inlineStr">
        <is>
          <t>屛息路左</t>
        </is>
      </c>
      <c r="G2" s="26" t="n"/>
      <c r="H2" s="29" t="n"/>
      <c r="I2" s="30" t="n"/>
      <c r="J2" s="30" t="n"/>
      <c r="K2" s="30" t="n"/>
      <c r="L2" s="30" t="n"/>
      <c r="M2" s="31" t="n"/>
      <c r="N2" s="29" t="n"/>
      <c r="O2" s="31" t="n"/>
    </row>
    <row r="3" ht="15" customHeight="1" s="16">
      <c r="A3" s="26" t="n">
        <v>2</v>
      </c>
      <c r="B3" s="26" t="n">
        <v>2</v>
      </c>
      <c r="C3" s="26" t="n">
        <v>23</v>
      </c>
      <c r="D3" s="27" t="inlineStr">
        <is>
          <t>逢御史汪道昆</t>
        </is>
      </c>
      <c r="E3" s="32" t="inlineStr">
        <is>
          <t>屛息路左</t>
        </is>
      </c>
      <c r="F3" s="27" t="inlineStr">
        <is>
          <t>瞻望行塵</t>
        </is>
      </c>
      <c r="G3" s="26" t="inlineStr">
        <is>
          <t>●</t>
        </is>
      </c>
      <c r="H3" s="29" t="n"/>
      <c r="I3" s="30" t="n"/>
      <c r="J3" s="30" t="n"/>
      <c r="K3" s="30" t="n"/>
      <c r="L3" s="30" t="n"/>
      <c r="M3" s="31" t="n"/>
      <c r="N3" s="29" t="n"/>
      <c r="O3" s="31" t="n"/>
    </row>
    <row r="4" ht="15" customHeight="1" s="16">
      <c r="A4" s="26" t="n">
        <v>3</v>
      </c>
      <c r="B4" s="26" t="n">
        <v>2</v>
      </c>
      <c r="C4" s="26" t="n">
        <v>24</v>
      </c>
      <c r="D4" s="27" t="inlineStr">
        <is>
          <t>屛息路左</t>
        </is>
      </c>
      <c r="E4" s="28" t="inlineStr">
        <is>
          <t>瞻望行塵</t>
        </is>
      </c>
      <c r="F4" s="27" t="inlineStr">
        <is>
          <t>猶以爲榮</t>
        </is>
      </c>
      <c r="G4" s="26" t="n"/>
      <c r="H4" s="29" t="n"/>
      <c r="I4" s="30" t="n"/>
      <c r="J4" s="30" t="n"/>
      <c r="K4" s="30" t="n"/>
      <c r="L4" s="30" t="n"/>
      <c r="M4" s="31" t="n"/>
      <c r="N4" s="29" t="n"/>
      <c r="O4" s="31" t="n"/>
    </row>
    <row r="5" ht="15" customHeight="1" s="16">
      <c r="A5" s="26" t="n">
        <v>4</v>
      </c>
      <c r="B5" s="26" t="n">
        <v>2</v>
      </c>
      <c r="C5" s="26" t="n">
        <v>109</v>
      </c>
      <c r="D5" s="27" t="inlineStr">
        <is>
          <t>始知衣冠士族幷在中原</t>
        </is>
      </c>
      <c r="E5" s="28" t="inlineStr">
        <is>
          <t>禮儀</t>
        </is>
      </c>
      <c r="F5" s="27" t="inlineStr">
        <is>
          <t>富盛</t>
        </is>
      </c>
      <c r="G5" s="26" t="n"/>
      <c r="H5" s="29" t="n"/>
      <c r="I5" s="30" t="n"/>
      <c r="J5" s="30" t="n"/>
      <c r="K5" s="30" t="n"/>
      <c r="L5" s="30" t="n"/>
      <c r="M5" s="31" t="n"/>
      <c r="N5" s="29" t="n"/>
      <c r="O5" s="31" t="n"/>
    </row>
    <row r="6" ht="15" customHeight="1" s="16">
      <c r="A6" s="26" t="n">
        <v>5</v>
      </c>
      <c r="B6" s="26" t="n">
        <v>2</v>
      </c>
      <c r="C6" s="26" t="n">
        <v>110</v>
      </c>
      <c r="D6" s="27" t="inlineStr">
        <is>
          <t>禮儀</t>
        </is>
      </c>
      <c r="E6" s="32" t="inlineStr">
        <is>
          <t>富盛</t>
        </is>
      </c>
      <c r="F6" s="27" t="inlineStr">
        <is>
          <t>人物殷阜</t>
        </is>
      </c>
      <c r="G6" s="26" t="inlineStr">
        <is>
          <t>●</t>
        </is>
      </c>
      <c r="H6" s="29" t="n"/>
      <c r="I6" s="30" t="n"/>
      <c r="J6" s="30" t="n"/>
      <c r="K6" s="30" t="n"/>
      <c r="L6" s="30" t="n"/>
      <c r="M6" s="31" t="n"/>
      <c r="N6" s="29" t="n"/>
      <c r="O6" s="31" t="n"/>
    </row>
    <row r="7" ht="15" customHeight="1" s="16">
      <c r="A7" s="26" t="n">
        <v>6</v>
      </c>
      <c r="B7" s="26" t="n">
        <v>2</v>
      </c>
      <c r="C7" s="26" t="n">
        <v>111</v>
      </c>
      <c r="D7" s="27" t="inlineStr">
        <is>
          <t>富盛</t>
        </is>
      </c>
      <c r="E7" s="28" t="inlineStr">
        <is>
          <t>人物殷阜</t>
        </is>
      </c>
      <c r="F7" s="27" t="inlineStr">
        <is>
          <t>耳目所識</t>
        </is>
      </c>
      <c r="G7" s="26" t="n"/>
      <c r="H7" s="29" t="n"/>
      <c r="I7" s="30" t="n"/>
      <c r="J7" s="30" t="n"/>
      <c r="K7" s="30" t="n"/>
      <c r="L7" s="30" t="n"/>
      <c r="M7" s="31" t="n"/>
      <c r="N7" s="29" t="n"/>
      <c r="O7" s="31" t="n"/>
    </row>
    <row r="8" ht="15" customHeight="1" s="16">
      <c r="A8" s="26" t="n">
        <v>7</v>
      </c>
      <c r="B8" s="26" t="n">
        <v>2</v>
      </c>
      <c r="C8" s="26" t="n">
        <v>131</v>
      </c>
      <c r="D8" s="27" t="inlineStr">
        <is>
          <t>等百世之王</t>
        </is>
      </c>
      <c r="E8" s="28" t="inlineStr">
        <is>
          <t>莫之能違也</t>
        </is>
      </c>
      <c r="F8" s="27" t="inlineStr">
        <is>
          <t>旣無子貢之藝</t>
        </is>
      </c>
      <c r="G8" s="26" t="n"/>
      <c r="H8" s="29" t="n"/>
      <c r="I8" s="30" t="n"/>
      <c r="J8" s="30" t="n"/>
      <c r="K8" s="30" t="n"/>
      <c r="L8" s="30" t="n"/>
      <c r="M8" s="31" t="n"/>
      <c r="N8" s="29" t="n"/>
      <c r="O8" s="31" t="n"/>
    </row>
    <row r="9" ht="15" customHeight="1" s="16">
      <c r="A9" s="26" t="n">
        <v>8</v>
      </c>
      <c r="B9" s="26" t="n">
        <v>2</v>
      </c>
      <c r="C9" s="26" t="n">
        <v>132</v>
      </c>
      <c r="D9" s="27" t="inlineStr">
        <is>
          <t>莫之能違也</t>
        </is>
      </c>
      <c r="E9" s="32" t="inlineStr">
        <is>
          <t>旣無子貢之藝</t>
        </is>
      </c>
      <c r="F9" s="27" t="inlineStr">
        <is>
          <t>季札之智</t>
        </is>
      </c>
      <c r="G9" s="26" t="inlineStr">
        <is>
          <t>●</t>
        </is>
      </c>
      <c r="H9" s="29" t="n"/>
      <c r="I9" s="30" t="n"/>
      <c r="J9" s="30" t="n"/>
      <c r="K9" s="30" t="n"/>
      <c r="L9" s="30" t="n"/>
      <c r="M9" s="31" t="n"/>
      <c r="N9" s="29" t="n"/>
      <c r="O9" s="31" t="n"/>
    </row>
    <row r="10" ht="15" customHeight="1" s="16">
      <c r="A10" s="26" t="n">
        <v>9</v>
      </c>
      <c r="B10" s="26" t="n">
        <v>2</v>
      </c>
      <c r="C10" s="26" t="n">
        <v>133</v>
      </c>
      <c r="D10" s="27" t="inlineStr">
        <is>
          <t>旣無子貢之藝</t>
        </is>
      </c>
      <c r="E10" s="28" t="inlineStr">
        <is>
          <t>季札之智</t>
        </is>
      </c>
      <c r="F10" s="27" t="inlineStr">
        <is>
          <t>則雖使笙鏞干</t>
        </is>
      </c>
      <c r="G10" s="26" t="n"/>
      <c r="H10" s="29" t="n"/>
      <c r="I10" s="30" t="n"/>
      <c r="J10" s="30" t="n"/>
      <c r="K10" s="30" t="n"/>
      <c r="L10" s="30" t="n"/>
      <c r="M10" s="31" t="n"/>
      <c r="N10" s="29" t="n"/>
      <c r="O10" s="31" t="n"/>
    </row>
    <row r="11" ht="15" customHeight="1" s="16">
      <c r="A11" s="26" t="n">
        <v>10</v>
      </c>
      <c r="B11" s="26" t="n">
        <v>2</v>
      </c>
      <c r="C11" s="26" t="n">
        <v>238</v>
      </c>
      <c r="D11" s="27" t="inlineStr">
        <is>
          <t>也</t>
        </is>
      </c>
      <c r="E11" s="28" t="inlineStr">
        <is>
          <t>彼將曰</t>
        </is>
      </c>
      <c r="F11" s="27" t="inlineStr">
        <is>
          <t>吾非利天下也</t>
        </is>
      </c>
      <c r="G11" s="26" t="n"/>
      <c r="H11" s="29" t="n"/>
      <c r="I11" s="30" t="n"/>
      <c r="J11" s="30" t="n"/>
      <c r="K11" s="30" t="n"/>
      <c r="L11" s="30" t="n"/>
      <c r="M11" s="31" t="n"/>
      <c r="N11" s="29" t="n"/>
      <c r="O11" s="31" t="n"/>
    </row>
    <row r="12" ht="15" customHeight="1" s="16">
      <c r="A12" s="26" t="n">
        <v>11</v>
      </c>
      <c r="B12" s="26" t="n">
        <v>2</v>
      </c>
      <c r="C12" s="26" t="n">
        <v>239</v>
      </c>
      <c r="D12" s="27" t="inlineStr">
        <is>
          <t>彼將曰</t>
        </is>
      </c>
      <c r="E12" s="32" t="inlineStr">
        <is>
          <t>吾非利天下也</t>
        </is>
      </c>
      <c r="F12" s="27" t="inlineStr">
        <is>
          <t>吾爲明室</t>
        </is>
      </c>
      <c r="G12" s="26" t="inlineStr">
        <is>
          <t>●</t>
        </is>
      </c>
      <c r="H12" s="29" t="n"/>
      <c r="I12" s="30" t="n"/>
      <c r="J12" s="30" t="n"/>
      <c r="K12" s="30" t="n"/>
      <c r="L12" s="30" t="n"/>
      <c r="M12" s="31" t="n"/>
      <c r="N12" s="29" t="n"/>
      <c r="O12" s="31" t="n"/>
    </row>
    <row r="13" ht="15" customHeight="1" s="16">
      <c r="A13" s="26" t="n">
        <v>12</v>
      </c>
      <c r="B13" s="26" t="n">
        <v>2</v>
      </c>
      <c r="C13" s="26" t="n">
        <v>240</v>
      </c>
      <c r="D13" s="27" t="inlineStr">
        <is>
          <t>吾非利天下也</t>
        </is>
      </c>
      <c r="E13" s="28" t="inlineStr">
        <is>
          <t>吾爲明室</t>
        </is>
      </c>
      <c r="F13" s="27" t="inlineStr">
        <is>
          <t>復大仇雪大恥</t>
        </is>
      </c>
      <c r="G13" s="26" t="n"/>
      <c r="H13" s="29" t="n"/>
      <c r="I13" s="30" t="n"/>
      <c r="J13" s="30" t="n"/>
      <c r="K13" s="30" t="n"/>
      <c r="L13" s="30" t="n"/>
      <c r="M13" s="31" t="n"/>
      <c r="N13" s="29" t="n"/>
      <c r="O13" s="31" t="n"/>
    </row>
    <row r="14" ht="15" customHeight="1" s="16">
      <c r="A14" s="26" t="n">
        <v>13</v>
      </c>
      <c r="B14" s="26" t="n">
        <v>2</v>
      </c>
      <c r="C14" s="26" t="n">
        <v>288</v>
      </c>
      <c r="D14" s="27" t="inlineStr">
        <is>
          <t>似若無所用心</t>
        </is>
      </c>
      <c r="E14" s="28" t="inlineStr">
        <is>
          <t>然其心以爲天下之小民</t>
        </is>
      </c>
      <c r="F14" s="27" t="inlineStr">
        <is>
          <t>薄其賦斂則安矣</t>
        </is>
      </c>
      <c r="G14" s="26" t="n"/>
      <c r="H14" s="29" t="n"/>
      <c r="I14" s="30" t="n"/>
      <c r="J14" s="30" t="n"/>
      <c r="K14" s="30" t="n"/>
      <c r="L14" s="30" t="n"/>
      <c r="M14" s="31" t="n"/>
      <c r="N14" s="29" t="n"/>
      <c r="O14" s="31" t="n"/>
    </row>
    <row r="15" ht="15" customHeight="1" s="16">
      <c r="A15" s="26" t="n">
        <v>14</v>
      </c>
      <c r="B15" s="26" t="n">
        <v>2</v>
      </c>
      <c r="C15" s="26" t="n">
        <v>289</v>
      </c>
      <c r="D15" s="27" t="inlineStr">
        <is>
          <t>然其心以爲天下之小民</t>
        </is>
      </c>
      <c r="E15" s="32" t="inlineStr">
        <is>
          <t>薄其賦斂則安矣</t>
        </is>
      </c>
      <c r="F15" s="27" t="inlineStr">
        <is>
          <t>安知不</t>
        </is>
      </c>
      <c r="G15" s="26" t="inlineStr">
        <is>
          <t>●</t>
        </is>
      </c>
      <c r="H15" s="29" t="n"/>
      <c r="I15" s="30" t="n"/>
      <c r="J15" s="30" t="n"/>
      <c r="K15" s="30" t="n"/>
      <c r="L15" s="30" t="n"/>
      <c r="M15" s="31" t="n"/>
      <c r="N15" s="29" t="n"/>
      <c r="O15" s="31" t="n"/>
    </row>
    <row r="16" ht="29.85" customHeight="1" s="16">
      <c r="A16" s="26" t="n">
        <v>15</v>
      </c>
      <c r="B16" s="26" t="n">
        <v>2</v>
      </c>
      <c r="C16" s="26" t="n">
        <v>290</v>
      </c>
      <c r="D16" s="27" t="inlineStr">
        <is>
          <t>薄其賦斂則安矣</t>
        </is>
      </c>
      <c r="E16" s="28" t="inlineStr">
        <is>
          <t>安知不</t>
        </is>
      </c>
      <c r="F16" s="27" t="inlineStr">
        <is>
          <t>反便乎我之帽服而不欲變我之制度乎</t>
        </is>
      </c>
      <c r="G16" s="26" t="n"/>
      <c r="H16" s="29" t="n"/>
      <c r="I16" s="30" t="n"/>
      <c r="J16" s="30" t="n"/>
      <c r="K16" s="30" t="n"/>
      <c r="L16" s="30" t="n"/>
      <c r="M16" s="31" t="n"/>
      <c r="N16" s="29" t="n"/>
      <c r="O16" s="31" t="n"/>
    </row>
    <row r="17" ht="15" customHeight="1" s="16">
      <c r="A17" s="26" t="n">
        <v>16</v>
      </c>
      <c r="B17" s="26" t="n">
        <v>2</v>
      </c>
      <c r="C17" s="26" t="n">
        <v>296</v>
      </c>
      <c r="D17" s="27" t="inlineStr">
        <is>
          <t>心</t>
        </is>
      </c>
      <c r="E17" s="28" t="inlineStr">
        <is>
          <t>其豪傑敢怒而不敢言其鄙佞</t>
        </is>
      </c>
      <c r="F17" s="27" t="inlineStr">
        <is>
          <t>因時義而爲身利</t>
        </is>
      </c>
      <c r="G17" s="26" t="n"/>
      <c r="H17" s="29" t="n"/>
      <c r="I17" s="30" t="n"/>
      <c r="J17" s="30" t="n"/>
      <c r="K17" s="30" t="n"/>
      <c r="L17" s="30" t="n"/>
      <c r="M17" s="31" t="n"/>
      <c r="N17" s="29" t="n"/>
      <c r="O17" s="31" t="n"/>
    </row>
    <row r="18" ht="29.85" customHeight="1" s="16">
      <c r="A18" s="26" t="n">
        <v>17</v>
      </c>
      <c r="B18" s="26" t="n">
        <v>2</v>
      </c>
      <c r="C18" s="26" t="n">
        <v>297</v>
      </c>
      <c r="D18" s="27" t="inlineStr">
        <is>
          <t>其豪傑敢怒而不敢言其鄙佞</t>
        </is>
      </c>
      <c r="E18" s="32" t="inlineStr">
        <is>
          <t>因時義而爲身利</t>
        </is>
      </c>
      <c r="F18" s="27" t="inlineStr">
        <is>
          <t>一以陰弱中土之士</t>
        </is>
      </c>
      <c r="G18" s="26" t="inlineStr">
        <is>
          <t>●</t>
        </is>
      </c>
      <c r="H18" s="29" t="n"/>
      <c r="I18" s="30" t="n"/>
      <c r="J18" s="30" t="n"/>
      <c r="K18" s="30" t="n"/>
      <c r="L18" s="30" t="n"/>
      <c r="M18" s="31" t="n"/>
      <c r="N18" s="29" t="n"/>
      <c r="O18" s="31" t="n"/>
    </row>
    <row r="19" ht="15" customHeight="1" s="16">
      <c r="A19" s="26" t="n">
        <v>18</v>
      </c>
      <c r="B19" s="26" t="n">
        <v>2</v>
      </c>
      <c r="C19" s="26" t="n">
        <v>298</v>
      </c>
      <c r="D19" s="27" t="inlineStr">
        <is>
          <t>因時義而爲身利</t>
        </is>
      </c>
      <c r="E19" s="28" t="inlineStr">
        <is>
          <t>一以陰弱中土之士</t>
        </is>
      </c>
      <c r="F19" s="27" t="inlineStr">
        <is>
          <t>一以顯受文敎之名</t>
        </is>
      </c>
      <c r="G19" s="26" t="n"/>
      <c r="H19" s="29" t="n"/>
      <c r="I19" s="30" t="n"/>
      <c r="J19" s="30" t="n"/>
      <c r="K19" s="30" t="n"/>
      <c r="L19" s="30" t="n"/>
      <c r="M19" s="31" t="n"/>
      <c r="N19" s="29" t="n"/>
      <c r="O19" s="31" t="n"/>
    </row>
    <row r="20" ht="29.85" customHeight="1" s="16">
      <c r="A20" s="26" t="n">
        <v>19</v>
      </c>
      <c r="B20" s="26" t="n">
        <v>2</v>
      </c>
      <c r="C20" s="26" t="n">
        <v>328</v>
      </c>
      <c r="D20" s="27" t="inlineStr">
        <is>
          <t>皇帝私尊何累朱子</t>
        </is>
      </c>
      <c r="E20" s="28" t="inlineStr">
        <is>
          <t>而中州之士如此其恥之者</t>
        </is>
      </c>
      <c r="F20" s="27" t="inlineStr">
        <is>
          <t>葢有所激於陽尊而爲禦世之資耳</t>
        </is>
      </c>
      <c r="G20" s="26" t="n"/>
      <c r="H20" s="29" t="n"/>
      <c r="I20" s="30" t="n"/>
      <c r="J20" s="30" t="n"/>
      <c r="K20" s="30" t="n"/>
      <c r="L20" s="30" t="n"/>
      <c r="M20" s="31" t="n"/>
      <c r="N20" s="29" t="n"/>
      <c r="O20" s="31" t="n"/>
    </row>
    <row r="21" ht="29.85" customHeight="1" s="16">
      <c r="A21" s="26" t="n">
        <v>20</v>
      </c>
      <c r="B21" s="26" t="n">
        <v>2</v>
      </c>
      <c r="C21" s="26" t="n">
        <v>329</v>
      </c>
      <c r="D21" s="27" t="inlineStr">
        <is>
          <t>而中州之士如此其恥之者</t>
        </is>
      </c>
      <c r="E21" s="32" t="inlineStr">
        <is>
          <t>葢有所激於陽尊而爲禦世之資耳</t>
        </is>
      </c>
      <c r="F21" s="27" t="inlineStr">
        <is>
          <t>故時借一二集註之誤</t>
        </is>
      </c>
      <c r="G21" s="26" t="inlineStr">
        <is>
          <t>●</t>
        </is>
      </c>
      <c r="H21" s="29" t="n"/>
      <c r="I21" s="30" t="n"/>
      <c r="J21" s="30" t="n"/>
      <c r="K21" s="30" t="n"/>
      <c r="L21" s="30" t="n"/>
      <c r="M21" s="31" t="n"/>
      <c r="N21" s="29" t="n"/>
      <c r="O21" s="31" t="n"/>
    </row>
    <row r="22" ht="29.85" customHeight="1" s="16">
      <c r="A22" s="26" t="n">
        <v>21</v>
      </c>
      <c r="B22" s="26" t="n">
        <v>2</v>
      </c>
      <c r="C22" s="26" t="n">
        <v>330</v>
      </c>
      <c r="D22" s="27" t="inlineStr">
        <is>
          <t>葢有所激於陽尊而爲禦世之資耳</t>
        </is>
      </c>
      <c r="E22" s="28" t="inlineStr">
        <is>
          <t>故時借一二集註之誤</t>
        </is>
      </c>
      <c r="F22" s="27" t="inlineStr">
        <is>
          <t>以洩百年煩寃之氣</t>
        </is>
      </c>
      <c r="G22" s="26" t="n"/>
      <c r="H22" s="29" t="n"/>
      <c r="I22" s="30" t="n"/>
      <c r="J22" s="30" t="n"/>
      <c r="K22" s="30" t="n"/>
      <c r="L22" s="30" t="n"/>
      <c r="M22" s="31" t="n"/>
      <c r="N22" s="29" t="n"/>
      <c r="O22" s="31" t="n"/>
    </row>
  </sheetData>
  <dataValidations count="4">
    <dataValidation sqref="H2:H22" showDropDown="0" showInputMessage="0" showErrorMessage="0" allowBlank="1" type="list" errorStyle="stop" operator="between">
      <formula1>"Y,N"</formula1>
      <formula2>0</formula2>
    </dataValidation>
    <dataValidation sqref="I2:I22" showDropDown="0" showInputMessage="0" showErrorMessage="0" allowBlank="1" type="list" errorStyle="stop" operator="between">
      <formula1>"SD-1 자연·물질,SD-2 신체·감각,SD-3 공간·방위,SD-4 사냥·전쟁,SD-5 운동·시간,SD-6 문화·제도,(수사 기제)"</formula1>
      <formula2>0</formula2>
    </dataValidation>
    <dataValidation sqref="N2:N22" showDropDown="0" showInputMessage="0" showErrorMessage="0" allowBlank="1" type="list" errorStyle="stop" operator="between">
      <formula1>"높음,보통,낮음"</formula1>
      <formula2>0</formula2>
    </dataValidation>
    <dataValidation sqref="J2:J22" showDropDown="0" showInputMessage="0" showErrorMessage="0" allowBlank="1" type="list">
      <formula1>"TD-1 축적·유통,TD-2 권력·지배,TD-3 인식·진위,TD-4 도덕·책무,TD-5 문명·제도,TD-7 경물·감각,TD-6 기타"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style="16" min="1" max="1"/>
    <col width="20" customWidth="1" style="16" min="2" max="2"/>
    <col width="74" customWidth="1" style="16" min="3" max="3"/>
  </cols>
  <sheetData>
    <row r="1">
      <c r="A1" s="33" t="inlineStr">
        <is>
          <t>구분</t>
        </is>
      </c>
      <c r="B1" s="33" t="inlineStr">
        <is>
          <t>코드</t>
        </is>
      </c>
      <c r="C1" s="33" t="inlineStr">
        <is>
          <t>정의</t>
        </is>
      </c>
    </row>
    <row r="2">
      <c r="A2" s="34" t="inlineStr">
        <is>
          <t>원천 영역</t>
        </is>
      </c>
      <c r="B2" s="35" t="inlineStr">
        <is>
          <t>SD-1 자연·물질</t>
        </is>
      </c>
      <c r="C2" s="34" t="inlineStr">
        <is>
          <t>물·지형·광물·기상 등 자연물과 그 운동</t>
        </is>
      </c>
    </row>
    <row r="3">
      <c r="A3" s="34" t="inlineStr">
        <is>
          <t>원천 영역</t>
        </is>
      </c>
      <c r="B3" s="35" t="inlineStr">
        <is>
          <t>SD-2 신체·감각</t>
        </is>
      </c>
      <c r="C3" s="34" t="inlineStr">
        <is>
          <t>신체 부위와 그 작용, 감각 경험</t>
        </is>
      </c>
    </row>
    <row r="4">
      <c r="A4" s="34" t="inlineStr">
        <is>
          <t>원천 영역</t>
        </is>
      </c>
      <c r="B4" s="35" t="inlineStr">
        <is>
          <t>SD-3 공간·방위</t>
        </is>
      </c>
      <c r="C4" s="34" t="inlineStr">
        <is>
          <t>상하·내외·원근 등 공간 배치와 방위</t>
        </is>
      </c>
    </row>
    <row r="5">
      <c r="A5" s="34" t="inlineStr">
        <is>
          <t>원천 영역</t>
        </is>
      </c>
      <c r="B5" s="35" t="inlineStr">
        <is>
          <t>SD-4 사냥·전쟁</t>
        </is>
      </c>
      <c r="C5" s="34" t="inlineStr">
        <is>
          <t>목표물을 두고 경쟁적으로 추격·획득하는 행위</t>
        </is>
      </c>
    </row>
    <row r="6">
      <c r="A6" s="34" t="inlineStr">
        <is>
          <t>원천 영역</t>
        </is>
      </c>
      <c r="B6" s="35" t="inlineStr">
        <is>
          <t>SD-5 운동·시간</t>
        </is>
      </c>
      <c r="C6" s="34" t="inlineStr">
        <is>
          <t>이동·방향·시간의 경과와 축적</t>
        </is>
      </c>
    </row>
    <row r="7">
      <c r="A7" s="34" t="inlineStr">
        <is>
          <t>원천 영역</t>
        </is>
      </c>
      <c r="B7" s="35" t="inlineStr">
        <is>
          <t>SD-6 문화·제도</t>
        </is>
      </c>
      <c r="C7" s="34" t="inlineStr">
        <is>
          <t>역사 인물·전거, 신분 제도, 문자·복식 등 인공적 산물</t>
        </is>
      </c>
    </row>
    <row r="8">
      <c r="A8" s="34" t="inlineStr">
        <is>
          <t>원천 영역</t>
        </is>
      </c>
      <c r="B8" s="35" t="inlineStr">
        <is>
          <t>(수사 기제)</t>
        </is>
      </c>
      <c r="C8" s="34" t="inlineStr">
        <is>
          <t>원천 영역이 아니라 과장·역설·대조 등 표현을 조직하는 방식</t>
        </is>
      </c>
    </row>
    <row r="9">
      <c r="A9" s="34" t="inlineStr">
        <is>
          <t>목표 영역</t>
        </is>
      </c>
      <c r="B9" s="35" t="inlineStr">
        <is>
          <t>TD-1 축적·유통</t>
        </is>
      </c>
      <c r="C9" s="34" t="inlineStr">
        <is>
          <t>재화의 축적, 유통, 경제 원리 자체</t>
        </is>
      </c>
    </row>
    <row r="10">
      <c r="A10" s="34" t="inlineStr">
        <is>
          <t>목표 영역</t>
        </is>
      </c>
      <c r="B10" s="35" t="inlineStr">
        <is>
          <t>TD-2 권력·지배</t>
        </is>
      </c>
      <c r="C10" s="34" t="inlineStr">
        <is>
          <t>정치 권력, 지배와 복속, 국가 간 관계</t>
        </is>
      </c>
    </row>
    <row r="11">
      <c r="A11" s="34" t="inlineStr">
        <is>
          <t>목표 영역</t>
        </is>
      </c>
      <c r="B11" s="35" t="inlineStr">
        <is>
          <t>TD-3 인식·진위</t>
        </is>
      </c>
      <c r="C11" s="34" t="inlineStr">
        <is>
          <t>앎, 판단, 진위 분별, 인식의 한계</t>
        </is>
      </c>
    </row>
    <row r="12">
      <c r="A12" s="34" t="inlineStr">
        <is>
          <t>목표 영역</t>
        </is>
      </c>
      <c r="B12" s="35" t="inlineStr">
        <is>
          <t>TD-4 도덕·책무</t>
        </is>
      </c>
      <c r="C12" s="34" t="inlineStr">
        <is>
          <t>윤리 규범, 의무, 사회적 책임</t>
        </is>
      </c>
    </row>
    <row r="13">
      <c r="A13" s="34" t="inlineStr">
        <is>
          <t>목표 영역</t>
        </is>
      </c>
      <c r="B13" s="35" t="inlineStr">
        <is>
          <t>TD-5 문명·제도</t>
        </is>
      </c>
      <c r="C13" s="34" t="inlineStr">
        <is>
          <t>문명의 상태, 제도와 관습, 신분 질서</t>
        </is>
      </c>
    </row>
    <row r="14">
      <c r="A14" s="34" t="inlineStr">
        <is>
          <t>목표 영역</t>
        </is>
      </c>
      <c r="B14" s="35" t="inlineStr">
        <is>
          <t>TD-7 경물·감각</t>
        </is>
      </c>
      <c r="C14" s="34" t="inlineStr">
        <is>
          <t>자연 경물과 사물의 외양, 신체 감각과 정서 체험, 시간의 체감 등 묘사의 대상. 기행문에서 견문을 서술하는 대목이 주로 여기에 든다</t>
        </is>
      </c>
    </row>
    <row r="15">
      <c r="A15" s="34" t="inlineStr">
        <is>
          <t>목표 영역</t>
        </is>
      </c>
      <c r="B15" s="35" t="inlineStr">
        <is>
          <t>TD-6 기타</t>
        </is>
      </c>
      <c r="C15" s="34" t="inlineStr">
        <is>
          <t>위 여섯에 들지 않는 목표. 반드시 비고란에 무엇인지 적을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2026-08-03T15:16:36Z</dcterms:created>
  <dcterms:modified xmlns:dcterms="http://purl.org/dc/terms/" xmlns:xsi="http://www.w3.org/2001/XMLSchema-instance" xsi:type="dcterms:W3CDTF">2026-08-03T15:44:42Z</dcterms:modified>
  <cp:revision>0</cp:revision>
</cp:coreProperties>
</file>